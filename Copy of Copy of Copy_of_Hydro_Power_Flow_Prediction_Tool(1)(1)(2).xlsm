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ell\Desktop\R\"/>
    </mc:Choice>
  </mc:AlternateContent>
  <bookViews>
    <workbookView xWindow="0" yWindow="0" windowWidth="25125" windowHeight="9780" tabRatio="844" activeTab="4"/>
  </bookViews>
  <sheets>
    <sheet name="Assumptions " sheetId="30" r:id="rId1"/>
    <sheet name="Main" sheetId="12" r:id="rId2"/>
    <sheet name="Site Data" sheetId="17" r:id="rId3"/>
    <sheet name="Raw Data" sheetId="31" r:id="rId4"/>
    <sheet name=" Head Calculation" sheetId="22" r:id="rId5"/>
    <sheet name=" Error Report" sheetId="26" r:id="rId6"/>
    <sheet name="Sheet1" sheetId="20" state="hidden" r:id="rId7"/>
    <sheet name="Calc - Cam settings 1" sheetId="13" state="hidden" r:id="rId8"/>
  </sheets>
  <definedNames>
    <definedName name="A">Main!#REF!</definedName>
    <definedName name="Alpha">Main!#REF!</definedName>
    <definedName name="BB">Main!#REF!</definedName>
    <definedName name="Beta">Main!#REF!</definedName>
    <definedName name="Bpercent">Main!#REF!</definedName>
    <definedName name="Calculation">Main!$G$51</definedName>
    <definedName name="Cita">Main!#REF!</definedName>
    <definedName name="Degree">Main!#REF!</definedName>
    <definedName name="Flow">Main!$E$13</definedName>
    <definedName name="Head">Main!$E$12</definedName>
    <definedName name="Headf">Main!$E$12</definedName>
    <definedName name="Max">Main!$G$44</definedName>
    <definedName name="MaxGen">Main!#REF!</definedName>
    <definedName name="Measure">Main!$G$23</definedName>
    <definedName name="Min">Main!$G$45</definedName>
    <definedName name="Owner">Main!$D$4</definedName>
    <definedName name="Power">Main!$G$22</definedName>
    <definedName name="Power2">Main!$J$22</definedName>
    <definedName name="_xlnm.Print_Area" localSheetId="1">Main!$B$2:$M$60</definedName>
    <definedName name="Revision">Main!$D$6</definedName>
    <definedName name="ScaleB">Main!$G$57</definedName>
    <definedName name="ScaleC">Main!$G$58</definedName>
    <definedName name="Today">Main!$E$11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22" l="1"/>
  <c r="E4" i="22"/>
  <c r="A2" i="22"/>
  <c r="B2" i="22"/>
  <c r="D2" i="22" s="1"/>
  <c r="C2" i="22"/>
  <c r="A3" i="22"/>
  <c r="B3" i="22"/>
  <c r="C3" i="22"/>
  <c r="D3" i="22"/>
  <c r="E3" i="22" s="1"/>
  <c r="A4" i="22"/>
  <c r="B4" i="22"/>
  <c r="C4" i="22"/>
  <c r="D4" i="22" s="1"/>
  <c r="A5" i="22"/>
  <c r="B5" i="22"/>
  <c r="C5" i="22"/>
  <c r="A6" i="22"/>
  <c r="B6" i="22"/>
  <c r="D6" i="22" s="1"/>
  <c r="E6" i="22" s="1"/>
  <c r="C6" i="22"/>
  <c r="A7" i="22"/>
  <c r="B7" i="22"/>
  <c r="C7" i="22"/>
  <c r="D7" i="22"/>
  <c r="E7" i="22" s="1"/>
  <c r="A8" i="22"/>
  <c r="B8" i="22"/>
  <c r="C8" i="22"/>
  <c r="A9" i="22"/>
  <c r="B9" i="22"/>
  <c r="D9" i="22" s="1"/>
  <c r="E9" i="22" s="1"/>
  <c r="C9" i="22"/>
  <c r="D5" i="22" l="1"/>
  <c r="E5" i="22" s="1"/>
  <c r="D8" i="22"/>
  <c r="E8" i="22" s="1"/>
  <c r="M58" i="12"/>
  <c r="K58" i="12"/>
  <c r="G58" i="12"/>
  <c r="M57" i="12"/>
  <c r="K57" i="12"/>
  <c r="G57" i="12"/>
  <c r="M51" i="12"/>
  <c r="K51" i="12"/>
  <c r="G51" i="12"/>
  <c r="M45" i="12"/>
  <c r="K45" i="12"/>
  <c r="G45" i="12"/>
  <c r="E45" i="12"/>
  <c r="E37" i="12"/>
  <c r="E44" i="12" s="1"/>
  <c r="G44" i="12" l="1"/>
  <c r="K44" i="12"/>
  <c r="M44" i="12"/>
  <c r="K41" i="12"/>
  <c r="E41" i="12" s="1"/>
  <c r="M42" i="12"/>
  <c r="E42" i="12" s="1"/>
  <c r="G42" i="12"/>
  <c r="G41" i="12"/>
  <c r="G39" i="12"/>
  <c r="K39" i="12"/>
  <c r="M39" i="12"/>
  <c r="M41" i="12"/>
  <c r="M40" i="12"/>
  <c r="K42" i="12"/>
  <c r="K40" i="12"/>
  <c r="G40" i="12"/>
  <c r="E40" i="12" s="1"/>
  <c r="G43" i="12"/>
  <c r="E43" i="12"/>
  <c r="M43" i="12"/>
  <c r="K43" i="12"/>
  <c r="B16" i="12"/>
  <c r="C10" i="22"/>
  <c r="C11" i="22"/>
  <c r="C12" i="22"/>
  <c r="C13" i="22"/>
  <c r="C14" i="22"/>
  <c r="C15" i="22"/>
  <c r="C16" i="22"/>
  <c r="C17" i="22"/>
  <c r="C18" i="22"/>
  <c r="C19" i="22"/>
  <c r="C20" i="22"/>
  <c r="C21" i="22"/>
  <c r="C22" i="22"/>
  <c r="C23" i="22"/>
  <c r="C24" i="22"/>
  <c r="C25" i="22"/>
  <c r="C26" i="22"/>
  <c r="C27" i="22"/>
  <c r="C28" i="22"/>
  <c r="C29" i="22"/>
  <c r="C30" i="22"/>
  <c r="C31" i="22"/>
  <c r="C32" i="22"/>
  <c r="C33" i="22"/>
  <c r="C34" i="22"/>
  <c r="C35" i="22"/>
  <c r="C36" i="22"/>
  <c r="C37" i="22"/>
  <c r="C38" i="22"/>
  <c r="C39" i="22"/>
  <c r="C40" i="22"/>
  <c r="C41" i="22"/>
  <c r="C42" i="22"/>
  <c r="C43" i="22"/>
  <c r="C44" i="22"/>
  <c r="C45" i="22"/>
  <c r="C46" i="22"/>
  <c r="C47" i="22"/>
  <c r="C48" i="22"/>
  <c r="C49" i="22"/>
  <c r="C50" i="22"/>
  <c r="C51" i="22"/>
  <c r="C52" i="22"/>
  <c r="C53" i="22"/>
  <c r="C54" i="22"/>
  <c r="C55" i="22"/>
  <c r="C56" i="22"/>
  <c r="C57" i="22"/>
  <c r="C58" i="22"/>
  <c r="C59" i="22"/>
  <c r="C60" i="22"/>
  <c r="C61" i="22"/>
  <c r="C62" i="22"/>
  <c r="C63" i="22"/>
  <c r="C64" i="22"/>
  <c r="C65" i="22"/>
  <c r="C66" i="22"/>
  <c r="C67" i="22"/>
  <c r="C68" i="22"/>
  <c r="C69" i="22"/>
  <c r="C70" i="22"/>
  <c r="C71" i="22"/>
  <c r="C72" i="22"/>
  <c r="C73" i="22"/>
  <c r="C74" i="22"/>
  <c r="C75" i="22"/>
  <c r="C76" i="22"/>
  <c r="C77" i="22"/>
  <c r="C78" i="22"/>
  <c r="C79" i="22"/>
  <c r="C80" i="22"/>
  <c r="C81" i="22"/>
  <c r="C82" i="22"/>
  <c r="C83" i="22"/>
  <c r="C84" i="22"/>
  <c r="C85" i="22"/>
  <c r="C86" i="22"/>
  <c r="C87" i="22"/>
  <c r="C88" i="22"/>
  <c r="C89" i="22"/>
  <c r="C90" i="22"/>
  <c r="C91" i="22"/>
  <c r="C92" i="22"/>
  <c r="C93" i="22"/>
  <c r="C94" i="22"/>
  <c r="C95" i="22"/>
  <c r="C96" i="22"/>
  <c r="C97" i="22"/>
  <c r="C98" i="22"/>
  <c r="C99" i="22"/>
  <c r="C100" i="22"/>
  <c r="C101" i="22"/>
  <c r="C102" i="22"/>
  <c r="C103" i="22"/>
  <c r="C104" i="22"/>
  <c r="C105" i="22"/>
  <c r="C106" i="22"/>
  <c r="C107" i="22"/>
  <c r="C108" i="22"/>
  <c r="C109" i="22"/>
  <c r="C110" i="22"/>
  <c r="C111" i="22"/>
  <c r="C112" i="22"/>
  <c r="C113" i="22"/>
  <c r="C114" i="22"/>
  <c r="C115" i="22"/>
  <c r="C116" i="22"/>
  <c r="C117" i="22"/>
  <c r="C118" i="22"/>
  <c r="C119" i="22"/>
  <c r="C120" i="22"/>
  <c r="C121" i="22"/>
  <c r="C122" i="22"/>
  <c r="C123" i="22"/>
  <c r="C124" i="22"/>
  <c r="C125" i="22"/>
  <c r="C126" i="22"/>
  <c r="C127" i="22"/>
  <c r="C128" i="22"/>
  <c r="C129" i="22"/>
  <c r="C130" i="22"/>
  <c r="C131" i="22"/>
  <c r="C132" i="22"/>
  <c r="C133" i="22"/>
  <c r="C134" i="22"/>
  <c r="C135" i="22"/>
  <c r="C136" i="22"/>
  <c r="C137" i="22"/>
  <c r="C138" i="22"/>
  <c r="C139" i="22"/>
  <c r="C140" i="22"/>
  <c r="C141" i="22"/>
  <c r="C142" i="22"/>
  <c r="C143" i="22"/>
  <c r="C144" i="22"/>
  <c r="C145" i="22"/>
  <c r="C146" i="22"/>
  <c r="C147" i="22"/>
  <c r="C148" i="22"/>
  <c r="C149" i="22"/>
  <c r="C150" i="22"/>
  <c r="C151" i="22"/>
  <c r="C152" i="22"/>
  <c r="C153" i="22"/>
  <c r="C154" i="22"/>
  <c r="C155" i="22"/>
  <c r="C156" i="22"/>
  <c r="C157" i="22"/>
  <c r="C158" i="22"/>
  <c r="C159" i="22"/>
  <c r="C160" i="22"/>
  <c r="C161" i="22"/>
  <c r="C162" i="22"/>
  <c r="C163" i="22"/>
  <c r="C164" i="22"/>
  <c r="C165" i="22"/>
  <c r="C166" i="22"/>
  <c r="C167" i="22"/>
  <c r="C168" i="22"/>
  <c r="C169" i="22"/>
  <c r="C170" i="22"/>
  <c r="C171" i="22"/>
  <c r="C172" i="22"/>
  <c r="C173" i="22"/>
  <c r="C174" i="22"/>
  <c r="C175" i="22"/>
  <c r="C176" i="22"/>
  <c r="C177" i="22"/>
  <c r="C178" i="22"/>
  <c r="C179" i="22"/>
  <c r="C180" i="22"/>
  <c r="C181" i="22"/>
  <c r="C182" i="22"/>
  <c r="C183" i="22"/>
  <c r="C184" i="22"/>
  <c r="C185" i="22"/>
  <c r="C186" i="22"/>
  <c r="C187" i="22"/>
  <c r="C188" i="22"/>
  <c r="C189" i="22"/>
  <c r="C190" i="22"/>
  <c r="C191" i="22"/>
  <c r="C192" i="22"/>
  <c r="C193" i="22"/>
  <c r="C194" i="22"/>
  <c r="C195" i="22"/>
  <c r="C196" i="22"/>
  <c r="C197" i="22"/>
  <c r="C198" i="22"/>
  <c r="C199" i="22"/>
  <c r="C200" i="22"/>
  <c r="C201" i="22"/>
  <c r="C202" i="22"/>
  <c r="C203" i="22"/>
  <c r="C204" i="22"/>
  <c r="C205" i="22"/>
  <c r="C206" i="22"/>
  <c r="C207" i="22"/>
  <c r="C208" i="22"/>
  <c r="C209" i="22"/>
  <c r="C210" i="22"/>
  <c r="C211" i="22"/>
  <c r="C212" i="22"/>
  <c r="C213" i="22"/>
  <c r="C214" i="22"/>
  <c r="C215" i="22"/>
  <c r="C216" i="22"/>
  <c r="C217" i="22"/>
  <c r="C218" i="22"/>
  <c r="C219" i="22"/>
  <c r="C220" i="22"/>
  <c r="C221" i="22"/>
  <c r="C222" i="22"/>
  <c r="C223" i="22"/>
  <c r="C224" i="22"/>
  <c r="C225" i="22"/>
  <c r="C226" i="22"/>
  <c r="C227" i="22"/>
  <c r="C228" i="22"/>
  <c r="C229" i="22"/>
  <c r="C230" i="22"/>
  <c r="C231" i="22"/>
  <c r="C232" i="22"/>
  <c r="C233" i="22"/>
  <c r="C234" i="22"/>
  <c r="C235" i="22"/>
  <c r="C236" i="22"/>
  <c r="C237" i="22"/>
  <c r="C238" i="22"/>
  <c r="C239" i="22"/>
  <c r="C240" i="22"/>
  <c r="C241" i="22"/>
  <c r="C242" i="22"/>
  <c r="C243" i="22"/>
  <c r="C244" i="22"/>
  <c r="C245" i="22"/>
  <c r="C246" i="22"/>
  <c r="C247" i="22"/>
  <c r="C248" i="22"/>
  <c r="C249" i="22"/>
  <c r="C250" i="22"/>
  <c r="C251" i="22"/>
  <c r="C252" i="22"/>
  <c r="C253" i="22"/>
  <c r="C254" i="22"/>
  <c r="C255" i="22"/>
  <c r="C256" i="22"/>
  <c r="C257" i="22"/>
  <c r="C258" i="22"/>
  <c r="C259" i="22"/>
  <c r="C260" i="22"/>
  <c r="C261" i="22"/>
  <c r="C262" i="22"/>
  <c r="C263" i="22"/>
  <c r="C264" i="22"/>
  <c r="C265" i="22"/>
  <c r="C266" i="22"/>
  <c r="C267" i="22"/>
  <c r="C268" i="22"/>
  <c r="C269" i="22"/>
  <c r="C270" i="22"/>
  <c r="C271" i="22"/>
  <c r="C272" i="22"/>
  <c r="C273" i="22"/>
  <c r="C274" i="22"/>
  <c r="C275" i="22"/>
  <c r="C276" i="22"/>
  <c r="C277" i="22"/>
  <c r="C278" i="22"/>
  <c r="C279" i="22"/>
  <c r="C280" i="22"/>
  <c r="C281" i="22"/>
  <c r="C282" i="22"/>
  <c r="C283" i="22"/>
  <c r="C284" i="22"/>
  <c r="C285" i="22"/>
  <c r="C286" i="22"/>
  <c r="C287" i="22"/>
  <c r="C288" i="22"/>
  <c r="C289" i="22"/>
  <c r="C290" i="22"/>
  <c r="C291" i="22"/>
  <c r="C292" i="22"/>
  <c r="C293" i="22"/>
  <c r="C294" i="22"/>
  <c r="C295" i="22"/>
  <c r="C296" i="22"/>
  <c r="C297" i="22"/>
  <c r="C298" i="22"/>
  <c r="C299" i="22"/>
  <c r="C300" i="22"/>
  <c r="C301" i="22"/>
  <c r="C302" i="22"/>
  <c r="C303" i="22"/>
  <c r="C304" i="22"/>
  <c r="C305" i="22"/>
  <c r="C306" i="22"/>
  <c r="C307" i="22"/>
  <c r="C308" i="22"/>
  <c r="C309" i="22"/>
  <c r="C310" i="22"/>
  <c r="C311" i="22"/>
  <c r="C312" i="22"/>
  <c r="C313" i="22"/>
  <c r="C314" i="22"/>
  <c r="C315" i="22"/>
  <c r="C316" i="22"/>
  <c r="C317" i="22"/>
  <c r="C318" i="22"/>
  <c r="C319" i="22"/>
  <c r="C320" i="22"/>
  <c r="C321" i="22"/>
  <c r="C322" i="22"/>
  <c r="C323" i="22"/>
  <c r="C324" i="22"/>
  <c r="C325" i="22"/>
  <c r="C326" i="22"/>
  <c r="C327" i="22"/>
  <c r="C328" i="22"/>
  <c r="C329" i="22"/>
  <c r="C330" i="22"/>
  <c r="C331" i="22"/>
  <c r="C332" i="22"/>
  <c r="C333" i="22"/>
  <c r="C334" i="22"/>
  <c r="C335" i="22"/>
  <c r="C336" i="22"/>
  <c r="C337" i="22"/>
  <c r="C338" i="22"/>
  <c r="C339" i="22"/>
  <c r="C340" i="22"/>
  <c r="C341" i="22"/>
  <c r="C342" i="22"/>
  <c r="C343" i="22"/>
  <c r="C344" i="22"/>
  <c r="C345" i="22"/>
  <c r="C346" i="22"/>
  <c r="C347" i="22"/>
  <c r="C348" i="22"/>
  <c r="C349" i="22"/>
  <c r="C350" i="22"/>
  <c r="C351" i="22"/>
  <c r="C352" i="22"/>
  <c r="C353" i="22"/>
  <c r="C354" i="22"/>
  <c r="C355" i="22"/>
  <c r="C356" i="22"/>
  <c r="C357" i="22"/>
  <c r="C358" i="22"/>
  <c r="C359" i="22"/>
  <c r="C360" i="22"/>
  <c r="C361" i="22"/>
  <c r="C362" i="22"/>
  <c r="C363" i="22"/>
  <c r="C364" i="22"/>
  <c r="C365" i="22"/>
  <c r="C366" i="22"/>
  <c r="C367" i="22"/>
  <c r="C368" i="22"/>
  <c r="C369" i="22"/>
  <c r="C370" i="22"/>
  <c r="C371" i="22"/>
  <c r="C372" i="22"/>
  <c r="C373" i="22"/>
  <c r="C374" i="22"/>
  <c r="C375" i="22"/>
  <c r="C376" i="22"/>
  <c r="C377" i="22"/>
  <c r="C378" i="22"/>
  <c r="C379" i="22"/>
  <c r="C380" i="22"/>
  <c r="C381" i="22"/>
  <c r="C382" i="22"/>
  <c r="C383" i="22"/>
  <c r="C384" i="22"/>
  <c r="C385" i="22"/>
  <c r="C386" i="22"/>
  <c r="C387" i="22"/>
  <c r="C388" i="22"/>
  <c r="C389" i="22"/>
  <c r="C390" i="22"/>
  <c r="C391" i="22"/>
  <c r="C392" i="22"/>
  <c r="C393" i="22"/>
  <c r="C394" i="22"/>
  <c r="C395" i="22"/>
  <c r="C396" i="22"/>
  <c r="C397" i="22"/>
  <c r="C398" i="22"/>
  <c r="C399" i="22"/>
  <c r="C400" i="22"/>
  <c r="C401" i="22"/>
  <c r="C402" i="22"/>
  <c r="C403" i="22"/>
  <c r="C404" i="22"/>
  <c r="C405" i="22"/>
  <c r="C406" i="22"/>
  <c r="C407" i="22"/>
  <c r="C408" i="22"/>
  <c r="C409" i="22"/>
  <c r="C410" i="22"/>
  <c r="C411" i="22"/>
  <c r="C412" i="22"/>
  <c r="C413" i="22"/>
  <c r="C414" i="22"/>
  <c r="C415" i="22"/>
  <c r="C416" i="22"/>
  <c r="C417" i="22"/>
  <c r="C418" i="22"/>
  <c r="C419" i="22"/>
  <c r="C420" i="22"/>
  <c r="C421" i="22"/>
  <c r="C422" i="22"/>
  <c r="C423" i="22"/>
  <c r="C424" i="22"/>
  <c r="C425" i="22"/>
  <c r="C426" i="22"/>
  <c r="C427" i="22"/>
  <c r="C428" i="22"/>
  <c r="C429" i="22"/>
  <c r="C430" i="22"/>
  <c r="C431" i="22"/>
  <c r="C432" i="22"/>
  <c r="C433" i="22"/>
  <c r="C434" i="22"/>
  <c r="C435" i="22"/>
  <c r="C436" i="22"/>
  <c r="C437" i="22"/>
  <c r="C438" i="22"/>
  <c r="C439" i="22"/>
  <c r="C440" i="22"/>
  <c r="C441" i="22"/>
  <c r="C442" i="22"/>
  <c r="C443" i="22"/>
  <c r="C444" i="22"/>
  <c r="C445" i="22"/>
  <c r="C446" i="22"/>
  <c r="C447" i="22"/>
  <c r="C448" i="22"/>
  <c r="C449" i="22"/>
  <c r="C450" i="22"/>
  <c r="C451" i="22"/>
  <c r="C452" i="22"/>
  <c r="C453" i="22"/>
  <c r="C454" i="22"/>
  <c r="C455" i="22"/>
  <c r="C456" i="22"/>
  <c r="C457" i="22"/>
  <c r="C458" i="22"/>
  <c r="C459" i="22"/>
  <c r="C460" i="22"/>
  <c r="C461" i="22"/>
  <c r="C462" i="22"/>
  <c r="C463" i="22"/>
  <c r="C464" i="22"/>
  <c r="C465" i="22"/>
  <c r="C466" i="22"/>
  <c r="C467" i="22"/>
  <c r="C468" i="22"/>
  <c r="C469" i="22"/>
  <c r="C470" i="22"/>
  <c r="C471" i="22"/>
  <c r="C472" i="22"/>
  <c r="C473" i="22"/>
  <c r="C474" i="22"/>
  <c r="C475" i="22"/>
  <c r="C476" i="22"/>
  <c r="C477" i="22"/>
  <c r="C478" i="22"/>
  <c r="C479" i="22"/>
  <c r="C480" i="22"/>
  <c r="C481" i="22"/>
  <c r="C482" i="22"/>
  <c r="C483" i="22"/>
  <c r="C484" i="22"/>
  <c r="C485" i="22"/>
  <c r="C486" i="22"/>
  <c r="C487" i="22"/>
  <c r="C488" i="22"/>
  <c r="C489" i="22"/>
  <c r="C490" i="22"/>
  <c r="C491" i="22"/>
  <c r="C492" i="22"/>
  <c r="C493" i="22"/>
  <c r="C494" i="22"/>
  <c r="C495" i="22"/>
  <c r="C496" i="22"/>
  <c r="C497" i="22"/>
  <c r="C498" i="22"/>
  <c r="C499" i="22"/>
  <c r="C500" i="22"/>
  <c r="C501" i="22"/>
  <c r="C502" i="22"/>
  <c r="C503" i="22"/>
  <c r="C504" i="22"/>
  <c r="C505" i="22"/>
  <c r="C506" i="22"/>
  <c r="C507" i="22"/>
  <c r="C508" i="22"/>
  <c r="C509" i="22"/>
  <c r="C510" i="22"/>
  <c r="C511" i="22"/>
  <c r="C512" i="22"/>
  <c r="C513" i="22"/>
  <c r="C514" i="22"/>
  <c r="C515" i="22"/>
  <c r="C516" i="22"/>
  <c r="C517" i="22"/>
  <c r="C518" i="22"/>
  <c r="C519" i="22"/>
  <c r="C520" i="22"/>
  <c r="C521" i="22"/>
  <c r="C522" i="22"/>
  <c r="C523" i="22"/>
  <c r="C524" i="22"/>
  <c r="C525" i="22"/>
  <c r="C526" i="22"/>
  <c r="C527" i="22"/>
  <c r="C528" i="22"/>
  <c r="C529" i="22"/>
  <c r="C530" i="22"/>
  <c r="C531" i="22"/>
  <c r="C532" i="22"/>
  <c r="C533" i="22"/>
  <c r="C534" i="22"/>
  <c r="C535" i="22"/>
  <c r="C536" i="22"/>
  <c r="C537" i="22"/>
  <c r="C538" i="22"/>
  <c r="C539" i="22"/>
  <c r="C540" i="22"/>
  <c r="C541" i="22"/>
  <c r="C542" i="22"/>
  <c r="C543" i="22"/>
  <c r="C544" i="22"/>
  <c r="C545" i="22"/>
  <c r="C546" i="22"/>
  <c r="C547" i="22"/>
  <c r="C548" i="22"/>
  <c r="C549" i="22"/>
  <c r="C550" i="22"/>
  <c r="C551" i="22"/>
  <c r="C552" i="22"/>
  <c r="C553" i="22"/>
  <c r="C554" i="22"/>
  <c r="C555" i="22"/>
  <c r="C556" i="22"/>
  <c r="C557" i="22"/>
  <c r="C558" i="22"/>
  <c r="C559" i="22"/>
  <c r="C560" i="22"/>
  <c r="C561" i="22"/>
  <c r="C562" i="22"/>
  <c r="C563" i="22"/>
  <c r="C564" i="22"/>
  <c r="C565" i="22"/>
  <c r="C566" i="22"/>
  <c r="C567" i="22"/>
  <c r="C568" i="22"/>
  <c r="C569" i="22"/>
  <c r="C570" i="22"/>
  <c r="C571" i="22"/>
  <c r="C572" i="22"/>
  <c r="C573" i="22"/>
  <c r="C574" i="22"/>
  <c r="C575" i="22"/>
  <c r="C576" i="22"/>
  <c r="C577" i="22"/>
  <c r="C578" i="22"/>
  <c r="C579" i="22"/>
  <c r="C580" i="22"/>
  <c r="C581" i="22"/>
  <c r="C582" i="22"/>
  <c r="C583" i="22"/>
  <c r="C584" i="22"/>
  <c r="C585" i="22"/>
  <c r="C586" i="22"/>
  <c r="C587" i="22"/>
  <c r="C588" i="22"/>
  <c r="C589" i="22"/>
  <c r="C590" i="22"/>
  <c r="C591" i="22"/>
  <c r="C592" i="22"/>
  <c r="C593" i="22"/>
  <c r="C594" i="22"/>
  <c r="C595" i="22"/>
  <c r="C596" i="22"/>
  <c r="C597" i="22"/>
  <c r="C598" i="22"/>
  <c r="C599" i="22"/>
  <c r="C600" i="22"/>
  <c r="C601" i="22"/>
  <c r="C602" i="22"/>
  <c r="C603" i="22"/>
  <c r="C604" i="22"/>
  <c r="C605" i="22"/>
  <c r="C606" i="22"/>
  <c r="C607" i="22"/>
  <c r="C608" i="22"/>
  <c r="C609" i="22"/>
  <c r="C610" i="22"/>
  <c r="C611" i="22"/>
  <c r="C612" i="22"/>
  <c r="C613" i="22"/>
  <c r="C614" i="22"/>
  <c r="C615" i="22"/>
  <c r="C616" i="22"/>
  <c r="C617" i="22"/>
  <c r="C618" i="22"/>
  <c r="C619" i="22"/>
  <c r="C620" i="22"/>
  <c r="C621" i="22"/>
  <c r="C622" i="22"/>
  <c r="C623" i="22"/>
  <c r="C624" i="22"/>
  <c r="C625" i="22"/>
  <c r="C626" i="22"/>
  <c r="C627" i="22"/>
  <c r="C628" i="22"/>
  <c r="C629" i="22"/>
  <c r="C630" i="22"/>
  <c r="C631" i="22"/>
  <c r="C632" i="22"/>
  <c r="C633" i="22"/>
  <c r="C634" i="22"/>
  <c r="C635" i="22"/>
  <c r="C636" i="22"/>
  <c r="C637" i="22"/>
  <c r="C638" i="22"/>
  <c r="C639" i="22"/>
  <c r="C640" i="22"/>
  <c r="C641" i="22"/>
  <c r="C642" i="22"/>
  <c r="C643" i="22"/>
  <c r="C644" i="22"/>
  <c r="C645" i="22"/>
  <c r="C646" i="22"/>
  <c r="C647" i="22"/>
  <c r="C648" i="22"/>
  <c r="C649" i="22"/>
  <c r="C650" i="22"/>
  <c r="C651" i="22"/>
  <c r="C652" i="22"/>
  <c r="C653" i="22"/>
  <c r="C654" i="22"/>
  <c r="C655" i="22"/>
  <c r="C656" i="22"/>
  <c r="C657" i="22"/>
  <c r="C658" i="22"/>
  <c r="C659" i="22"/>
  <c r="C660" i="22"/>
  <c r="C661" i="22"/>
  <c r="C662" i="22"/>
  <c r="C663" i="22"/>
  <c r="C664" i="22"/>
  <c r="C665" i="22"/>
  <c r="C666" i="22"/>
  <c r="C667" i="22"/>
  <c r="C668" i="22"/>
  <c r="C669" i="22"/>
  <c r="C670" i="22"/>
  <c r="C671" i="22"/>
  <c r="C672" i="22"/>
  <c r="C673" i="22"/>
  <c r="C674" i="22"/>
  <c r="C675" i="22"/>
  <c r="C676" i="22"/>
  <c r="C677" i="22"/>
  <c r="C678" i="22"/>
  <c r="C679" i="22"/>
  <c r="C680" i="22"/>
  <c r="C681" i="22"/>
  <c r="C682" i="22"/>
  <c r="C683" i="22"/>
  <c r="C684" i="22"/>
  <c r="C685" i="22"/>
  <c r="C686" i="22"/>
  <c r="C687" i="22"/>
  <c r="C688" i="22"/>
  <c r="C689" i="22"/>
  <c r="C690" i="22"/>
  <c r="C691" i="22"/>
  <c r="C692" i="22"/>
  <c r="C693" i="22"/>
  <c r="C694" i="22"/>
  <c r="C695" i="22"/>
  <c r="C696" i="22"/>
  <c r="C697" i="22"/>
  <c r="C698" i="22"/>
  <c r="C699" i="22"/>
  <c r="C700" i="22"/>
  <c r="C701" i="22"/>
  <c r="C702" i="22"/>
  <c r="C703" i="22"/>
  <c r="C704" i="22"/>
  <c r="C705" i="22"/>
  <c r="C706" i="22"/>
  <c r="C707" i="22"/>
  <c r="C708" i="22"/>
  <c r="C709" i="22"/>
  <c r="C710" i="22"/>
  <c r="C711" i="22"/>
  <c r="C712" i="22"/>
  <c r="C713" i="22"/>
  <c r="C714" i="22"/>
  <c r="C715" i="22"/>
  <c r="C716" i="22"/>
  <c r="C717" i="22"/>
  <c r="C718" i="22"/>
  <c r="C719" i="22"/>
  <c r="C720" i="22"/>
  <c r="C721" i="22"/>
  <c r="C722" i="22"/>
  <c r="C723" i="22"/>
  <c r="C724" i="22"/>
  <c r="C725" i="22"/>
  <c r="C726" i="22"/>
  <c r="C727" i="22"/>
  <c r="C728" i="22"/>
  <c r="C729" i="22"/>
  <c r="C730" i="22"/>
  <c r="C731" i="22"/>
  <c r="C732" i="22"/>
  <c r="C733" i="22"/>
  <c r="C734" i="22"/>
  <c r="C735" i="22"/>
  <c r="C736" i="22"/>
  <c r="C737" i="22"/>
  <c r="C738" i="22"/>
  <c r="C739" i="22"/>
  <c r="C740" i="22"/>
  <c r="C741" i="22"/>
  <c r="C742" i="22"/>
  <c r="C743" i="22"/>
  <c r="C744" i="22"/>
  <c r="C745" i="22"/>
  <c r="C746" i="22"/>
  <c r="C747" i="22"/>
  <c r="C748" i="22"/>
  <c r="C749" i="22"/>
  <c r="C750" i="22"/>
  <c r="C751" i="22"/>
  <c r="C752" i="22"/>
  <c r="C753" i="22"/>
  <c r="C754" i="22"/>
  <c r="C755" i="22"/>
  <c r="C756" i="22"/>
  <c r="C757" i="22"/>
  <c r="C758" i="22"/>
  <c r="C759" i="22"/>
  <c r="C760" i="22"/>
  <c r="C761" i="22"/>
  <c r="C762" i="22"/>
  <c r="C763" i="22"/>
  <c r="C764" i="22"/>
  <c r="C765" i="22"/>
  <c r="C766" i="22"/>
  <c r="C767" i="22"/>
  <c r="C768" i="22"/>
  <c r="C769" i="22"/>
  <c r="C770" i="22"/>
  <c r="C771" i="22"/>
  <c r="C772" i="22"/>
  <c r="C773" i="22"/>
  <c r="C774" i="22"/>
  <c r="C775" i="22"/>
  <c r="C776" i="22"/>
  <c r="C777" i="22"/>
  <c r="C778" i="22"/>
  <c r="C779" i="22"/>
  <c r="C780" i="22"/>
  <c r="C781" i="22"/>
  <c r="C782" i="22"/>
  <c r="C783" i="22"/>
  <c r="C784" i="22"/>
  <c r="C785" i="22"/>
  <c r="C786" i="22"/>
  <c r="C787" i="22"/>
  <c r="C788" i="22"/>
  <c r="C789" i="22"/>
  <c r="C790" i="22"/>
  <c r="C791" i="22"/>
  <c r="C792" i="22"/>
  <c r="C793" i="22"/>
  <c r="C794" i="22"/>
  <c r="C795" i="22"/>
  <c r="C796" i="22"/>
  <c r="C797" i="22"/>
  <c r="C798" i="22"/>
  <c r="C799" i="22"/>
  <c r="C800" i="22"/>
  <c r="C801" i="22"/>
  <c r="C802" i="22"/>
  <c r="C803" i="22"/>
  <c r="C804" i="22"/>
  <c r="C805" i="22"/>
  <c r="C806" i="22"/>
  <c r="C807" i="22"/>
  <c r="C808" i="22"/>
  <c r="C809" i="22"/>
  <c r="C810" i="22"/>
  <c r="C811" i="22"/>
  <c r="C812" i="22"/>
  <c r="C813" i="22"/>
  <c r="C814" i="22"/>
  <c r="C815" i="22"/>
  <c r="C816" i="22"/>
  <c r="C817" i="22"/>
  <c r="C818" i="22"/>
  <c r="C819" i="22"/>
  <c r="C820" i="22"/>
  <c r="C821" i="22"/>
  <c r="C822" i="22"/>
  <c r="C823" i="22"/>
  <c r="C824" i="22"/>
  <c r="C825" i="22"/>
  <c r="C826" i="22"/>
  <c r="C827" i="22"/>
  <c r="C828" i="22"/>
  <c r="C829" i="22"/>
  <c r="C830" i="22"/>
  <c r="C831" i="22"/>
  <c r="C832" i="22"/>
  <c r="C833" i="22"/>
  <c r="C834" i="22"/>
  <c r="C835" i="22"/>
  <c r="C836" i="22"/>
  <c r="C837" i="22"/>
  <c r="C838" i="22"/>
  <c r="C839" i="22"/>
  <c r="C840" i="22"/>
  <c r="C841" i="22"/>
  <c r="C842" i="22"/>
  <c r="C843" i="22"/>
  <c r="C844" i="22"/>
  <c r="C845" i="22"/>
  <c r="C846" i="22"/>
  <c r="C847" i="22"/>
  <c r="C848" i="22"/>
  <c r="C849" i="22"/>
  <c r="C850" i="22"/>
  <c r="C851" i="22"/>
  <c r="C852" i="22"/>
  <c r="C853" i="22"/>
  <c r="C854" i="22"/>
  <c r="C855" i="22"/>
  <c r="C856" i="22"/>
  <c r="C857" i="22"/>
  <c r="C858" i="22"/>
  <c r="C859" i="22"/>
  <c r="C860" i="22"/>
  <c r="C861" i="22"/>
  <c r="C862" i="22"/>
  <c r="C863" i="22"/>
  <c r="C864" i="22"/>
  <c r="C865" i="22"/>
  <c r="C866" i="22"/>
  <c r="C867" i="22"/>
  <c r="C868" i="22"/>
  <c r="C869" i="22"/>
  <c r="C870" i="22"/>
  <c r="C871" i="22"/>
  <c r="C872" i="22"/>
  <c r="C873" i="22"/>
  <c r="C874" i="22"/>
  <c r="C875" i="22"/>
  <c r="C876" i="22"/>
  <c r="C877" i="22"/>
  <c r="C878" i="22"/>
  <c r="C879" i="22"/>
  <c r="C880" i="22"/>
  <c r="C881" i="22"/>
  <c r="C882" i="22"/>
  <c r="C883" i="22"/>
  <c r="C884" i="22"/>
  <c r="C885" i="22"/>
  <c r="C886" i="22"/>
  <c r="C887" i="22"/>
  <c r="C888" i="22"/>
  <c r="C889" i="22"/>
  <c r="C890" i="22"/>
  <c r="C891" i="22"/>
  <c r="C892" i="22"/>
  <c r="C893" i="22"/>
  <c r="C894" i="22"/>
  <c r="C895" i="22"/>
  <c r="C896" i="22"/>
  <c r="C897" i="22"/>
  <c r="C898" i="22"/>
  <c r="C899" i="22"/>
  <c r="C900" i="22"/>
  <c r="C901" i="22"/>
  <c r="C902" i="22"/>
  <c r="C903" i="22"/>
  <c r="C904" i="22"/>
  <c r="C905" i="22"/>
  <c r="C906" i="22"/>
  <c r="C907" i="22"/>
  <c r="C908" i="22"/>
  <c r="C909" i="22"/>
  <c r="C910" i="22"/>
  <c r="C911" i="22"/>
  <c r="C912" i="22"/>
  <c r="C913" i="22"/>
  <c r="C914" i="22"/>
  <c r="C915" i="22"/>
  <c r="C916" i="22"/>
  <c r="C917" i="22"/>
  <c r="C918" i="22"/>
  <c r="C919" i="22"/>
  <c r="C920" i="22"/>
  <c r="C921" i="22"/>
  <c r="C922" i="22"/>
  <c r="C923" i="22"/>
  <c r="C924" i="22"/>
  <c r="C925" i="22"/>
  <c r="C926" i="22"/>
  <c r="C927" i="22"/>
  <c r="C928" i="22"/>
  <c r="C929" i="22"/>
  <c r="C930" i="22"/>
  <c r="C931" i="22"/>
  <c r="C932" i="22"/>
  <c r="C933" i="22"/>
  <c r="C934" i="22"/>
  <c r="C935" i="22"/>
  <c r="C936" i="22"/>
  <c r="C937" i="22"/>
  <c r="C938" i="22"/>
  <c r="C939" i="22"/>
  <c r="C940" i="22"/>
  <c r="C941" i="22"/>
  <c r="C942" i="22"/>
  <c r="C943" i="22"/>
  <c r="C944" i="22"/>
  <c r="C945" i="22"/>
  <c r="C946" i="22"/>
  <c r="C947" i="22"/>
  <c r="C948" i="22"/>
  <c r="C949" i="22"/>
  <c r="C950" i="22"/>
  <c r="C951" i="22"/>
  <c r="C952" i="22"/>
  <c r="C953" i="22"/>
  <c r="C954" i="22"/>
  <c r="C955" i="22"/>
  <c r="C956" i="22"/>
  <c r="C957" i="22"/>
  <c r="C958" i="22"/>
  <c r="C959" i="22"/>
  <c r="C960" i="22"/>
  <c r="C961" i="22"/>
  <c r="C962" i="22"/>
  <c r="C963" i="22"/>
  <c r="C964" i="22"/>
  <c r="C965" i="22"/>
  <c r="C966" i="22"/>
  <c r="C967" i="22"/>
  <c r="C968" i="22"/>
  <c r="C969" i="22"/>
  <c r="C970" i="22"/>
  <c r="C971" i="22"/>
  <c r="C972" i="22"/>
  <c r="C973" i="22"/>
  <c r="C974" i="22"/>
  <c r="C975" i="22"/>
  <c r="C976" i="22"/>
  <c r="C977" i="22"/>
  <c r="C978" i="22"/>
  <c r="C979" i="22"/>
  <c r="C980" i="22"/>
  <c r="C981" i="22"/>
  <c r="C982" i="22"/>
  <c r="C983" i="22"/>
  <c r="C984" i="22"/>
  <c r="C985" i="22"/>
  <c r="C986" i="22"/>
  <c r="C987" i="22"/>
  <c r="C988" i="22"/>
  <c r="C989" i="22"/>
  <c r="C990" i="22"/>
  <c r="C991" i="22"/>
  <c r="C992" i="22"/>
  <c r="C993" i="22"/>
  <c r="C994" i="22"/>
  <c r="C995" i="22"/>
  <c r="C996" i="22"/>
  <c r="C997" i="22"/>
  <c r="C998" i="22"/>
  <c r="C999" i="22"/>
  <c r="C1000" i="22"/>
  <c r="C1001" i="22"/>
  <c r="C1002" i="22"/>
  <c r="C1003" i="22"/>
  <c r="C1004" i="22"/>
  <c r="C1005" i="22"/>
  <c r="C1006" i="22"/>
  <c r="C1007" i="22"/>
  <c r="C1008" i="22"/>
  <c r="C1009" i="22"/>
  <c r="C1010" i="22"/>
  <c r="C1011" i="22"/>
  <c r="C1012" i="22"/>
  <c r="C1013" i="22"/>
  <c r="C1014" i="22"/>
  <c r="C1015" i="22"/>
  <c r="C1016" i="22"/>
  <c r="C1017" i="22"/>
  <c r="C1018" i="22"/>
  <c r="C1019" i="22"/>
  <c r="C1020" i="22"/>
  <c r="C1021" i="22"/>
  <c r="C1022" i="22"/>
  <c r="C1023" i="22"/>
  <c r="C1024" i="22"/>
  <c r="C1025" i="22"/>
  <c r="C1026" i="22"/>
  <c r="C1027" i="22"/>
  <c r="C1028" i="22"/>
  <c r="C1029" i="22"/>
  <c r="C1030" i="22"/>
  <c r="C1031" i="22"/>
  <c r="C1032" i="22"/>
  <c r="C1033" i="22"/>
  <c r="C1034" i="22"/>
  <c r="C1035" i="22"/>
  <c r="C1036" i="22"/>
  <c r="C1037" i="22"/>
  <c r="C1038" i="22"/>
  <c r="C1039" i="22"/>
  <c r="C1040" i="22"/>
  <c r="C1041" i="22"/>
  <c r="C1042" i="22"/>
  <c r="C1043" i="22"/>
  <c r="C1044" i="22"/>
  <c r="C1045" i="22"/>
  <c r="C1046" i="22"/>
  <c r="C1047" i="22"/>
  <c r="C1048" i="22"/>
  <c r="C1049" i="22"/>
  <c r="C1050" i="22"/>
  <c r="C1051" i="22"/>
  <c r="C1052" i="22"/>
  <c r="C1053" i="22"/>
  <c r="C1054" i="22"/>
  <c r="C1055" i="22"/>
  <c r="C1056" i="22"/>
  <c r="C1057" i="22"/>
  <c r="C1058" i="22"/>
  <c r="C1059" i="22"/>
  <c r="C1060" i="22"/>
  <c r="C1061" i="22"/>
  <c r="C1062" i="22"/>
  <c r="C1063" i="22"/>
  <c r="C1064" i="22"/>
  <c r="C1065" i="22"/>
  <c r="C1066" i="22"/>
  <c r="C1067" i="22"/>
  <c r="C1068" i="22"/>
  <c r="C1069" i="22"/>
  <c r="C1070" i="22"/>
  <c r="C1071" i="22"/>
  <c r="C1072" i="22"/>
  <c r="C1073" i="22"/>
  <c r="C1074" i="22"/>
  <c r="C1075" i="22"/>
  <c r="C1076" i="22"/>
  <c r="C1077" i="22"/>
  <c r="C1078" i="22"/>
  <c r="C1079" i="22"/>
  <c r="C1080" i="22"/>
  <c r="C1081" i="22"/>
  <c r="C1082" i="22"/>
  <c r="C1083" i="22"/>
  <c r="C1084" i="22"/>
  <c r="C1085" i="22"/>
  <c r="C1086" i="22"/>
  <c r="C1087" i="22"/>
  <c r="C1088" i="22"/>
  <c r="C1089" i="22"/>
  <c r="C1090" i="22"/>
  <c r="C1091" i="22"/>
  <c r="C1092" i="22"/>
  <c r="C1093" i="22"/>
  <c r="C1094" i="22"/>
  <c r="C1095" i="22"/>
  <c r="C1096" i="22"/>
  <c r="C1097" i="22"/>
  <c r="C1098" i="22"/>
  <c r="C1099" i="22"/>
  <c r="C1100" i="22"/>
  <c r="C1101" i="22"/>
  <c r="C1102" i="22"/>
  <c r="C1103" i="22"/>
  <c r="C1104" i="22"/>
  <c r="C1105" i="22"/>
  <c r="C1106" i="22"/>
  <c r="C1107" i="22"/>
  <c r="C1108" i="22"/>
  <c r="C1109" i="22"/>
  <c r="C1110" i="22"/>
  <c r="C1111" i="22"/>
  <c r="C1112" i="22"/>
  <c r="C1113" i="22"/>
  <c r="C1114" i="22"/>
  <c r="C1115" i="22"/>
  <c r="C1116" i="22"/>
  <c r="C1117" i="22"/>
  <c r="C1118" i="22"/>
  <c r="C1119" i="22"/>
  <c r="C1120" i="22"/>
  <c r="C1121" i="22"/>
  <c r="C1122" i="22"/>
  <c r="C1123" i="22"/>
  <c r="C1124" i="22"/>
  <c r="C1125" i="22"/>
  <c r="C1126" i="22"/>
  <c r="C1127" i="22"/>
  <c r="C1128" i="22"/>
  <c r="C1129" i="22"/>
  <c r="C1130" i="22"/>
  <c r="C1131" i="22"/>
  <c r="C1132" i="22"/>
  <c r="C1133" i="22"/>
  <c r="C1134" i="22"/>
  <c r="C1135" i="22"/>
  <c r="C1136" i="22"/>
  <c r="C1137" i="22"/>
  <c r="C1138" i="22"/>
  <c r="C1139" i="22"/>
  <c r="C1140" i="22"/>
  <c r="C1141" i="22"/>
  <c r="C1142" i="22"/>
  <c r="C1143" i="22"/>
  <c r="C1144" i="22"/>
  <c r="C1145" i="22"/>
  <c r="C1146" i="22"/>
  <c r="C1147" i="22"/>
  <c r="C1148" i="22"/>
  <c r="C1149" i="22"/>
  <c r="C1150" i="22"/>
  <c r="C1151" i="22"/>
  <c r="C1152" i="22"/>
  <c r="C1153" i="22"/>
  <c r="C1154" i="22"/>
  <c r="C1155" i="22"/>
  <c r="C1156" i="22"/>
  <c r="C1157" i="22"/>
  <c r="C1158" i="22"/>
  <c r="C1159" i="22"/>
  <c r="C1160" i="22"/>
  <c r="C1161" i="22"/>
  <c r="C1162" i="22"/>
  <c r="C1163" i="22"/>
  <c r="C1164" i="22"/>
  <c r="C1165" i="22"/>
  <c r="C1166" i="22"/>
  <c r="C1167" i="22"/>
  <c r="C1168" i="22"/>
  <c r="C1169" i="22"/>
  <c r="C1170" i="22"/>
  <c r="C1171" i="22"/>
  <c r="C1172" i="22"/>
  <c r="C1173" i="22"/>
  <c r="C1174" i="22"/>
  <c r="C1175" i="22"/>
  <c r="C1176" i="22"/>
  <c r="C1177" i="22"/>
  <c r="C1178" i="22"/>
  <c r="C1179" i="22"/>
  <c r="C1180" i="22"/>
  <c r="C1181" i="22"/>
  <c r="C1182" i="22"/>
  <c r="C1183" i="22"/>
  <c r="C1184" i="22"/>
  <c r="C1185" i="22"/>
  <c r="C1186" i="22"/>
  <c r="C1187" i="22"/>
  <c r="C1188" i="22"/>
  <c r="C1189" i="22"/>
  <c r="C1190" i="22"/>
  <c r="C1191" i="22"/>
  <c r="C1192" i="22"/>
  <c r="C1193" i="22"/>
  <c r="C1194" i="22"/>
  <c r="C1195" i="22"/>
  <c r="C1196" i="22"/>
  <c r="C1197" i="22"/>
  <c r="C1198" i="22"/>
  <c r="C1199" i="22"/>
  <c r="C1200" i="22"/>
  <c r="C1201" i="22"/>
  <c r="C1202" i="22"/>
  <c r="C1203" i="22"/>
  <c r="C1204" i="22"/>
  <c r="C1205" i="22"/>
  <c r="C1206" i="22"/>
  <c r="C1207" i="22"/>
  <c r="C1208" i="22"/>
  <c r="C1209" i="22"/>
  <c r="C1210" i="22"/>
  <c r="C1211" i="22"/>
  <c r="C1212" i="22"/>
  <c r="C1213" i="22"/>
  <c r="C1214" i="22"/>
  <c r="C1215" i="22"/>
  <c r="C1216" i="22"/>
  <c r="C1217" i="22"/>
  <c r="C1218" i="22"/>
  <c r="C1219" i="22"/>
  <c r="C1220" i="22"/>
  <c r="C1221" i="22"/>
  <c r="C1222" i="22"/>
  <c r="C1223" i="22"/>
  <c r="C1224" i="22"/>
  <c r="C1225" i="22"/>
  <c r="C1226" i="22"/>
  <c r="C1227" i="22"/>
  <c r="C1228" i="22"/>
  <c r="C1229" i="22"/>
  <c r="C1230" i="22"/>
  <c r="C1231" i="22"/>
  <c r="C1232" i="22"/>
  <c r="C1233" i="22"/>
  <c r="C1234" i="22"/>
  <c r="C1235" i="22"/>
  <c r="C1236" i="22"/>
  <c r="C1237" i="22"/>
  <c r="C1238" i="22"/>
  <c r="C1239" i="22"/>
  <c r="C1240" i="22"/>
  <c r="C1241" i="22"/>
  <c r="C1242" i="22"/>
  <c r="C1243" i="22"/>
  <c r="C1244" i="22"/>
  <c r="C1245" i="22"/>
  <c r="C1246" i="22"/>
  <c r="C1247" i="22"/>
  <c r="C1248" i="22"/>
  <c r="C1249" i="22"/>
  <c r="C1250" i="22"/>
  <c r="C1251" i="22"/>
  <c r="C1252" i="22"/>
  <c r="C1253" i="22"/>
  <c r="C1254" i="22"/>
  <c r="C1255" i="22"/>
  <c r="C1256" i="22"/>
  <c r="C1257" i="22"/>
  <c r="C1258" i="22"/>
  <c r="C1259" i="22"/>
  <c r="C1260" i="22"/>
  <c r="C1261" i="22"/>
  <c r="C1262" i="22"/>
  <c r="C1263" i="22"/>
  <c r="C1264" i="22"/>
  <c r="C1265" i="22"/>
  <c r="C1266" i="22"/>
  <c r="C1267" i="22"/>
  <c r="C1268" i="22"/>
  <c r="C1269" i="22"/>
  <c r="C1270" i="22"/>
  <c r="C1271" i="22"/>
  <c r="C1272" i="22"/>
  <c r="C1273" i="22"/>
  <c r="C1274" i="22"/>
  <c r="C1275" i="22"/>
  <c r="C1276" i="22"/>
  <c r="C1277" i="22"/>
  <c r="C1278" i="22"/>
  <c r="C1279" i="22"/>
  <c r="C1280" i="22"/>
  <c r="C1281" i="22"/>
  <c r="C1282" i="22"/>
  <c r="C1283" i="22"/>
  <c r="C1284" i="22"/>
  <c r="C1285" i="22"/>
  <c r="C1286" i="22"/>
  <c r="C1287" i="22"/>
  <c r="C1288" i="22"/>
  <c r="C1289" i="22"/>
  <c r="C1290" i="22"/>
  <c r="C1291" i="22"/>
  <c r="C1292" i="22"/>
  <c r="C1293" i="22"/>
  <c r="C1294" i="22"/>
  <c r="C1295" i="22"/>
  <c r="C1296" i="22"/>
  <c r="C1297" i="22"/>
  <c r="C1298" i="22"/>
  <c r="C1299" i="22"/>
  <c r="C1300" i="22"/>
  <c r="C1301" i="22"/>
  <c r="C1302" i="22"/>
  <c r="C1303" i="22"/>
  <c r="C1304" i="22"/>
  <c r="C1305" i="22"/>
  <c r="C1306" i="22"/>
  <c r="C1307" i="22"/>
  <c r="C1308" i="22"/>
  <c r="C1309" i="22"/>
  <c r="C1310" i="22"/>
  <c r="C1311" i="22"/>
  <c r="C1312" i="22"/>
  <c r="C1313" i="22"/>
  <c r="C1314" i="22"/>
  <c r="C1315" i="22"/>
  <c r="C1316" i="22"/>
  <c r="C1317" i="22"/>
  <c r="C1318" i="22"/>
  <c r="C1319" i="22"/>
  <c r="C1320" i="22"/>
  <c r="C1321" i="22"/>
  <c r="C1322" i="22"/>
  <c r="C1323" i="22"/>
  <c r="C1324" i="22"/>
  <c r="C1325" i="22"/>
  <c r="C1326" i="22"/>
  <c r="C1327" i="22"/>
  <c r="C1328" i="22"/>
  <c r="C1329" i="22"/>
  <c r="C1330" i="22"/>
  <c r="C1331" i="22"/>
  <c r="C1332" i="22"/>
  <c r="C1333" i="22"/>
  <c r="C1334" i="22"/>
  <c r="C1335" i="22"/>
  <c r="C1336" i="22"/>
  <c r="C1337" i="22"/>
  <c r="C1338" i="22"/>
  <c r="C1339" i="22"/>
  <c r="C1340" i="22"/>
  <c r="C1341" i="22"/>
  <c r="C1342" i="22"/>
  <c r="C1343" i="22"/>
  <c r="C1344" i="22"/>
  <c r="C1345" i="22"/>
  <c r="C1346" i="22"/>
  <c r="C1347" i="22"/>
  <c r="C1348" i="22"/>
  <c r="C1349" i="22"/>
  <c r="C1350" i="22"/>
  <c r="C1351" i="22"/>
  <c r="C1352" i="22"/>
  <c r="C1353" i="22"/>
  <c r="C1354" i="22"/>
  <c r="C1355" i="22"/>
  <c r="C1356" i="22"/>
  <c r="C1357" i="22"/>
  <c r="C1358" i="22"/>
  <c r="C1359" i="22"/>
  <c r="C1360" i="22"/>
  <c r="C1361" i="22"/>
  <c r="C1362" i="22"/>
  <c r="C1363" i="22"/>
  <c r="C1364" i="22"/>
  <c r="C1365" i="22"/>
  <c r="C1366" i="22"/>
  <c r="C1367" i="22"/>
  <c r="C1368" i="22"/>
  <c r="C1369" i="22"/>
  <c r="C1370" i="22"/>
  <c r="C1371" i="22"/>
  <c r="C1372" i="22"/>
  <c r="C1373" i="22"/>
  <c r="C1374" i="22"/>
  <c r="C1375" i="22"/>
  <c r="C1376" i="22"/>
  <c r="C1377" i="22"/>
  <c r="C1378" i="22"/>
  <c r="C1379" i="22"/>
  <c r="C1380" i="22"/>
  <c r="C1381" i="22"/>
  <c r="C1382" i="22"/>
  <c r="C1383" i="22"/>
  <c r="C1384" i="22"/>
  <c r="C1385" i="22"/>
  <c r="C1386" i="22"/>
  <c r="C1387" i="22"/>
  <c r="C1388" i="22"/>
  <c r="C1389" i="22"/>
  <c r="C1390" i="22"/>
  <c r="C1391" i="22"/>
  <c r="C1392" i="22"/>
  <c r="C1393" i="22"/>
  <c r="C1394" i="22"/>
  <c r="C1395" i="22"/>
  <c r="C1396" i="22"/>
  <c r="C1397" i="22"/>
  <c r="C1398" i="22"/>
  <c r="C1399" i="22"/>
  <c r="C1400" i="22"/>
  <c r="C1401" i="22"/>
  <c r="C1402" i="22"/>
  <c r="C1403" i="22"/>
  <c r="C1404" i="22"/>
  <c r="C1405" i="22"/>
  <c r="C1406" i="22"/>
  <c r="C1407" i="22"/>
  <c r="C1408" i="22"/>
  <c r="C1409" i="22"/>
  <c r="C1410" i="22"/>
  <c r="C1411" i="22"/>
  <c r="C1412" i="22"/>
  <c r="C1413" i="22"/>
  <c r="C1414" i="22"/>
  <c r="C1415" i="22"/>
  <c r="C1416" i="22"/>
  <c r="C1417" i="22"/>
  <c r="C1418" i="22"/>
  <c r="C1419" i="22"/>
  <c r="C1420" i="22"/>
  <c r="C1421" i="22"/>
  <c r="C1422" i="22"/>
  <c r="C1423" i="22"/>
  <c r="C1424" i="22"/>
  <c r="C1425" i="22"/>
  <c r="C1426" i="22"/>
  <c r="C1427" i="22"/>
  <c r="C1428" i="22"/>
  <c r="C1429" i="22"/>
  <c r="C1430" i="22"/>
  <c r="C1431" i="22"/>
  <c r="C1432" i="22"/>
  <c r="C1433" i="22"/>
  <c r="C1434" i="22"/>
  <c r="C1435" i="22"/>
  <c r="C1436" i="22"/>
  <c r="C1437" i="22"/>
  <c r="C1438" i="22"/>
  <c r="C1439" i="22"/>
  <c r="C1440" i="22"/>
  <c r="C1441" i="22"/>
  <c r="C1442" i="22"/>
  <c r="C1443" i="22"/>
  <c r="C1444" i="22"/>
  <c r="C1445" i="22"/>
  <c r="C1446" i="22"/>
  <c r="C1447" i="22"/>
  <c r="C1448" i="22"/>
  <c r="C1449" i="22"/>
  <c r="C1450" i="22"/>
  <c r="C1451" i="22"/>
  <c r="C1452" i="22"/>
  <c r="C1453" i="22"/>
  <c r="C1454" i="22"/>
  <c r="C1455" i="22"/>
  <c r="C1456" i="22"/>
  <c r="C1457" i="22"/>
  <c r="C1458" i="22"/>
  <c r="C1459" i="22"/>
  <c r="C1460" i="22"/>
  <c r="C1461" i="22"/>
  <c r="C1462" i="22"/>
  <c r="C1463" i="22"/>
  <c r="C1464" i="22"/>
  <c r="C1465" i="22"/>
  <c r="C1466" i="22"/>
  <c r="C1467" i="22"/>
  <c r="C1468" i="22"/>
  <c r="C1469" i="22"/>
  <c r="C1470" i="22"/>
  <c r="C1471" i="22"/>
  <c r="C1472" i="22"/>
  <c r="C1473" i="22"/>
  <c r="C1474" i="22"/>
  <c r="C1475" i="22"/>
  <c r="C1476" i="22"/>
  <c r="C1477" i="22"/>
  <c r="C1478" i="22"/>
  <c r="C1479" i="22"/>
  <c r="C1480" i="22"/>
  <c r="C1481" i="22"/>
  <c r="C1482" i="22"/>
  <c r="C1483" i="22"/>
  <c r="C1484" i="22"/>
  <c r="C1485" i="22"/>
  <c r="C1486" i="22"/>
  <c r="C1487" i="22"/>
  <c r="C1488" i="22"/>
  <c r="C1489" i="22"/>
  <c r="C1490" i="22"/>
  <c r="C1491" i="22"/>
  <c r="C1492" i="22"/>
  <c r="C1493" i="22"/>
  <c r="C1494" i="22"/>
  <c r="C1495" i="22"/>
  <c r="C1496" i="22"/>
  <c r="C1497" i="22"/>
  <c r="C1498" i="22"/>
  <c r="C1499" i="22"/>
  <c r="C1500" i="22"/>
  <c r="C1501" i="22"/>
  <c r="C1502" i="22"/>
  <c r="C1503" i="22"/>
  <c r="C1504" i="22"/>
  <c r="C1505" i="22"/>
  <c r="C1506" i="22"/>
  <c r="C1507" i="22"/>
  <c r="C1508" i="22"/>
  <c r="C1509" i="22"/>
  <c r="C1510" i="22"/>
  <c r="C1511" i="22"/>
  <c r="C1512" i="22"/>
  <c r="C1513" i="22"/>
  <c r="C1514" i="22"/>
  <c r="C1515" i="22"/>
  <c r="C1516" i="22"/>
  <c r="C1517" i="22"/>
  <c r="C1518" i="22"/>
  <c r="C1519" i="22"/>
  <c r="C1520" i="22"/>
  <c r="C1521" i="22"/>
  <c r="C1522" i="22"/>
  <c r="C1523" i="22"/>
  <c r="C1524" i="22"/>
  <c r="C1525" i="22"/>
  <c r="C1526" i="22"/>
  <c r="C1527" i="22"/>
  <c r="C1528" i="22"/>
  <c r="C1529" i="22"/>
  <c r="C1530" i="22"/>
  <c r="C1531" i="22"/>
  <c r="C1532" i="22"/>
  <c r="C1533" i="22"/>
  <c r="C1534" i="22"/>
  <c r="C1535" i="22"/>
  <c r="C1536" i="22"/>
  <c r="C1537" i="22"/>
  <c r="C1538" i="22"/>
  <c r="C1539" i="22"/>
  <c r="C1540" i="22"/>
  <c r="C1541" i="22"/>
  <c r="C1542" i="22"/>
  <c r="C1543" i="22"/>
  <c r="C1544" i="22"/>
  <c r="C1545" i="22"/>
  <c r="C1546" i="22"/>
  <c r="C1547" i="22"/>
  <c r="C1548" i="22"/>
  <c r="C1549" i="22"/>
  <c r="C1550" i="22"/>
  <c r="C1551" i="22"/>
  <c r="C1552" i="22"/>
  <c r="C1553" i="22"/>
  <c r="C1554" i="22"/>
  <c r="C1555" i="22"/>
  <c r="C1556" i="22"/>
  <c r="C1557" i="22"/>
  <c r="C1558" i="22"/>
  <c r="C1559" i="22"/>
  <c r="C1560" i="22"/>
  <c r="C1561" i="22"/>
  <c r="C1562" i="22"/>
  <c r="C1563" i="22"/>
  <c r="C1564" i="22"/>
  <c r="C1565" i="22"/>
  <c r="C1566" i="22"/>
  <c r="C1567" i="22"/>
  <c r="C1568" i="22"/>
  <c r="C1569" i="22"/>
  <c r="C1570" i="22"/>
  <c r="C1571" i="22"/>
  <c r="C1572" i="22"/>
  <c r="C1573" i="22"/>
  <c r="C1574" i="22"/>
  <c r="C1575" i="22"/>
  <c r="C1576" i="22"/>
  <c r="C1577" i="22"/>
  <c r="C1578" i="22"/>
  <c r="C1579" i="22"/>
  <c r="C1580" i="22"/>
  <c r="C1581" i="22"/>
  <c r="C1582" i="22"/>
  <c r="C1583" i="22"/>
  <c r="C1584" i="22"/>
  <c r="C1585" i="22"/>
  <c r="C1586" i="22"/>
  <c r="C1587" i="22"/>
  <c r="C1588" i="22"/>
  <c r="C1589" i="22"/>
  <c r="C1590" i="22"/>
  <c r="C1591" i="22"/>
  <c r="C1592" i="22"/>
  <c r="C1593" i="22"/>
  <c r="C1594" i="22"/>
  <c r="C1595" i="22"/>
  <c r="C1596" i="22"/>
  <c r="C1597" i="22"/>
  <c r="C1598" i="22"/>
  <c r="C1599" i="22"/>
  <c r="C1600" i="22"/>
  <c r="C1601" i="22"/>
  <c r="C1602" i="22"/>
  <c r="C1603" i="22"/>
  <c r="C1604" i="22"/>
  <c r="C1605" i="22"/>
  <c r="C1606" i="22"/>
  <c r="C1607" i="22"/>
  <c r="C1608" i="22"/>
  <c r="C1609" i="22"/>
  <c r="C1610" i="22"/>
  <c r="C1611" i="22"/>
  <c r="C1612" i="22"/>
  <c r="C1613" i="22"/>
  <c r="C1614" i="22"/>
  <c r="C1615" i="22"/>
  <c r="C1616" i="22"/>
  <c r="C1617" i="22"/>
  <c r="C1618" i="22"/>
  <c r="C1619" i="22"/>
  <c r="C1620" i="22"/>
  <c r="C1621" i="22"/>
  <c r="C1622" i="22"/>
  <c r="C1623" i="22"/>
  <c r="C1624" i="22"/>
  <c r="C1625" i="22"/>
  <c r="C1626" i="22"/>
  <c r="C1627" i="22"/>
  <c r="C1628" i="22"/>
  <c r="C1629" i="22"/>
  <c r="C1630" i="22"/>
  <c r="C1631" i="22"/>
  <c r="C1632" i="22"/>
  <c r="C1633" i="22"/>
  <c r="C1634" i="22"/>
  <c r="C1635" i="22"/>
  <c r="C1636" i="22"/>
  <c r="C1637" i="22"/>
  <c r="C1638" i="22"/>
  <c r="C1639" i="22"/>
  <c r="C1640" i="22"/>
  <c r="C1641" i="22"/>
  <c r="C1642" i="22"/>
  <c r="C1643" i="22"/>
  <c r="C1644" i="22"/>
  <c r="C1645" i="22"/>
  <c r="C1646" i="22"/>
  <c r="C1647" i="22"/>
  <c r="C1648" i="22"/>
  <c r="C1649" i="22"/>
  <c r="C1650" i="22"/>
  <c r="C1651" i="22"/>
  <c r="C1652" i="22"/>
  <c r="C1653" i="22"/>
  <c r="C1654" i="22"/>
  <c r="C1655" i="22"/>
  <c r="C1656" i="22"/>
  <c r="C1657" i="22"/>
  <c r="C1658" i="22"/>
  <c r="C1659" i="22"/>
  <c r="C1660" i="22"/>
  <c r="C1661" i="22"/>
  <c r="C1662" i="22"/>
  <c r="C1663" i="22"/>
  <c r="C1664" i="22"/>
  <c r="C1665" i="22"/>
  <c r="C1666" i="22"/>
  <c r="C1667" i="22"/>
  <c r="C1668" i="22"/>
  <c r="C1669" i="22"/>
  <c r="C1670" i="22"/>
  <c r="C1671" i="22"/>
  <c r="C1672" i="22"/>
  <c r="C1673" i="22"/>
  <c r="C1674" i="22"/>
  <c r="C1675" i="22"/>
  <c r="C1676" i="22"/>
  <c r="C1677" i="22"/>
  <c r="C1678" i="22"/>
  <c r="C1679" i="22"/>
  <c r="C1680" i="22"/>
  <c r="C1681" i="22"/>
  <c r="C1682" i="22"/>
  <c r="C1683" i="22"/>
  <c r="C1684" i="22"/>
  <c r="C1685" i="22"/>
  <c r="C1686" i="22"/>
  <c r="C1687" i="22"/>
  <c r="C1688" i="22"/>
  <c r="C1689" i="22"/>
  <c r="C1690" i="22"/>
  <c r="C1691" i="22"/>
  <c r="C1692" i="22"/>
  <c r="C1693" i="22"/>
  <c r="C1694" i="22"/>
  <c r="C1695" i="22"/>
  <c r="C1696" i="22"/>
  <c r="C1697" i="22"/>
  <c r="C1698" i="22"/>
  <c r="C1699" i="22"/>
  <c r="C1700" i="22"/>
  <c r="C1701" i="22"/>
  <c r="C1702" i="22"/>
  <c r="C1703" i="22"/>
  <c r="C1704" i="22"/>
  <c r="C1705" i="22"/>
  <c r="C1706" i="22"/>
  <c r="C1707" i="22"/>
  <c r="C1708" i="22"/>
  <c r="C1709" i="22"/>
  <c r="C1710" i="22"/>
  <c r="C1711" i="22"/>
  <c r="C1712" i="22"/>
  <c r="C1713" i="22"/>
  <c r="C1714" i="22"/>
  <c r="C1715" i="22"/>
  <c r="C1716" i="22"/>
  <c r="C1717" i="22"/>
  <c r="C1718" i="22"/>
  <c r="C1719" i="22"/>
  <c r="C1720" i="22"/>
  <c r="C1721" i="22"/>
  <c r="C1722" i="22"/>
  <c r="C1723" i="22"/>
  <c r="C1724" i="22"/>
  <c r="C1725" i="22"/>
  <c r="C1726" i="22"/>
  <c r="C1727" i="22"/>
  <c r="C1728" i="22"/>
  <c r="C1729" i="22"/>
  <c r="C1730" i="22"/>
  <c r="C1731" i="22"/>
  <c r="C1732" i="22"/>
  <c r="C1733" i="22"/>
  <c r="C1734" i="22"/>
  <c r="C1735" i="22"/>
  <c r="C1736" i="22"/>
  <c r="C1737" i="22"/>
  <c r="C1738" i="22"/>
  <c r="C1739" i="22"/>
  <c r="C1740" i="22"/>
  <c r="C1741" i="22"/>
  <c r="C1742" i="22"/>
  <c r="C1743" i="22"/>
  <c r="C1744" i="22"/>
  <c r="C1745" i="22"/>
  <c r="C1746" i="22"/>
  <c r="C1747" i="22"/>
  <c r="C1748" i="22"/>
  <c r="C1749" i="22"/>
  <c r="C1750" i="22"/>
  <c r="C1751" i="22"/>
  <c r="C1752" i="22"/>
  <c r="C1753" i="22"/>
  <c r="C1754" i="22"/>
  <c r="C1755" i="22"/>
  <c r="C1756" i="22"/>
  <c r="C1757" i="22"/>
  <c r="C1758" i="22"/>
  <c r="C1759" i="22"/>
  <c r="C1760" i="22"/>
  <c r="C1761" i="22"/>
  <c r="C1762" i="22"/>
  <c r="C1763" i="22"/>
  <c r="C1764" i="22"/>
  <c r="C1765" i="22"/>
  <c r="C1766" i="22"/>
  <c r="C1767" i="22"/>
  <c r="C1768" i="22"/>
  <c r="C1769" i="22"/>
  <c r="C1770" i="22"/>
  <c r="C1771" i="22"/>
  <c r="C1772" i="22"/>
  <c r="C1773" i="22"/>
  <c r="C1774" i="22"/>
  <c r="C1775" i="22"/>
  <c r="C1776" i="22"/>
  <c r="C1777" i="22"/>
  <c r="C1778" i="22"/>
  <c r="C1779" i="22"/>
  <c r="C1780" i="22"/>
  <c r="C1781" i="22"/>
  <c r="C1782" i="22"/>
  <c r="C1783" i="22"/>
  <c r="C1784" i="22"/>
  <c r="C1785" i="22"/>
  <c r="C1786" i="22"/>
  <c r="C1787" i="22"/>
  <c r="C1788" i="22"/>
  <c r="C1789" i="22"/>
  <c r="C1790" i="22"/>
  <c r="C1791" i="22"/>
  <c r="C1792" i="22"/>
  <c r="C1793" i="22"/>
  <c r="C1794" i="22"/>
  <c r="C1795" i="22"/>
  <c r="C1796" i="22"/>
  <c r="C1797" i="22"/>
  <c r="C1798" i="22"/>
  <c r="C1799" i="22"/>
  <c r="C1800" i="22"/>
  <c r="C1801" i="22"/>
  <c r="C1802" i="22"/>
  <c r="C1803" i="22"/>
  <c r="C1804" i="22"/>
  <c r="C1805" i="22"/>
  <c r="C1806" i="22"/>
  <c r="C1807" i="22"/>
  <c r="C1808" i="22"/>
  <c r="C1809" i="22"/>
  <c r="C1810" i="22"/>
  <c r="C1811" i="22"/>
  <c r="C1812" i="22"/>
  <c r="C1813" i="22"/>
  <c r="C1814" i="22"/>
  <c r="C1815" i="22"/>
  <c r="C1816" i="22"/>
  <c r="C1817" i="22"/>
  <c r="C1818" i="22"/>
  <c r="C1819" i="22"/>
  <c r="C1820" i="22"/>
  <c r="C1821" i="22"/>
  <c r="C1822" i="22"/>
  <c r="C1823" i="22"/>
  <c r="C1824" i="22"/>
  <c r="C1825" i="22"/>
  <c r="C1826" i="22"/>
  <c r="C1827" i="22"/>
  <c r="C1828" i="22"/>
  <c r="C1829" i="22"/>
  <c r="C1830" i="22"/>
  <c r="C1831" i="22"/>
  <c r="C1832" i="22"/>
  <c r="C1833" i="22"/>
  <c r="C1834" i="22"/>
  <c r="C1835" i="22"/>
  <c r="C1836" i="22"/>
  <c r="C1837" i="22"/>
  <c r="C1838" i="22"/>
  <c r="C1839" i="22"/>
  <c r="C1840" i="22"/>
  <c r="C1841" i="22"/>
  <c r="C1842" i="22"/>
  <c r="C1843" i="22"/>
  <c r="C1844" i="22"/>
  <c r="C1845" i="22"/>
  <c r="C1846" i="22"/>
  <c r="C1847" i="22"/>
  <c r="C1848" i="22"/>
  <c r="C1849" i="22"/>
  <c r="C1850" i="22"/>
  <c r="C1851" i="22"/>
  <c r="C1852" i="22"/>
  <c r="C1853" i="22"/>
  <c r="C1854" i="22"/>
  <c r="C1855" i="22"/>
  <c r="C1856" i="22"/>
  <c r="C1857" i="22"/>
  <c r="C1858" i="22"/>
  <c r="C1859" i="22"/>
  <c r="C1860" i="22"/>
  <c r="C1861" i="22"/>
  <c r="C1862" i="22"/>
  <c r="C1863" i="22"/>
  <c r="C1864" i="22"/>
  <c r="C1865" i="22"/>
  <c r="C1866" i="22"/>
  <c r="C1867" i="22"/>
  <c r="C1868" i="22"/>
  <c r="C1869" i="22"/>
  <c r="C1870" i="22"/>
  <c r="C1871" i="22"/>
  <c r="C1872" i="22"/>
  <c r="C1873" i="22"/>
  <c r="C1874" i="22"/>
  <c r="C1875" i="22"/>
  <c r="C1876" i="22"/>
  <c r="C1877" i="22"/>
  <c r="C1878" i="22"/>
  <c r="C1879" i="22"/>
  <c r="C1880" i="22"/>
  <c r="C1881" i="22"/>
  <c r="C1882" i="22"/>
  <c r="C1883" i="22"/>
  <c r="C1884" i="22"/>
  <c r="C1885" i="22"/>
  <c r="C1886" i="22"/>
  <c r="C1887" i="22"/>
  <c r="C1888" i="22"/>
  <c r="C1889" i="22"/>
  <c r="C1890" i="22"/>
  <c r="C1891" i="22"/>
  <c r="C1892" i="22"/>
  <c r="C1893" i="22"/>
  <c r="C1894" i="22"/>
  <c r="C1895" i="22"/>
  <c r="C1896" i="22"/>
  <c r="C1897" i="22"/>
  <c r="C1898" i="22"/>
  <c r="C1899" i="22"/>
  <c r="C1900" i="22"/>
  <c r="C1901" i="22"/>
  <c r="C1902" i="22"/>
  <c r="C1903" i="22"/>
  <c r="C1904" i="22"/>
  <c r="C1905" i="22"/>
  <c r="C1906" i="22"/>
  <c r="C1907" i="22"/>
  <c r="C1908" i="22"/>
  <c r="C1909" i="22"/>
  <c r="C1910" i="22"/>
  <c r="C1911" i="22"/>
  <c r="C1912" i="22"/>
  <c r="C1913" i="22"/>
  <c r="C1914" i="22"/>
  <c r="C1915" i="22"/>
  <c r="C1916" i="22"/>
  <c r="C1917" i="22"/>
  <c r="C1918" i="22"/>
  <c r="C1919" i="22"/>
  <c r="C1920" i="22"/>
  <c r="C1921" i="22"/>
  <c r="C1922" i="22"/>
  <c r="C1923" i="22"/>
  <c r="C1924" i="22"/>
  <c r="C1925" i="22"/>
  <c r="C1926" i="22"/>
  <c r="C1927" i="22"/>
  <c r="C1928" i="22"/>
  <c r="C1929" i="22"/>
  <c r="C1930" i="22"/>
  <c r="C1931" i="22"/>
  <c r="C1932" i="22"/>
  <c r="C1933" i="22"/>
  <c r="C1934" i="22"/>
  <c r="C1935" i="22"/>
  <c r="C1936" i="22"/>
  <c r="C1937" i="22"/>
  <c r="C1938" i="22"/>
  <c r="C1939" i="22"/>
  <c r="C1940" i="22"/>
  <c r="C1941" i="22"/>
  <c r="C1942" i="22"/>
  <c r="C1943" i="22"/>
  <c r="C1944" i="22"/>
  <c r="C1945" i="22"/>
  <c r="C1946" i="22"/>
  <c r="C1947" i="22"/>
  <c r="C1948" i="22"/>
  <c r="C1949" i="22"/>
  <c r="C1950" i="22"/>
  <c r="C1951" i="22"/>
  <c r="C1952" i="22"/>
  <c r="C1953" i="22"/>
  <c r="C1954" i="22"/>
  <c r="C1955" i="22"/>
  <c r="C1956" i="22"/>
  <c r="C1957" i="22"/>
  <c r="C1958" i="22"/>
  <c r="C1959" i="22"/>
  <c r="C1960" i="22"/>
  <c r="C1961" i="22"/>
  <c r="C1962" i="22"/>
  <c r="C1963" i="22"/>
  <c r="C1964" i="22"/>
  <c r="C1965" i="22"/>
  <c r="C1966" i="22"/>
  <c r="C1967" i="22"/>
  <c r="C1968" i="22"/>
  <c r="C1969" i="22"/>
  <c r="C1970" i="22"/>
  <c r="C1971" i="22"/>
  <c r="C1972" i="22"/>
  <c r="C1973" i="22"/>
  <c r="C1974" i="22"/>
  <c r="C1975" i="22"/>
  <c r="C1976" i="22"/>
  <c r="C1977" i="22"/>
  <c r="C1978" i="22"/>
  <c r="C1979" i="22"/>
  <c r="C1980" i="22"/>
  <c r="C1981" i="22"/>
  <c r="C1982" i="22"/>
  <c r="C1983" i="22"/>
  <c r="C1984" i="22"/>
  <c r="C1985" i="22"/>
  <c r="C1986" i="22"/>
  <c r="C1987" i="22"/>
  <c r="C1988" i="22"/>
  <c r="C1989" i="22"/>
  <c r="C1990" i="22"/>
  <c r="C1991" i="22"/>
  <c r="C1992" i="22"/>
  <c r="C1993" i="22"/>
  <c r="C1994" i="22"/>
  <c r="C1995" i="22"/>
  <c r="C1996" i="22"/>
  <c r="C1997" i="22"/>
  <c r="C1998" i="22"/>
  <c r="C1999" i="22"/>
  <c r="C2000" i="22"/>
  <c r="C2001" i="22"/>
  <c r="C2002" i="22"/>
  <c r="C2003" i="22"/>
  <c r="C2004" i="22"/>
  <c r="C2005" i="22"/>
  <c r="C2006" i="22"/>
  <c r="C2007" i="22"/>
  <c r="C2008" i="22"/>
  <c r="C2009" i="22"/>
  <c r="C2010" i="22"/>
  <c r="C2011" i="22"/>
  <c r="C2012" i="22"/>
  <c r="C2013" i="22"/>
  <c r="C2014" i="22"/>
  <c r="C2015" i="22"/>
  <c r="C2016" i="22"/>
  <c r="C2017" i="22"/>
  <c r="C2018" i="22"/>
  <c r="C2019" i="22"/>
  <c r="C2020" i="22"/>
  <c r="C2021" i="22"/>
  <c r="C2022" i="22"/>
  <c r="C2023" i="22"/>
  <c r="C2024" i="22"/>
  <c r="C2025" i="22"/>
  <c r="C2026" i="22"/>
  <c r="C2027" i="22"/>
  <c r="C2028" i="22"/>
  <c r="C2029" i="22"/>
  <c r="C2030" i="22"/>
  <c r="C2031" i="22"/>
  <c r="C2032" i="22"/>
  <c r="C2033" i="22"/>
  <c r="C2034" i="22"/>
  <c r="C2035" i="22"/>
  <c r="C2036" i="22"/>
  <c r="C2037" i="22"/>
  <c r="C2038" i="22"/>
  <c r="C2039" i="22"/>
  <c r="C2040" i="22"/>
  <c r="C2041" i="22"/>
  <c r="C2042" i="22"/>
  <c r="C2043" i="22"/>
  <c r="C2044" i="22"/>
  <c r="C2045" i="22"/>
  <c r="C2046" i="22"/>
  <c r="C2047" i="22"/>
  <c r="C2048" i="22"/>
  <c r="C2049" i="22"/>
  <c r="C2050" i="22"/>
  <c r="C2051" i="22"/>
  <c r="C2052" i="22"/>
  <c r="C2053" i="22"/>
  <c r="C2054" i="22"/>
  <c r="C2055" i="22"/>
  <c r="C2056" i="22"/>
  <c r="C2057" i="22"/>
  <c r="C2058" i="22"/>
  <c r="C2059" i="22"/>
  <c r="C2060" i="22"/>
  <c r="C2061" i="22"/>
  <c r="C2062" i="22"/>
  <c r="C2063" i="22"/>
  <c r="C2064" i="22"/>
  <c r="C2065" i="22"/>
  <c r="C2066" i="22"/>
  <c r="C2067" i="22"/>
  <c r="B10" i="22"/>
  <c r="B11" i="22"/>
  <c r="B12" i="22"/>
  <c r="B13" i="22"/>
  <c r="B14" i="22"/>
  <c r="B15" i="22"/>
  <c r="B16" i="22"/>
  <c r="B17" i="22"/>
  <c r="B18" i="22"/>
  <c r="B19" i="22"/>
  <c r="B20" i="22"/>
  <c r="B21" i="22"/>
  <c r="B22" i="22"/>
  <c r="B23" i="22"/>
  <c r="B24" i="22"/>
  <c r="B25" i="22"/>
  <c r="B26" i="22"/>
  <c r="B27" i="22"/>
  <c r="B28" i="22"/>
  <c r="B29" i="22"/>
  <c r="B30" i="22"/>
  <c r="B31" i="22"/>
  <c r="B32" i="22"/>
  <c r="B33" i="22"/>
  <c r="B34" i="22"/>
  <c r="B35" i="22"/>
  <c r="B36" i="22"/>
  <c r="B37" i="22"/>
  <c r="B38" i="22"/>
  <c r="B39" i="22"/>
  <c r="B40" i="22"/>
  <c r="B41" i="22"/>
  <c r="B42" i="22"/>
  <c r="B43" i="22"/>
  <c r="B44" i="22"/>
  <c r="B45" i="22"/>
  <c r="B46" i="22"/>
  <c r="B47" i="22"/>
  <c r="B48" i="22"/>
  <c r="B49" i="22"/>
  <c r="B50" i="22"/>
  <c r="B51" i="22"/>
  <c r="B52" i="22"/>
  <c r="B53" i="22"/>
  <c r="B54" i="22"/>
  <c r="B55" i="22"/>
  <c r="B56" i="22"/>
  <c r="B57" i="22"/>
  <c r="B58" i="22"/>
  <c r="B59" i="22"/>
  <c r="B60" i="22"/>
  <c r="B61" i="22"/>
  <c r="B62" i="22"/>
  <c r="B63" i="22"/>
  <c r="B64" i="22"/>
  <c r="B65" i="22"/>
  <c r="B66" i="22"/>
  <c r="B67" i="22"/>
  <c r="B68" i="22"/>
  <c r="B69" i="22"/>
  <c r="B70" i="22"/>
  <c r="B71" i="22"/>
  <c r="B72" i="22"/>
  <c r="B73" i="22"/>
  <c r="B74" i="22"/>
  <c r="B75" i="22"/>
  <c r="B76" i="22"/>
  <c r="B77" i="22"/>
  <c r="B78" i="22"/>
  <c r="B79" i="22"/>
  <c r="B80" i="22"/>
  <c r="B81" i="22"/>
  <c r="B82" i="22"/>
  <c r="B83" i="22"/>
  <c r="B84" i="22"/>
  <c r="B85" i="22"/>
  <c r="B86" i="22"/>
  <c r="B87" i="22"/>
  <c r="B88" i="22"/>
  <c r="B89" i="22"/>
  <c r="B90" i="22"/>
  <c r="B91" i="22"/>
  <c r="B92" i="22"/>
  <c r="B93" i="22"/>
  <c r="B94" i="22"/>
  <c r="B95" i="22"/>
  <c r="B96" i="22"/>
  <c r="B97" i="22"/>
  <c r="B98" i="22"/>
  <c r="B99" i="22"/>
  <c r="B100" i="22"/>
  <c r="B101" i="22"/>
  <c r="B102" i="22"/>
  <c r="B103" i="22"/>
  <c r="B104" i="22"/>
  <c r="B105" i="22"/>
  <c r="B106" i="22"/>
  <c r="B107" i="22"/>
  <c r="B108" i="22"/>
  <c r="B109" i="22"/>
  <c r="B110" i="22"/>
  <c r="B111" i="22"/>
  <c r="B112" i="22"/>
  <c r="B113" i="22"/>
  <c r="B114" i="22"/>
  <c r="B115" i="22"/>
  <c r="B116" i="22"/>
  <c r="B117" i="22"/>
  <c r="B118" i="22"/>
  <c r="B119" i="22"/>
  <c r="B120" i="22"/>
  <c r="B121" i="22"/>
  <c r="B122" i="22"/>
  <c r="B123" i="22"/>
  <c r="B124" i="22"/>
  <c r="B125" i="22"/>
  <c r="B126" i="22"/>
  <c r="B127" i="22"/>
  <c r="B128" i="22"/>
  <c r="B129" i="22"/>
  <c r="B130" i="22"/>
  <c r="B131" i="22"/>
  <c r="B132" i="22"/>
  <c r="B133" i="22"/>
  <c r="B134" i="22"/>
  <c r="B135" i="22"/>
  <c r="B136" i="22"/>
  <c r="B137" i="22"/>
  <c r="B138" i="22"/>
  <c r="B139" i="22"/>
  <c r="B140" i="22"/>
  <c r="B141" i="22"/>
  <c r="B142" i="22"/>
  <c r="B143" i="22"/>
  <c r="B144" i="22"/>
  <c r="B145" i="22"/>
  <c r="B146" i="22"/>
  <c r="B147" i="22"/>
  <c r="B148" i="22"/>
  <c r="B149" i="22"/>
  <c r="B150" i="22"/>
  <c r="B151" i="22"/>
  <c r="B152" i="22"/>
  <c r="B153" i="22"/>
  <c r="B154" i="22"/>
  <c r="B155" i="22"/>
  <c r="B156" i="22"/>
  <c r="B157" i="22"/>
  <c r="B158" i="22"/>
  <c r="B159" i="22"/>
  <c r="B160" i="22"/>
  <c r="B161" i="22"/>
  <c r="B162" i="22"/>
  <c r="B163" i="22"/>
  <c r="B164" i="22"/>
  <c r="B165" i="22"/>
  <c r="B166" i="22"/>
  <c r="B167" i="22"/>
  <c r="B168" i="22"/>
  <c r="B169" i="22"/>
  <c r="B170" i="22"/>
  <c r="B171" i="22"/>
  <c r="B172" i="22"/>
  <c r="B173" i="22"/>
  <c r="B174" i="22"/>
  <c r="B175" i="22"/>
  <c r="B176" i="22"/>
  <c r="B177" i="22"/>
  <c r="B178" i="22"/>
  <c r="B179" i="22"/>
  <c r="B180" i="22"/>
  <c r="B181" i="22"/>
  <c r="B182" i="22"/>
  <c r="B183" i="22"/>
  <c r="B184" i="22"/>
  <c r="B185" i="22"/>
  <c r="B186" i="22"/>
  <c r="B187" i="22"/>
  <c r="B188" i="22"/>
  <c r="B189" i="22"/>
  <c r="B190" i="22"/>
  <c r="B191" i="22"/>
  <c r="B192" i="22"/>
  <c r="B193" i="22"/>
  <c r="B194" i="22"/>
  <c r="B195" i="22"/>
  <c r="B196" i="22"/>
  <c r="B197" i="22"/>
  <c r="B198" i="22"/>
  <c r="B199" i="22"/>
  <c r="B200" i="22"/>
  <c r="B201" i="22"/>
  <c r="B202" i="22"/>
  <c r="B203" i="22"/>
  <c r="B204" i="22"/>
  <c r="B205" i="22"/>
  <c r="B206" i="22"/>
  <c r="B207" i="22"/>
  <c r="B208" i="22"/>
  <c r="B209" i="22"/>
  <c r="B210" i="22"/>
  <c r="B211" i="22"/>
  <c r="B212" i="22"/>
  <c r="B213" i="22"/>
  <c r="B214" i="22"/>
  <c r="B215" i="22"/>
  <c r="B216" i="22"/>
  <c r="B217" i="22"/>
  <c r="B218" i="22"/>
  <c r="B219" i="22"/>
  <c r="B220" i="22"/>
  <c r="B221" i="22"/>
  <c r="B222" i="22"/>
  <c r="B223" i="22"/>
  <c r="B224" i="22"/>
  <c r="B225" i="22"/>
  <c r="B226" i="22"/>
  <c r="B227" i="22"/>
  <c r="B228" i="22"/>
  <c r="B229" i="22"/>
  <c r="B230" i="22"/>
  <c r="B231" i="22"/>
  <c r="B232" i="22"/>
  <c r="B233" i="22"/>
  <c r="B234" i="22"/>
  <c r="B235" i="22"/>
  <c r="B236" i="22"/>
  <c r="B237" i="22"/>
  <c r="B238" i="22"/>
  <c r="B239" i="22"/>
  <c r="B240" i="22"/>
  <c r="B241" i="22"/>
  <c r="B242" i="22"/>
  <c r="B243" i="22"/>
  <c r="B244" i="22"/>
  <c r="B245" i="22"/>
  <c r="B246" i="22"/>
  <c r="B247" i="22"/>
  <c r="B248" i="22"/>
  <c r="B249" i="22"/>
  <c r="B250" i="22"/>
  <c r="B251" i="22"/>
  <c r="B252" i="22"/>
  <c r="B253" i="22"/>
  <c r="B254" i="22"/>
  <c r="B255" i="22"/>
  <c r="B256" i="22"/>
  <c r="B257" i="22"/>
  <c r="B258" i="22"/>
  <c r="B259" i="22"/>
  <c r="B260" i="22"/>
  <c r="B261" i="22"/>
  <c r="B262" i="22"/>
  <c r="B263" i="22"/>
  <c r="B264" i="22"/>
  <c r="B265" i="22"/>
  <c r="B266" i="22"/>
  <c r="B267" i="22"/>
  <c r="B268" i="22"/>
  <c r="B269" i="22"/>
  <c r="B270" i="22"/>
  <c r="B271" i="22"/>
  <c r="B272" i="22"/>
  <c r="B273" i="22"/>
  <c r="B274" i="22"/>
  <c r="B275" i="22"/>
  <c r="B276" i="22"/>
  <c r="B277" i="22"/>
  <c r="B278" i="22"/>
  <c r="B279" i="22"/>
  <c r="B280" i="22"/>
  <c r="B281" i="22"/>
  <c r="B282" i="22"/>
  <c r="B283" i="22"/>
  <c r="B284" i="22"/>
  <c r="B285" i="22"/>
  <c r="B286" i="22"/>
  <c r="B287" i="22"/>
  <c r="B288" i="22"/>
  <c r="B289" i="22"/>
  <c r="B290" i="22"/>
  <c r="B291" i="22"/>
  <c r="B292" i="22"/>
  <c r="B293" i="22"/>
  <c r="B294" i="22"/>
  <c r="B295" i="22"/>
  <c r="B296" i="22"/>
  <c r="B297" i="22"/>
  <c r="B298" i="22"/>
  <c r="B299" i="22"/>
  <c r="B300" i="22"/>
  <c r="B301" i="22"/>
  <c r="B302" i="22"/>
  <c r="B303" i="22"/>
  <c r="B304" i="22"/>
  <c r="B305" i="22"/>
  <c r="B306" i="22"/>
  <c r="B307" i="22"/>
  <c r="B308" i="22"/>
  <c r="B309" i="22"/>
  <c r="B310" i="22"/>
  <c r="B311" i="22"/>
  <c r="B312" i="22"/>
  <c r="B313" i="22"/>
  <c r="B314" i="22"/>
  <c r="B315" i="22"/>
  <c r="B316" i="22"/>
  <c r="B317" i="22"/>
  <c r="B318" i="22"/>
  <c r="B319" i="22"/>
  <c r="B320" i="22"/>
  <c r="B321" i="22"/>
  <c r="B322" i="22"/>
  <c r="B323" i="22"/>
  <c r="B324" i="22"/>
  <c r="B325" i="22"/>
  <c r="B326" i="22"/>
  <c r="B327" i="22"/>
  <c r="B328" i="22"/>
  <c r="B329" i="22"/>
  <c r="B330" i="22"/>
  <c r="B331" i="22"/>
  <c r="B332" i="22"/>
  <c r="B333" i="22"/>
  <c r="B334" i="22"/>
  <c r="B335" i="22"/>
  <c r="B336" i="22"/>
  <c r="B337" i="22"/>
  <c r="B338" i="22"/>
  <c r="B339" i="22"/>
  <c r="B340" i="22"/>
  <c r="B341" i="22"/>
  <c r="B342" i="22"/>
  <c r="B343" i="22"/>
  <c r="B344" i="22"/>
  <c r="B345" i="22"/>
  <c r="B346" i="22"/>
  <c r="B347" i="22"/>
  <c r="B348" i="22"/>
  <c r="B349" i="22"/>
  <c r="B350" i="22"/>
  <c r="B351" i="22"/>
  <c r="B352" i="22"/>
  <c r="B353" i="22"/>
  <c r="B354" i="22"/>
  <c r="B355" i="22"/>
  <c r="B356" i="22"/>
  <c r="B357" i="22"/>
  <c r="B358" i="22"/>
  <c r="B359" i="22"/>
  <c r="B360" i="22"/>
  <c r="B361" i="22"/>
  <c r="B362" i="22"/>
  <c r="B363" i="22"/>
  <c r="B364" i="22"/>
  <c r="B365" i="22"/>
  <c r="B366" i="22"/>
  <c r="B367" i="22"/>
  <c r="B368" i="22"/>
  <c r="B369" i="22"/>
  <c r="B370" i="22"/>
  <c r="B371" i="22"/>
  <c r="B372" i="22"/>
  <c r="B373" i="22"/>
  <c r="B374" i="22"/>
  <c r="B375" i="22"/>
  <c r="B376" i="22"/>
  <c r="B377" i="22"/>
  <c r="B378" i="22"/>
  <c r="B379" i="22"/>
  <c r="B380" i="22"/>
  <c r="B381" i="22"/>
  <c r="B382" i="22"/>
  <c r="B383" i="22"/>
  <c r="B384" i="22"/>
  <c r="B385" i="22"/>
  <c r="B386" i="22"/>
  <c r="B387" i="22"/>
  <c r="B388" i="22"/>
  <c r="B389" i="22"/>
  <c r="B390" i="22"/>
  <c r="B391" i="22"/>
  <c r="B392" i="22"/>
  <c r="B393" i="22"/>
  <c r="B394" i="22"/>
  <c r="B395" i="22"/>
  <c r="B396" i="22"/>
  <c r="B397" i="22"/>
  <c r="B398" i="22"/>
  <c r="B399" i="22"/>
  <c r="B400" i="22"/>
  <c r="B401" i="22"/>
  <c r="B402" i="22"/>
  <c r="B403" i="22"/>
  <c r="B404" i="22"/>
  <c r="B405" i="22"/>
  <c r="B406" i="22"/>
  <c r="B407" i="22"/>
  <c r="B408" i="22"/>
  <c r="B409" i="22"/>
  <c r="B410" i="22"/>
  <c r="B411" i="22"/>
  <c r="B412" i="22"/>
  <c r="B413" i="22"/>
  <c r="B414" i="22"/>
  <c r="B415" i="22"/>
  <c r="B416" i="22"/>
  <c r="B417" i="22"/>
  <c r="B418" i="22"/>
  <c r="B419" i="22"/>
  <c r="B420" i="22"/>
  <c r="B421" i="22"/>
  <c r="B422" i="22"/>
  <c r="B423" i="22"/>
  <c r="B424" i="22"/>
  <c r="B425" i="22"/>
  <c r="B426" i="22"/>
  <c r="B427" i="22"/>
  <c r="B428" i="22"/>
  <c r="B429" i="22"/>
  <c r="B430" i="22"/>
  <c r="B431" i="22"/>
  <c r="B432" i="22"/>
  <c r="B433" i="22"/>
  <c r="B434" i="22"/>
  <c r="B435" i="22"/>
  <c r="B436" i="22"/>
  <c r="B437" i="22"/>
  <c r="B438" i="22"/>
  <c r="B439" i="22"/>
  <c r="B440" i="22"/>
  <c r="B441" i="22"/>
  <c r="B442" i="22"/>
  <c r="B443" i="22"/>
  <c r="B444" i="22"/>
  <c r="B445" i="22"/>
  <c r="B446" i="22"/>
  <c r="B447" i="22"/>
  <c r="B448" i="22"/>
  <c r="B449" i="22"/>
  <c r="B450" i="22"/>
  <c r="B451" i="22"/>
  <c r="B452" i="22"/>
  <c r="B453" i="22"/>
  <c r="B454" i="22"/>
  <c r="B455" i="22"/>
  <c r="B456" i="22"/>
  <c r="B457" i="22"/>
  <c r="B458" i="22"/>
  <c r="B459" i="22"/>
  <c r="B460" i="22"/>
  <c r="B461" i="22"/>
  <c r="B462" i="22"/>
  <c r="B463" i="22"/>
  <c r="B464" i="22"/>
  <c r="B465" i="22"/>
  <c r="B466" i="22"/>
  <c r="B467" i="22"/>
  <c r="B468" i="22"/>
  <c r="B469" i="22"/>
  <c r="B470" i="22"/>
  <c r="B471" i="22"/>
  <c r="B472" i="22"/>
  <c r="B473" i="22"/>
  <c r="B474" i="22"/>
  <c r="B475" i="22"/>
  <c r="B476" i="22"/>
  <c r="B477" i="22"/>
  <c r="B478" i="22"/>
  <c r="B479" i="22"/>
  <c r="B480" i="22"/>
  <c r="B481" i="22"/>
  <c r="B482" i="22"/>
  <c r="B483" i="22"/>
  <c r="B484" i="22"/>
  <c r="B485" i="22"/>
  <c r="B486" i="22"/>
  <c r="B487" i="22"/>
  <c r="B488" i="22"/>
  <c r="B489" i="22"/>
  <c r="B490" i="22"/>
  <c r="B491" i="22"/>
  <c r="B492" i="22"/>
  <c r="B493" i="22"/>
  <c r="B494" i="22"/>
  <c r="B495" i="22"/>
  <c r="B496" i="22"/>
  <c r="B497" i="22"/>
  <c r="B498" i="22"/>
  <c r="B499" i="22"/>
  <c r="B500" i="22"/>
  <c r="B501" i="22"/>
  <c r="B502" i="22"/>
  <c r="B503" i="22"/>
  <c r="B504" i="22"/>
  <c r="B505" i="22"/>
  <c r="B506" i="22"/>
  <c r="B507" i="22"/>
  <c r="B508" i="22"/>
  <c r="B509" i="22"/>
  <c r="B510" i="22"/>
  <c r="B511" i="22"/>
  <c r="B512" i="22"/>
  <c r="B513" i="22"/>
  <c r="B514" i="22"/>
  <c r="B515" i="22"/>
  <c r="B516" i="22"/>
  <c r="B517" i="22"/>
  <c r="B518" i="22"/>
  <c r="B519" i="22"/>
  <c r="B520" i="22"/>
  <c r="B521" i="22"/>
  <c r="B522" i="22"/>
  <c r="B523" i="22"/>
  <c r="B524" i="22"/>
  <c r="B525" i="22"/>
  <c r="B526" i="22"/>
  <c r="B527" i="22"/>
  <c r="B528" i="22"/>
  <c r="B529" i="22"/>
  <c r="B530" i="22"/>
  <c r="B531" i="22"/>
  <c r="B532" i="22"/>
  <c r="B533" i="22"/>
  <c r="B534" i="22"/>
  <c r="B535" i="22"/>
  <c r="B536" i="22"/>
  <c r="B537" i="22"/>
  <c r="B538" i="22"/>
  <c r="B539" i="22"/>
  <c r="B540" i="22"/>
  <c r="B541" i="22"/>
  <c r="B542" i="22"/>
  <c r="B543" i="22"/>
  <c r="B544" i="22"/>
  <c r="B545" i="22"/>
  <c r="B546" i="22"/>
  <c r="B547" i="22"/>
  <c r="B548" i="22"/>
  <c r="B549" i="22"/>
  <c r="B550" i="22"/>
  <c r="B551" i="22"/>
  <c r="B552" i="22"/>
  <c r="B553" i="22"/>
  <c r="B554" i="22"/>
  <c r="B555" i="22"/>
  <c r="B556" i="22"/>
  <c r="B557" i="22"/>
  <c r="B558" i="22"/>
  <c r="B559" i="22"/>
  <c r="B560" i="22"/>
  <c r="B561" i="22"/>
  <c r="B562" i="22"/>
  <c r="B563" i="22"/>
  <c r="B564" i="22"/>
  <c r="B565" i="22"/>
  <c r="B566" i="22"/>
  <c r="B567" i="22"/>
  <c r="B568" i="22"/>
  <c r="B569" i="22"/>
  <c r="B570" i="22"/>
  <c r="B571" i="22"/>
  <c r="B572" i="22"/>
  <c r="B573" i="22"/>
  <c r="B574" i="22"/>
  <c r="B575" i="22"/>
  <c r="B576" i="22"/>
  <c r="B577" i="22"/>
  <c r="B578" i="22"/>
  <c r="B579" i="22"/>
  <c r="B580" i="22"/>
  <c r="B581" i="22"/>
  <c r="B582" i="22"/>
  <c r="B583" i="22"/>
  <c r="B584" i="22"/>
  <c r="B585" i="22"/>
  <c r="B586" i="22"/>
  <c r="B587" i="22"/>
  <c r="B588" i="22"/>
  <c r="B589" i="22"/>
  <c r="B590" i="22"/>
  <c r="B591" i="22"/>
  <c r="B592" i="22"/>
  <c r="B593" i="22"/>
  <c r="B594" i="22"/>
  <c r="B595" i="22"/>
  <c r="B596" i="22"/>
  <c r="B597" i="22"/>
  <c r="B598" i="22"/>
  <c r="B599" i="22"/>
  <c r="B600" i="22"/>
  <c r="B601" i="22"/>
  <c r="B602" i="22"/>
  <c r="B603" i="22"/>
  <c r="B604" i="22"/>
  <c r="B605" i="22"/>
  <c r="B606" i="22"/>
  <c r="B607" i="22"/>
  <c r="B608" i="22"/>
  <c r="B609" i="22"/>
  <c r="B610" i="22"/>
  <c r="B611" i="22"/>
  <c r="B612" i="22"/>
  <c r="B613" i="22"/>
  <c r="B614" i="22"/>
  <c r="B615" i="22"/>
  <c r="B616" i="22"/>
  <c r="B617" i="22"/>
  <c r="B618" i="22"/>
  <c r="B619" i="22"/>
  <c r="B620" i="22"/>
  <c r="B621" i="22"/>
  <c r="B622" i="22"/>
  <c r="B623" i="22"/>
  <c r="B624" i="22"/>
  <c r="B625" i="22"/>
  <c r="B626" i="22"/>
  <c r="B627" i="22"/>
  <c r="B628" i="22"/>
  <c r="B629" i="22"/>
  <c r="B630" i="22"/>
  <c r="B631" i="22"/>
  <c r="B632" i="22"/>
  <c r="B633" i="22"/>
  <c r="B634" i="22"/>
  <c r="B635" i="22"/>
  <c r="B636" i="22"/>
  <c r="B637" i="22"/>
  <c r="B638" i="22"/>
  <c r="B639" i="22"/>
  <c r="B640" i="22"/>
  <c r="B641" i="22"/>
  <c r="B642" i="22"/>
  <c r="B643" i="22"/>
  <c r="B644" i="22"/>
  <c r="B645" i="22"/>
  <c r="B646" i="22"/>
  <c r="B647" i="22"/>
  <c r="B648" i="22"/>
  <c r="B649" i="22"/>
  <c r="B650" i="22"/>
  <c r="B651" i="22"/>
  <c r="B652" i="22"/>
  <c r="B653" i="22"/>
  <c r="B654" i="22"/>
  <c r="B655" i="22"/>
  <c r="B656" i="22"/>
  <c r="B657" i="22"/>
  <c r="B658" i="22"/>
  <c r="B659" i="22"/>
  <c r="B660" i="22"/>
  <c r="B661" i="22"/>
  <c r="B662" i="22"/>
  <c r="B663" i="22"/>
  <c r="B664" i="22"/>
  <c r="B665" i="22"/>
  <c r="B666" i="22"/>
  <c r="B667" i="22"/>
  <c r="B668" i="22"/>
  <c r="B669" i="22"/>
  <c r="B670" i="22"/>
  <c r="B671" i="22"/>
  <c r="B672" i="22"/>
  <c r="B673" i="22"/>
  <c r="B674" i="22"/>
  <c r="B675" i="22"/>
  <c r="B676" i="22"/>
  <c r="B677" i="22"/>
  <c r="B678" i="22"/>
  <c r="B679" i="22"/>
  <c r="B680" i="22"/>
  <c r="B681" i="22"/>
  <c r="B682" i="22"/>
  <c r="B683" i="22"/>
  <c r="B684" i="22"/>
  <c r="B685" i="22"/>
  <c r="B686" i="22"/>
  <c r="B687" i="22"/>
  <c r="B688" i="22"/>
  <c r="B689" i="22"/>
  <c r="B690" i="22"/>
  <c r="B691" i="22"/>
  <c r="B692" i="22"/>
  <c r="B693" i="22"/>
  <c r="B694" i="22"/>
  <c r="B695" i="22"/>
  <c r="B696" i="22"/>
  <c r="B697" i="22"/>
  <c r="B698" i="22"/>
  <c r="B699" i="22"/>
  <c r="B700" i="22"/>
  <c r="B701" i="22"/>
  <c r="B702" i="22"/>
  <c r="B703" i="22"/>
  <c r="B704" i="22"/>
  <c r="B705" i="22"/>
  <c r="B706" i="22"/>
  <c r="B707" i="22"/>
  <c r="B708" i="22"/>
  <c r="B709" i="22"/>
  <c r="B710" i="22"/>
  <c r="B711" i="22"/>
  <c r="B712" i="22"/>
  <c r="B713" i="22"/>
  <c r="B714" i="22"/>
  <c r="B715" i="22"/>
  <c r="B716" i="22"/>
  <c r="B717" i="22"/>
  <c r="B718" i="22"/>
  <c r="B719" i="22"/>
  <c r="B720" i="22"/>
  <c r="B721" i="22"/>
  <c r="B722" i="22"/>
  <c r="B723" i="22"/>
  <c r="B724" i="22"/>
  <c r="B725" i="22"/>
  <c r="B726" i="22"/>
  <c r="B727" i="22"/>
  <c r="B728" i="22"/>
  <c r="B729" i="22"/>
  <c r="B730" i="22"/>
  <c r="B731" i="22"/>
  <c r="B732" i="22"/>
  <c r="B733" i="22"/>
  <c r="B734" i="22"/>
  <c r="B735" i="22"/>
  <c r="B736" i="22"/>
  <c r="B737" i="22"/>
  <c r="B738" i="22"/>
  <c r="B739" i="22"/>
  <c r="B740" i="22"/>
  <c r="B741" i="22"/>
  <c r="B742" i="22"/>
  <c r="B743" i="22"/>
  <c r="B744" i="22"/>
  <c r="B745" i="22"/>
  <c r="B746" i="22"/>
  <c r="B747" i="22"/>
  <c r="B748" i="22"/>
  <c r="B749" i="22"/>
  <c r="B750" i="22"/>
  <c r="B751" i="22"/>
  <c r="B752" i="22"/>
  <c r="B753" i="22"/>
  <c r="B754" i="22"/>
  <c r="B755" i="22"/>
  <c r="B756" i="22"/>
  <c r="B757" i="22"/>
  <c r="B758" i="22"/>
  <c r="B759" i="22"/>
  <c r="B760" i="22"/>
  <c r="B761" i="22"/>
  <c r="B762" i="22"/>
  <c r="B763" i="22"/>
  <c r="B764" i="22"/>
  <c r="B765" i="22"/>
  <c r="B766" i="22"/>
  <c r="B767" i="22"/>
  <c r="B768" i="22"/>
  <c r="B769" i="22"/>
  <c r="B770" i="22"/>
  <c r="B771" i="22"/>
  <c r="B772" i="22"/>
  <c r="B773" i="22"/>
  <c r="B774" i="22"/>
  <c r="B775" i="22"/>
  <c r="B776" i="22"/>
  <c r="B777" i="22"/>
  <c r="B778" i="22"/>
  <c r="B779" i="22"/>
  <c r="B780" i="22"/>
  <c r="B781" i="22"/>
  <c r="B782" i="22"/>
  <c r="B783" i="22"/>
  <c r="B784" i="22"/>
  <c r="B785" i="22"/>
  <c r="B786" i="22"/>
  <c r="B787" i="22"/>
  <c r="B788" i="22"/>
  <c r="B789" i="22"/>
  <c r="B790" i="22"/>
  <c r="B791" i="22"/>
  <c r="B792" i="22"/>
  <c r="B793" i="22"/>
  <c r="B794" i="22"/>
  <c r="B795" i="22"/>
  <c r="B796" i="22"/>
  <c r="B797" i="22"/>
  <c r="B798" i="22"/>
  <c r="B799" i="22"/>
  <c r="B800" i="22"/>
  <c r="B801" i="22"/>
  <c r="B802" i="22"/>
  <c r="B803" i="22"/>
  <c r="B804" i="22"/>
  <c r="B805" i="22"/>
  <c r="B806" i="22"/>
  <c r="B807" i="22"/>
  <c r="B808" i="22"/>
  <c r="B809" i="22"/>
  <c r="B810" i="22"/>
  <c r="B811" i="22"/>
  <c r="B812" i="22"/>
  <c r="B813" i="22"/>
  <c r="B814" i="22"/>
  <c r="B815" i="22"/>
  <c r="B816" i="22"/>
  <c r="B817" i="22"/>
  <c r="B818" i="22"/>
  <c r="B819" i="22"/>
  <c r="B820" i="22"/>
  <c r="B821" i="22"/>
  <c r="B822" i="22"/>
  <c r="B823" i="22"/>
  <c r="B824" i="22"/>
  <c r="B825" i="22"/>
  <c r="B826" i="22"/>
  <c r="B827" i="22"/>
  <c r="B828" i="22"/>
  <c r="B829" i="22"/>
  <c r="B830" i="22"/>
  <c r="B831" i="22"/>
  <c r="B832" i="22"/>
  <c r="B833" i="22"/>
  <c r="B834" i="22"/>
  <c r="B835" i="22"/>
  <c r="B836" i="22"/>
  <c r="B837" i="22"/>
  <c r="B838" i="22"/>
  <c r="B839" i="22"/>
  <c r="B840" i="22"/>
  <c r="B841" i="22"/>
  <c r="B842" i="22"/>
  <c r="B843" i="22"/>
  <c r="B844" i="22"/>
  <c r="B845" i="22"/>
  <c r="B846" i="22"/>
  <c r="B847" i="22"/>
  <c r="B848" i="22"/>
  <c r="B849" i="22"/>
  <c r="B850" i="22"/>
  <c r="B851" i="22"/>
  <c r="B852" i="22"/>
  <c r="B853" i="22"/>
  <c r="B854" i="22"/>
  <c r="B855" i="22"/>
  <c r="B856" i="22"/>
  <c r="B857" i="22"/>
  <c r="B858" i="22"/>
  <c r="B859" i="22"/>
  <c r="B860" i="22"/>
  <c r="B861" i="22"/>
  <c r="B862" i="22"/>
  <c r="B863" i="22"/>
  <c r="B864" i="22"/>
  <c r="B865" i="22"/>
  <c r="B866" i="22"/>
  <c r="B867" i="22"/>
  <c r="B868" i="22"/>
  <c r="B869" i="22"/>
  <c r="B870" i="22"/>
  <c r="B871" i="22"/>
  <c r="B872" i="22"/>
  <c r="B873" i="22"/>
  <c r="B874" i="22"/>
  <c r="B875" i="22"/>
  <c r="B876" i="22"/>
  <c r="B877" i="22"/>
  <c r="B878" i="22"/>
  <c r="B879" i="22"/>
  <c r="B880" i="22"/>
  <c r="B881" i="22"/>
  <c r="B882" i="22"/>
  <c r="B883" i="22"/>
  <c r="B884" i="22"/>
  <c r="B885" i="22"/>
  <c r="B886" i="22"/>
  <c r="B887" i="22"/>
  <c r="B888" i="22"/>
  <c r="B889" i="22"/>
  <c r="B890" i="22"/>
  <c r="B891" i="22"/>
  <c r="B892" i="22"/>
  <c r="B893" i="22"/>
  <c r="B894" i="22"/>
  <c r="B895" i="22"/>
  <c r="B896" i="22"/>
  <c r="B897" i="22"/>
  <c r="B898" i="22"/>
  <c r="B899" i="22"/>
  <c r="B900" i="22"/>
  <c r="B901" i="22"/>
  <c r="B902" i="22"/>
  <c r="B903" i="22"/>
  <c r="B904" i="22"/>
  <c r="B905" i="22"/>
  <c r="B906" i="22"/>
  <c r="B907" i="22"/>
  <c r="B908" i="22"/>
  <c r="B909" i="22"/>
  <c r="B910" i="22"/>
  <c r="B911" i="22"/>
  <c r="B912" i="22"/>
  <c r="B913" i="22"/>
  <c r="B914" i="22"/>
  <c r="B915" i="22"/>
  <c r="B916" i="22"/>
  <c r="B917" i="22"/>
  <c r="B918" i="22"/>
  <c r="B919" i="22"/>
  <c r="B920" i="22"/>
  <c r="B921" i="22"/>
  <c r="B922" i="22"/>
  <c r="B923" i="22"/>
  <c r="B924" i="22"/>
  <c r="B925" i="22"/>
  <c r="B926" i="22"/>
  <c r="B927" i="22"/>
  <c r="B928" i="22"/>
  <c r="B929" i="22"/>
  <c r="B930" i="22"/>
  <c r="B931" i="22"/>
  <c r="B932" i="22"/>
  <c r="B933" i="22"/>
  <c r="B934" i="22"/>
  <c r="B935" i="22"/>
  <c r="B936" i="22"/>
  <c r="B937" i="22"/>
  <c r="B938" i="22"/>
  <c r="B939" i="22"/>
  <c r="B940" i="22"/>
  <c r="B941" i="22"/>
  <c r="B942" i="22"/>
  <c r="B943" i="22"/>
  <c r="B944" i="22"/>
  <c r="B945" i="22"/>
  <c r="B946" i="22"/>
  <c r="B947" i="22"/>
  <c r="B948" i="22"/>
  <c r="B949" i="22"/>
  <c r="B950" i="22"/>
  <c r="B951" i="22"/>
  <c r="B952" i="22"/>
  <c r="B953" i="22"/>
  <c r="B954" i="22"/>
  <c r="B955" i="22"/>
  <c r="B956" i="22"/>
  <c r="B957" i="22"/>
  <c r="B958" i="22"/>
  <c r="B959" i="22"/>
  <c r="B960" i="22"/>
  <c r="B961" i="22"/>
  <c r="B962" i="22"/>
  <c r="B963" i="22"/>
  <c r="B964" i="22"/>
  <c r="B965" i="22"/>
  <c r="B966" i="22"/>
  <c r="B967" i="22"/>
  <c r="B968" i="22"/>
  <c r="B969" i="22"/>
  <c r="B970" i="22"/>
  <c r="B971" i="22"/>
  <c r="B972" i="22"/>
  <c r="B973" i="22"/>
  <c r="B974" i="22"/>
  <c r="B975" i="22"/>
  <c r="B976" i="22"/>
  <c r="B977" i="22"/>
  <c r="B978" i="22"/>
  <c r="B979" i="22"/>
  <c r="B980" i="22"/>
  <c r="B981" i="22"/>
  <c r="B982" i="22"/>
  <c r="B983" i="22"/>
  <c r="B984" i="22"/>
  <c r="B985" i="22"/>
  <c r="B986" i="22"/>
  <c r="B987" i="22"/>
  <c r="B988" i="22"/>
  <c r="B989" i="22"/>
  <c r="B990" i="22"/>
  <c r="B991" i="22"/>
  <c r="B992" i="22"/>
  <c r="B993" i="22"/>
  <c r="B994" i="22"/>
  <c r="B995" i="22"/>
  <c r="B996" i="22"/>
  <c r="B997" i="22"/>
  <c r="B998" i="22"/>
  <c r="B999" i="22"/>
  <c r="B1000" i="22"/>
  <c r="B1001" i="22"/>
  <c r="B1002" i="22"/>
  <c r="B1003" i="22"/>
  <c r="B1004" i="22"/>
  <c r="B1005" i="22"/>
  <c r="B1006" i="22"/>
  <c r="B1007" i="22"/>
  <c r="B1008" i="22"/>
  <c r="B1009" i="22"/>
  <c r="B1010" i="22"/>
  <c r="B1011" i="22"/>
  <c r="B1012" i="22"/>
  <c r="B1013" i="22"/>
  <c r="B1014" i="22"/>
  <c r="B1015" i="22"/>
  <c r="B1016" i="22"/>
  <c r="B1017" i="22"/>
  <c r="B1018" i="22"/>
  <c r="B1019" i="22"/>
  <c r="B1020" i="22"/>
  <c r="B1021" i="22"/>
  <c r="B1022" i="22"/>
  <c r="B1023" i="22"/>
  <c r="B1024" i="22"/>
  <c r="B1025" i="22"/>
  <c r="B1026" i="22"/>
  <c r="B1027" i="22"/>
  <c r="B1028" i="22"/>
  <c r="B1029" i="22"/>
  <c r="B1030" i="22"/>
  <c r="B1031" i="22"/>
  <c r="B1032" i="22"/>
  <c r="B1033" i="22"/>
  <c r="B1034" i="22"/>
  <c r="B1035" i="22"/>
  <c r="B1036" i="22"/>
  <c r="B1037" i="22"/>
  <c r="B1038" i="22"/>
  <c r="B1039" i="22"/>
  <c r="B1040" i="22"/>
  <c r="B1041" i="22"/>
  <c r="B1042" i="22"/>
  <c r="B1043" i="22"/>
  <c r="B1044" i="22"/>
  <c r="B1045" i="22"/>
  <c r="B1046" i="22"/>
  <c r="B1047" i="22"/>
  <c r="B1048" i="22"/>
  <c r="B1049" i="22"/>
  <c r="B1050" i="22"/>
  <c r="B1051" i="22"/>
  <c r="B1052" i="22"/>
  <c r="B1053" i="22"/>
  <c r="B1054" i="22"/>
  <c r="B1055" i="22"/>
  <c r="B1056" i="22"/>
  <c r="B1057" i="22"/>
  <c r="B1058" i="22"/>
  <c r="B1059" i="22"/>
  <c r="B1060" i="22"/>
  <c r="B1061" i="22"/>
  <c r="B1062" i="22"/>
  <c r="B1063" i="22"/>
  <c r="B1064" i="22"/>
  <c r="B1065" i="22"/>
  <c r="B1066" i="22"/>
  <c r="B1067" i="22"/>
  <c r="B1068" i="22"/>
  <c r="B1069" i="22"/>
  <c r="B1070" i="22"/>
  <c r="B1071" i="22"/>
  <c r="B1072" i="22"/>
  <c r="B1073" i="22"/>
  <c r="B1074" i="22"/>
  <c r="B1075" i="22"/>
  <c r="B1076" i="22"/>
  <c r="B1077" i="22"/>
  <c r="B1078" i="22"/>
  <c r="B1079" i="22"/>
  <c r="B1080" i="22"/>
  <c r="B1081" i="22"/>
  <c r="B1082" i="22"/>
  <c r="B1083" i="22"/>
  <c r="B1084" i="22"/>
  <c r="B1085" i="22"/>
  <c r="B1086" i="22"/>
  <c r="B1087" i="22"/>
  <c r="B1088" i="22"/>
  <c r="B1089" i="22"/>
  <c r="B1090" i="22"/>
  <c r="B1091" i="22"/>
  <c r="B1092" i="22"/>
  <c r="B1093" i="22"/>
  <c r="B1094" i="22"/>
  <c r="B1095" i="22"/>
  <c r="B1096" i="22"/>
  <c r="B1097" i="22"/>
  <c r="B1098" i="22"/>
  <c r="B1099" i="22"/>
  <c r="B1100" i="22"/>
  <c r="B1101" i="22"/>
  <c r="B1102" i="22"/>
  <c r="B1103" i="22"/>
  <c r="B1104" i="22"/>
  <c r="B1105" i="22"/>
  <c r="B1106" i="22"/>
  <c r="B1107" i="22"/>
  <c r="B1108" i="22"/>
  <c r="B1109" i="22"/>
  <c r="B1110" i="22"/>
  <c r="B1111" i="22"/>
  <c r="B1112" i="22"/>
  <c r="B1113" i="22"/>
  <c r="B1114" i="22"/>
  <c r="B1115" i="22"/>
  <c r="B1116" i="22"/>
  <c r="B1117" i="22"/>
  <c r="B1118" i="22"/>
  <c r="B1119" i="22"/>
  <c r="B1120" i="22"/>
  <c r="B1121" i="22"/>
  <c r="B1122" i="22"/>
  <c r="B1123" i="22"/>
  <c r="B1124" i="22"/>
  <c r="B1125" i="22"/>
  <c r="B1126" i="22"/>
  <c r="B1127" i="22"/>
  <c r="B1128" i="22"/>
  <c r="B1129" i="22"/>
  <c r="B1130" i="22"/>
  <c r="B1131" i="22"/>
  <c r="B1132" i="22"/>
  <c r="B1133" i="22"/>
  <c r="B1134" i="22"/>
  <c r="B1135" i="22"/>
  <c r="B1136" i="22"/>
  <c r="B1137" i="22"/>
  <c r="B1138" i="22"/>
  <c r="B1139" i="22"/>
  <c r="B1140" i="22"/>
  <c r="B1141" i="22"/>
  <c r="B1142" i="22"/>
  <c r="B1143" i="22"/>
  <c r="B1144" i="22"/>
  <c r="B1145" i="22"/>
  <c r="B1146" i="22"/>
  <c r="B1147" i="22"/>
  <c r="B1148" i="22"/>
  <c r="B1149" i="22"/>
  <c r="B1150" i="22"/>
  <c r="B1151" i="22"/>
  <c r="B1152" i="22"/>
  <c r="B1153" i="22"/>
  <c r="B1154" i="22"/>
  <c r="B1155" i="22"/>
  <c r="B1156" i="22"/>
  <c r="B1157" i="22"/>
  <c r="B1158" i="22"/>
  <c r="B1159" i="22"/>
  <c r="B1160" i="22"/>
  <c r="B1161" i="22"/>
  <c r="B1162" i="22"/>
  <c r="B1163" i="22"/>
  <c r="B1164" i="22"/>
  <c r="B1165" i="22"/>
  <c r="B1166" i="22"/>
  <c r="B1167" i="22"/>
  <c r="B1168" i="22"/>
  <c r="B1169" i="22"/>
  <c r="B1170" i="22"/>
  <c r="B1171" i="22"/>
  <c r="B1172" i="22"/>
  <c r="B1173" i="22"/>
  <c r="B1174" i="22"/>
  <c r="B1175" i="22"/>
  <c r="B1176" i="22"/>
  <c r="B1177" i="22"/>
  <c r="B1178" i="22"/>
  <c r="B1179" i="22"/>
  <c r="B1180" i="22"/>
  <c r="B1181" i="22"/>
  <c r="B1182" i="22"/>
  <c r="B1183" i="22"/>
  <c r="B1184" i="22"/>
  <c r="B1185" i="22"/>
  <c r="B1186" i="22"/>
  <c r="B1187" i="22"/>
  <c r="B1188" i="22"/>
  <c r="B1189" i="22"/>
  <c r="B1190" i="22"/>
  <c r="B1191" i="22"/>
  <c r="B1192" i="22"/>
  <c r="B1193" i="22"/>
  <c r="B1194" i="22"/>
  <c r="B1195" i="22"/>
  <c r="B1196" i="22"/>
  <c r="B1197" i="22"/>
  <c r="B1198" i="22"/>
  <c r="B1199" i="22"/>
  <c r="B1200" i="22"/>
  <c r="B1201" i="22"/>
  <c r="B1202" i="22"/>
  <c r="B1203" i="22"/>
  <c r="B1204" i="22"/>
  <c r="B1205" i="22"/>
  <c r="B1206" i="22"/>
  <c r="B1207" i="22"/>
  <c r="B1208" i="22"/>
  <c r="B1209" i="22"/>
  <c r="B1210" i="22"/>
  <c r="B1211" i="22"/>
  <c r="B1212" i="22"/>
  <c r="B1213" i="22"/>
  <c r="B1214" i="22"/>
  <c r="B1215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A159" i="22"/>
  <c r="A160" i="22"/>
  <c r="A161" i="22"/>
  <c r="A162" i="22"/>
  <c r="A163" i="22"/>
  <c r="A164" i="22"/>
  <c r="A165" i="22"/>
  <c r="A166" i="22"/>
  <c r="A167" i="22"/>
  <c r="A168" i="22"/>
  <c r="A169" i="22"/>
  <c r="A170" i="22"/>
  <c r="A171" i="22"/>
  <c r="A172" i="22"/>
  <c r="A173" i="22"/>
  <c r="A174" i="22"/>
  <c r="A175" i="22"/>
  <c r="A176" i="22"/>
  <c r="A177" i="22"/>
  <c r="A178" i="22"/>
  <c r="A179" i="22"/>
  <c r="A180" i="22"/>
  <c r="A181" i="22"/>
  <c r="A182" i="22"/>
  <c r="A183" i="22"/>
  <c r="A184" i="22"/>
  <c r="A185" i="22"/>
  <c r="A186" i="22"/>
  <c r="A187" i="22"/>
  <c r="A188" i="22"/>
  <c r="A189" i="22"/>
  <c r="A190" i="22"/>
  <c r="A191" i="22"/>
  <c r="A192" i="22"/>
  <c r="A193" i="22"/>
  <c r="A194" i="22"/>
  <c r="A195" i="22"/>
  <c r="A196" i="22"/>
  <c r="A197" i="22"/>
  <c r="A198" i="22"/>
  <c r="A199" i="22"/>
  <c r="A200" i="22"/>
  <c r="A201" i="22"/>
  <c r="A202" i="22"/>
  <c r="A203" i="22"/>
  <c r="A204" i="22"/>
  <c r="A205" i="22"/>
  <c r="A206" i="22"/>
  <c r="A207" i="22"/>
  <c r="A208" i="22"/>
  <c r="A209" i="22"/>
  <c r="A210" i="22"/>
  <c r="A211" i="22"/>
  <c r="A212" i="22"/>
  <c r="A213" i="22"/>
  <c r="A214" i="22"/>
  <c r="A215" i="22"/>
  <c r="A216" i="22"/>
  <c r="A217" i="22"/>
  <c r="A218" i="22"/>
  <c r="A219" i="22"/>
  <c r="A220" i="22"/>
  <c r="A221" i="22"/>
  <c r="A222" i="22"/>
  <c r="A223" i="22"/>
  <c r="A224" i="22"/>
  <c r="A225" i="22"/>
  <c r="A226" i="22"/>
  <c r="A227" i="22"/>
  <c r="A228" i="22"/>
  <c r="A229" i="22"/>
  <c r="A230" i="22"/>
  <c r="A231" i="22"/>
  <c r="A232" i="22"/>
  <c r="A233" i="22"/>
  <c r="A234" i="22"/>
  <c r="A235" i="22"/>
  <c r="A236" i="22"/>
  <c r="A237" i="22"/>
  <c r="A238" i="22"/>
  <c r="A239" i="22"/>
  <c r="A240" i="22"/>
  <c r="A241" i="22"/>
  <c r="A242" i="22"/>
  <c r="A243" i="22"/>
  <c r="A244" i="22"/>
  <c r="A245" i="22"/>
  <c r="A246" i="22"/>
  <c r="A247" i="22"/>
  <c r="A248" i="22"/>
  <c r="A249" i="22"/>
  <c r="A250" i="22"/>
  <c r="A251" i="22"/>
  <c r="A252" i="22"/>
  <c r="A253" i="22"/>
  <c r="A254" i="22"/>
  <c r="A255" i="22"/>
  <c r="A256" i="22"/>
  <c r="A257" i="22"/>
  <c r="A258" i="22"/>
  <c r="A259" i="22"/>
  <c r="A260" i="22"/>
  <c r="A261" i="22"/>
  <c r="A262" i="22"/>
  <c r="A263" i="22"/>
  <c r="A264" i="22"/>
  <c r="A265" i="22"/>
  <c r="A266" i="22"/>
  <c r="A267" i="22"/>
  <c r="A268" i="22"/>
  <c r="A269" i="22"/>
  <c r="A270" i="22"/>
  <c r="A271" i="22"/>
  <c r="A272" i="22"/>
  <c r="A273" i="22"/>
  <c r="A274" i="22"/>
  <c r="A275" i="22"/>
  <c r="A276" i="22"/>
  <c r="A277" i="22"/>
  <c r="A278" i="22"/>
  <c r="A279" i="22"/>
  <c r="A280" i="22"/>
  <c r="A281" i="22"/>
  <c r="A282" i="22"/>
  <c r="A283" i="22"/>
  <c r="A284" i="22"/>
  <c r="A285" i="22"/>
  <c r="A286" i="22"/>
  <c r="A287" i="22"/>
  <c r="A288" i="22"/>
  <c r="A289" i="22"/>
  <c r="A290" i="22"/>
  <c r="A291" i="22"/>
  <c r="A292" i="22"/>
  <c r="A293" i="22"/>
  <c r="A294" i="22"/>
  <c r="A295" i="22"/>
  <c r="A296" i="22"/>
  <c r="A297" i="22"/>
  <c r="A298" i="22"/>
  <c r="A299" i="22"/>
  <c r="A300" i="22"/>
  <c r="A301" i="22"/>
  <c r="A302" i="22"/>
  <c r="A303" i="22"/>
  <c r="A304" i="22"/>
  <c r="A305" i="22"/>
  <c r="A306" i="22"/>
  <c r="A307" i="22"/>
  <c r="A308" i="22"/>
  <c r="A309" i="22"/>
  <c r="A310" i="22"/>
  <c r="A311" i="22"/>
  <c r="A312" i="22"/>
  <c r="A313" i="22"/>
  <c r="A314" i="22"/>
  <c r="A315" i="22"/>
  <c r="A316" i="22"/>
  <c r="A317" i="22"/>
  <c r="A318" i="22"/>
  <c r="A319" i="22"/>
  <c r="A320" i="22"/>
  <c r="A321" i="22"/>
  <c r="A322" i="22"/>
  <c r="A323" i="22"/>
  <c r="A324" i="22"/>
  <c r="A325" i="22"/>
  <c r="A326" i="22"/>
  <c r="A327" i="22"/>
  <c r="A328" i="22"/>
  <c r="A329" i="22"/>
  <c r="A330" i="22"/>
  <c r="A331" i="22"/>
  <c r="A332" i="22"/>
  <c r="A333" i="22"/>
  <c r="A334" i="22"/>
  <c r="A335" i="22"/>
  <c r="A336" i="22"/>
  <c r="A337" i="22"/>
  <c r="A338" i="22"/>
  <c r="A339" i="22"/>
  <c r="A340" i="22"/>
  <c r="A341" i="22"/>
  <c r="A342" i="22"/>
  <c r="A343" i="22"/>
  <c r="A344" i="22"/>
  <c r="A345" i="22"/>
  <c r="A346" i="22"/>
  <c r="A347" i="22"/>
  <c r="A348" i="22"/>
  <c r="A349" i="22"/>
  <c r="A350" i="22"/>
  <c r="A351" i="22"/>
  <c r="A352" i="22"/>
  <c r="A353" i="22"/>
  <c r="A354" i="22"/>
  <c r="A355" i="22"/>
  <c r="A356" i="22"/>
  <c r="A357" i="22"/>
  <c r="A358" i="22"/>
  <c r="A359" i="22"/>
  <c r="A360" i="22"/>
  <c r="A361" i="22"/>
  <c r="A362" i="22"/>
  <c r="A363" i="22"/>
  <c r="A364" i="22"/>
  <c r="A365" i="22"/>
  <c r="A366" i="22"/>
  <c r="A367" i="22"/>
  <c r="A368" i="22"/>
  <c r="A369" i="22"/>
  <c r="A370" i="22"/>
  <c r="A371" i="22"/>
  <c r="A372" i="22"/>
  <c r="A373" i="22"/>
  <c r="A374" i="22"/>
  <c r="A375" i="22"/>
  <c r="A376" i="22"/>
  <c r="A377" i="22"/>
  <c r="A378" i="22"/>
  <c r="A379" i="22"/>
  <c r="A380" i="22"/>
  <c r="A381" i="22"/>
  <c r="A382" i="22"/>
  <c r="A383" i="22"/>
  <c r="A384" i="22"/>
  <c r="A385" i="22"/>
  <c r="A386" i="22"/>
  <c r="A387" i="22"/>
  <c r="A388" i="22"/>
  <c r="A389" i="22"/>
  <c r="A390" i="22"/>
  <c r="A391" i="22"/>
  <c r="A392" i="22"/>
  <c r="A393" i="22"/>
  <c r="A394" i="22"/>
  <c r="A395" i="22"/>
  <c r="A396" i="22"/>
  <c r="A397" i="22"/>
  <c r="A398" i="22"/>
  <c r="A399" i="22"/>
  <c r="A400" i="22"/>
  <c r="A401" i="22"/>
  <c r="A402" i="22"/>
  <c r="A403" i="22"/>
  <c r="A404" i="22"/>
  <c r="A405" i="22"/>
  <c r="A406" i="22"/>
  <c r="A407" i="22"/>
  <c r="A408" i="22"/>
  <c r="A409" i="22"/>
  <c r="A410" i="22"/>
  <c r="A411" i="22"/>
  <c r="A412" i="22"/>
  <c r="A413" i="22"/>
  <c r="A414" i="22"/>
  <c r="A415" i="22"/>
  <c r="A416" i="22"/>
  <c r="A417" i="22"/>
  <c r="A418" i="22"/>
  <c r="A419" i="22"/>
  <c r="A420" i="22"/>
  <c r="A421" i="22"/>
  <c r="A422" i="22"/>
  <c r="A423" i="22"/>
  <c r="A424" i="22"/>
  <c r="A425" i="22"/>
  <c r="A426" i="22"/>
  <c r="A427" i="22"/>
  <c r="A428" i="22"/>
  <c r="A429" i="22"/>
  <c r="A430" i="22"/>
  <c r="A431" i="22"/>
  <c r="A432" i="22"/>
  <c r="A433" i="22"/>
  <c r="A434" i="22"/>
  <c r="A435" i="22"/>
  <c r="A436" i="22"/>
  <c r="A437" i="22"/>
  <c r="A438" i="22"/>
  <c r="A439" i="22"/>
  <c r="A440" i="22"/>
  <c r="A441" i="22"/>
  <c r="A442" i="22"/>
  <c r="A443" i="22"/>
  <c r="A444" i="22"/>
  <c r="A445" i="22"/>
  <c r="A446" i="22"/>
  <c r="A447" i="22"/>
  <c r="A448" i="22"/>
  <c r="A449" i="22"/>
  <c r="A450" i="22"/>
  <c r="A451" i="22"/>
  <c r="A452" i="22"/>
  <c r="A453" i="22"/>
  <c r="A454" i="22"/>
  <c r="A455" i="22"/>
  <c r="A456" i="22"/>
  <c r="A457" i="22"/>
  <c r="A458" i="22"/>
  <c r="A459" i="22"/>
  <c r="A460" i="22"/>
  <c r="A461" i="22"/>
  <c r="A462" i="22"/>
  <c r="A463" i="22"/>
  <c r="A464" i="22"/>
  <c r="A465" i="22"/>
  <c r="A466" i="22"/>
  <c r="A467" i="22"/>
  <c r="A468" i="22"/>
  <c r="A469" i="22"/>
  <c r="A470" i="22"/>
  <c r="A471" i="22"/>
  <c r="A472" i="22"/>
  <c r="A473" i="22"/>
  <c r="A474" i="22"/>
  <c r="A475" i="22"/>
  <c r="A476" i="22"/>
  <c r="A477" i="22"/>
  <c r="A478" i="22"/>
  <c r="A479" i="22"/>
  <c r="A480" i="22"/>
  <c r="A481" i="22"/>
  <c r="A482" i="22"/>
  <c r="A483" i="22"/>
  <c r="A484" i="22"/>
  <c r="A485" i="22"/>
  <c r="A486" i="22"/>
  <c r="A487" i="22"/>
  <c r="A488" i="22"/>
  <c r="A489" i="22"/>
  <c r="A490" i="22"/>
  <c r="A491" i="22"/>
  <c r="A492" i="22"/>
  <c r="A493" i="22"/>
  <c r="A494" i="22"/>
  <c r="A495" i="22"/>
  <c r="A496" i="22"/>
  <c r="A497" i="22"/>
  <c r="A498" i="22"/>
  <c r="A499" i="22"/>
  <c r="A500" i="22"/>
  <c r="A501" i="22"/>
  <c r="A502" i="22"/>
  <c r="A503" i="22"/>
  <c r="A504" i="22"/>
  <c r="A505" i="22"/>
  <c r="A506" i="22"/>
  <c r="A507" i="22"/>
  <c r="A508" i="22"/>
  <c r="A509" i="22"/>
  <c r="A510" i="22"/>
  <c r="A511" i="22"/>
  <c r="A512" i="22"/>
  <c r="A513" i="22"/>
  <c r="A514" i="22"/>
  <c r="A515" i="22"/>
  <c r="A516" i="22"/>
  <c r="A517" i="22"/>
  <c r="A518" i="22"/>
  <c r="A519" i="22"/>
  <c r="A520" i="22"/>
  <c r="A521" i="22"/>
  <c r="A522" i="22"/>
  <c r="A523" i="22"/>
  <c r="A524" i="22"/>
  <c r="A525" i="22"/>
  <c r="A526" i="22"/>
  <c r="A527" i="22"/>
  <c r="A528" i="22"/>
  <c r="A529" i="22"/>
  <c r="A530" i="22"/>
  <c r="A531" i="22"/>
  <c r="A532" i="22"/>
  <c r="A533" i="22"/>
  <c r="A534" i="22"/>
  <c r="A535" i="22"/>
  <c r="A536" i="22"/>
  <c r="A537" i="22"/>
  <c r="A538" i="22"/>
  <c r="A539" i="22"/>
  <c r="A540" i="22"/>
  <c r="A541" i="22"/>
  <c r="A542" i="22"/>
  <c r="A543" i="22"/>
  <c r="A544" i="22"/>
  <c r="A545" i="22"/>
  <c r="A546" i="22"/>
  <c r="A547" i="22"/>
  <c r="A548" i="22"/>
  <c r="A549" i="22"/>
  <c r="A550" i="22"/>
  <c r="A551" i="22"/>
  <c r="A552" i="22"/>
  <c r="A553" i="22"/>
  <c r="A554" i="22"/>
  <c r="A555" i="22"/>
  <c r="A556" i="22"/>
  <c r="A557" i="22"/>
  <c r="A558" i="22"/>
  <c r="A559" i="22"/>
  <c r="A560" i="22"/>
  <c r="A561" i="22"/>
  <c r="A562" i="22"/>
  <c r="A563" i="22"/>
  <c r="A564" i="22"/>
  <c r="A565" i="22"/>
  <c r="A566" i="22"/>
  <c r="A567" i="22"/>
  <c r="A568" i="22"/>
  <c r="A569" i="22"/>
  <c r="A570" i="22"/>
  <c r="A571" i="22"/>
  <c r="A572" i="22"/>
  <c r="A573" i="22"/>
  <c r="A574" i="22"/>
  <c r="A575" i="22"/>
  <c r="A576" i="22"/>
  <c r="A577" i="22"/>
  <c r="A578" i="22"/>
  <c r="A579" i="22"/>
  <c r="A580" i="22"/>
  <c r="A581" i="22"/>
  <c r="A582" i="22"/>
  <c r="A583" i="22"/>
  <c r="A584" i="22"/>
  <c r="A585" i="22"/>
  <c r="A586" i="22"/>
  <c r="A587" i="22"/>
  <c r="A588" i="22"/>
  <c r="A589" i="22"/>
  <c r="A590" i="22"/>
  <c r="A591" i="22"/>
  <c r="A592" i="22"/>
  <c r="A593" i="22"/>
  <c r="A594" i="22"/>
  <c r="A595" i="22"/>
  <c r="A596" i="22"/>
  <c r="A597" i="22"/>
  <c r="A598" i="22"/>
  <c r="A599" i="22"/>
  <c r="A600" i="22"/>
  <c r="A601" i="22"/>
  <c r="A602" i="22"/>
  <c r="A603" i="22"/>
  <c r="A604" i="22"/>
  <c r="A605" i="22"/>
  <c r="A606" i="22"/>
  <c r="A607" i="22"/>
  <c r="A608" i="22"/>
  <c r="A609" i="22"/>
  <c r="A610" i="22"/>
  <c r="A611" i="22"/>
  <c r="A612" i="22"/>
  <c r="A613" i="22"/>
  <c r="A614" i="22"/>
  <c r="A615" i="22"/>
  <c r="A616" i="22"/>
  <c r="A617" i="22"/>
  <c r="A618" i="22"/>
  <c r="A619" i="22"/>
  <c r="A620" i="22"/>
  <c r="A621" i="22"/>
  <c r="A622" i="22"/>
  <c r="A623" i="22"/>
  <c r="A624" i="22"/>
  <c r="A625" i="22"/>
  <c r="A626" i="22"/>
  <c r="A627" i="22"/>
  <c r="A628" i="22"/>
  <c r="A629" i="22"/>
  <c r="A630" i="22"/>
  <c r="A631" i="22"/>
  <c r="A632" i="22"/>
  <c r="A633" i="22"/>
  <c r="A634" i="22"/>
  <c r="A635" i="22"/>
  <c r="A636" i="22"/>
  <c r="A637" i="22"/>
  <c r="A638" i="22"/>
  <c r="A639" i="22"/>
  <c r="A640" i="22"/>
  <c r="A641" i="22"/>
  <c r="A642" i="22"/>
  <c r="A643" i="22"/>
  <c r="A644" i="22"/>
  <c r="A645" i="22"/>
  <c r="A646" i="22"/>
  <c r="A647" i="22"/>
  <c r="A648" i="22"/>
  <c r="A649" i="22"/>
  <c r="A650" i="22"/>
  <c r="A651" i="22"/>
  <c r="A652" i="22"/>
  <c r="A653" i="22"/>
  <c r="A654" i="22"/>
  <c r="A655" i="22"/>
  <c r="A656" i="22"/>
  <c r="A657" i="22"/>
  <c r="A658" i="22"/>
  <c r="A659" i="22"/>
  <c r="A660" i="22"/>
  <c r="A661" i="22"/>
  <c r="A662" i="22"/>
  <c r="A663" i="22"/>
  <c r="A664" i="22"/>
  <c r="A665" i="22"/>
  <c r="A666" i="22"/>
  <c r="A667" i="22"/>
  <c r="A668" i="22"/>
  <c r="A669" i="22"/>
  <c r="A670" i="22"/>
  <c r="A671" i="22"/>
  <c r="A672" i="22"/>
  <c r="A673" i="22"/>
  <c r="A674" i="22"/>
  <c r="A675" i="22"/>
  <c r="A676" i="22"/>
  <c r="A677" i="22"/>
  <c r="A678" i="22"/>
  <c r="A679" i="22"/>
  <c r="A680" i="22"/>
  <c r="A681" i="22"/>
  <c r="A682" i="22"/>
  <c r="A683" i="22"/>
  <c r="A684" i="22"/>
  <c r="A685" i="22"/>
  <c r="A686" i="22"/>
  <c r="A687" i="22"/>
  <c r="A688" i="22"/>
  <c r="A689" i="22"/>
  <c r="A690" i="22"/>
  <c r="A691" i="22"/>
  <c r="A692" i="22"/>
  <c r="A693" i="22"/>
  <c r="A694" i="22"/>
  <c r="A695" i="22"/>
  <c r="A696" i="22"/>
  <c r="A697" i="22"/>
  <c r="A698" i="22"/>
  <c r="A699" i="22"/>
  <c r="A700" i="22"/>
  <c r="A701" i="22"/>
  <c r="A702" i="22"/>
  <c r="A703" i="22"/>
  <c r="A704" i="22"/>
  <c r="A705" i="22"/>
  <c r="A706" i="22"/>
  <c r="A707" i="22"/>
  <c r="A708" i="22"/>
  <c r="A709" i="22"/>
  <c r="A710" i="22"/>
  <c r="A711" i="22"/>
  <c r="A712" i="22"/>
  <c r="A713" i="22"/>
  <c r="A714" i="22"/>
  <c r="A715" i="22"/>
  <c r="A716" i="22"/>
  <c r="A717" i="22"/>
  <c r="A718" i="22"/>
  <c r="A719" i="22"/>
  <c r="A720" i="22"/>
  <c r="A721" i="22"/>
  <c r="A722" i="22"/>
  <c r="A723" i="22"/>
  <c r="A724" i="22"/>
  <c r="A725" i="22"/>
  <c r="A726" i="22"/>
  <c r="A727" i="22"/>
  <c r="A728" i="22"/>
  <c r="A729" i="22"/>
  <c r="A730" i="22"/>
  <c r="A731" i="22"/>
  <c r="A732" i="22"/>
  <c r="A733" i="22"/>
  <c r="A734" i="22"/>
  <c r="A735" i="22"/>
  <c r="A736" i="22"/>
  <c r="A737" i="22"/>
  <c r="A738" i="22"/>
  <c r="A739" i="22"/>
  <c r="A740" i="22"/>
  <c r="A741" i="22"/>
  <c r="A742" i="22"/>
  <c r="A743" i="22"/>
  <c r="A744" i="22"/>
  <c r="A745" i="22"/>
  <c r="A746" i="22"/>
  <c r="A747" i="22"/>
  <c r="A748" i="22"/>
  <c r="A749" i="22"/>
  <c r="A750" i="22"/>
  <c r="A751" i="22"/>
  <c r="A752" i="22"/>
  <c r="A753" i="22"/>
  <c r="A754" i="22"/>
  <c r="A755" i="22"/>
  <c r="A756" i="22"/>
  <c r="A757" i="22"/>
  <c r="A758" i="22"/>
  <c r="A759" i="22"/>
  <c r="A760" i="22"/>
  <c r="A761" i="22"/>
  <c r="A762" i="22"/>
  <c r="A763" i="22"/>
  <c r="A764" i="22"/>
  <c r="A765" i="22"/>
  <c r="A766" i="22"/>
  <c r="A767" i="22"/>
  <c r="A768" i="22"/>
  <c r="A769" i="22"/>
  <c r="A770" i="22"/>
  <c r="A771" i="22"/>
  <c r="A772" i="22"/>
  <c r="A773" i="22"/>
  <c r="A774" i="22"/>
  <c r="A775" i="22"/>
  <c r="A776" i="22"/>
  <c r="A777" i="22"/>
  <c r="A778" i="22"/>
  <c r="A779" i="22"/>
  <c r="A780" i="22"/>
  <c r="A781" i="22"/>
  <c r="A782" i="22"/>
  <c r="A783" i="22"/>
  <c r="A784" i="22"/>
  <c r="A785" i="22"/>
  <c r="A786" i="22"/>
  <c r="A787" i="22"/>
  <c r="A788" i="22"/>
  <c r="A789" i="22"/>
  <c r="A790" i="22"/>
  <c r="A791" i="22"/>
  <c r="A792" i="22"/>
  <c r="A793" i="22"/>
  <c r="A794" i="22"/>
  <c r="A795" i="22"/>
  <c r="A796" i="22"/>
  <c r="A797" i="22"/>
  <c r="A798" i="22"/>
  <c r="A799" i="22"/>
  <c r="A800" i="22"/>
  <c r="A801" i="22"/>
  <c r="A802" i="22"/>
  <c r="A803" i="22"/>
  <c r="A804" i="22"/>
  <c r="A805" i="22"/>
  <c r="A806" i="22"/>
  <c r="A807" i="22"/>
  <c r="A808" i="22"/>
  <c r="A809" i="22"/>
  <c r="A810" i="22"/>
  <c r="A811" i="22"/>
  <c r="A812" i="22"/>
  <c r="A813" i="22"/>
  <c r="A814" i="22"/>
  <c r="A815" i="22"/>
  <c r="A816" i="22"/>
  <c r="A817" i="22"/>
  <c r="A818" i="22"/>
  <c r="A819" i="22"/>
  <c r="A820" i="22"/>
  <c r="A821" i="22"/>
  <c r="A822" i="22"/>
  <c r="A823" i="22"/>
  <c r="A824" i="22"/>
  <c r="A825" i="22"/>
  <c r="A826" i="22"/>
  <c r="A827" i="22"/>
  <c r="A828" i="22"/>
  <c r="A829" i="22"/>
  <c r="A830" i="22"/>
  <c r="A831" i="22"/>
  <c r="A832" i="22"/>
  <c r="A833" i="22"/>
  <c r="A834" i="22"/>
  <c r="A835" i="22"/>
  <c r="A836" i="22"/>
  <c r="A837" i="22"/>
  <c r="A838" i="22"/>
  <c r="A839" i="22"/>
  <c r="A840" i="22"/>
  <c r="A841" i="22"/>
  <c r="A842" i="22"/>
  <c r="A843" i="22"/>
  <c r="A844" i="22"/>
  <c r="A845" i="22"/>
  <c r="A846" i="22"/>
  <c r="A847" i="22"/>
  <c r="A848" i="22"/>
  <c r="A849" i="22"/>
  <c r="A850" i="22"/>
  <c r="A851" i="22"/>
  <c r="A852" i="22"/>
  <c r="A853" i="22"/>
  <c r="A854" i="22"/>
  <c r="A855" i="22"/>
  <c r="A856" i="22"/>
  <c r="A857" i="22"/>
  <c r="A858" i="22"/>
  <c r="A859" i="22"/>
  <c r="A860" i="22"/>
  <c r="A861" i="22"/>
  <c r="A862" i="22"/>
  <c r="A863" i="22"/>
  <c r="A864" i="22"/>
  <c r="A865" i="22"/>
  <c r="A866" i="22"/>
  <c r="A867" i="22"/>
  <c r="A868" i="22"/>
  <c r="A869" i="22"/>
  <c r="A870" i="22"/>
  <c r="A871" i="22"/>
  <c r="A872" i="22"/>
  <c r="A873" i="22"/>
  <c r="A874" i="22"/>
  <c r="A875" i="22"/>
  <c r="A876" i="22"/>
  <c r="A877" i="22"/>
  <c r="A878" i="22"/>
  <c r="A879" i="22"/>
  <c r="A880" i="22"/>
  <c r="A881" i="22"/>
  <c r="A882" i="22"/>
  <c r="A883" i="22"/>
  <c r="A884" i="22"/>
  <c r="A885" i="22"/>
  <c r="A886" i="22"/>
  <c r="A887" i="22"/>
  <c r="A888" i="22"/>
  <c r="A889" i="22"/>
  <c r="A890" i="22"/>
  <c r="A891" i="22"/>
  <c r="A892" i="22"/>
  <c r="A893" i="22"/>
  <c r="A894" i="22"/>
  <c r="A895" i="22"/>
  <c r="A896" i="22"/>
  <c r="A897" i="22"/>
  <c r="A898" i="22"/>
  <c r="A899" i="22"/>
  <c r="A900" i="22"/>
  <c r="A901" i="22"/>
  <c r="A902" i="22"/>
  <c r="A903" i="22"/>
  <c r="A904" i="22"/>
  <c r="A905" i="22"/>
  <c r="A906" i="22"/>
  <c r="A907" i="22"/>
  <c r="A908" i="22"/>
  <c r="A909" i="22"/>
  <c r="A910" i="22"/>
  <c r="A911" i="22"/>
  <c r="A912" i="22"/>
  <c r="A913" i="22"/>
  <c r="A914" i="22"/>
  <c r="A915" i="22"/>
  <c r="A916" i="22"/>
  <c r="A917" i="22"/>
  <c r="A918" i="22"/>
  <c r="A919" i="22"/>
  <c r="A920" i="22"/>
  <c r="A921" i="22"/>
  <c r="A922" i="22"/>
  <c r="A923" i="22"/>
  <c r="A924" i="22"/>
  <c r="A925" i="22"/>
  <c r="A926" i="22"/>
  <c r="A927" i="22"/>
  <c r="A928" i="22"/>
  <c r="A929" i="22"/>
  <c r="A930" i="22"/>
  <c r="A931" i="22"/>
  <c r="A932" i="22"/>
  <c r="A933" i="22"/>
  <c r="A934" i="22"/>
  <c r="A935" i="22"/>
  <c r="A936" i="22"/>
  <c r="A937" i="22"/>
  <c r="A938" i="22"/>
  <c r="A939" i="22"/>
  <c r="A940" i="22"/>
  <c r="A941" i="22"/>
  <c r="A942" i="22"/>
  <c r="A943" i="22"/>
  <c r="A944" i="22"/>
  <c r="A945" i="22"/>
  <c r="A946" i="22"/>
  <c r="A947" i="22"/>
  <c r="A948" i="22"/>
  <c r="A949" i="22"/>
  <c r="A950" i="22"/>
  <c r="A951" i="22"/>
  <c r="A952" i="22"/>
  <c r="A953" i="22"/>
  <c r="A954" i="22"/>
  <c r="A955" i="22"/>
  <c r="A956" i="22"/>
  <c r="A957" i="22"/>
  <c r="A958" i="22"/>
  <c r="A959" i="22"/>
  <c r="A960" i="22"/>
  <c r="A961" i="22"/>
  <c r="A962" i="22"/>
  <c r="A963" i="22"/>
  <c r="A964" i="22"/>
  <c r="A965" i="22"/>
  <c r="A966" i="22"/>
  <c r="A967" i="22"/>
  <c r="A968" i="22"/>
  <c r="A969" i="22"/>
  <c r="A970" i="22"/>
  <c r="A971" i="22"/>
  <c r="A972" i="22"/>
  <c r="A973" i="22"/>
  <c r="A974" i="22"/>
  <c r="A975" i="22"/>
  <c r="A976" i="22"/>
  <c r="A977" i="22"/>
  <c r="A978" i="22"/>
  <c r="A979" i="22"/>
  <c r="A980" i="22"/>
  <c r="A981" i="22"/>
  <c r="A982" i="22"/>
  <c r="A983" i="22"/>
  <c r="A984" i="22"/>
  <c r="A985" i="22"/>
  <c r="A986" i="22"/>
  <c r="A987" i="22"/>
  <c r="A988" i="22"/>
  <c r="A989" i="22"/>
  <c r="A990" i="22"/>
  <c r="A991" i="22"/>
  <c r="A992" i="22"/>
  <c r="A993" i="22"/>
  <c r="A994" i="22"/>
  <c r="A995" i="22"/>
  <c r="A996" i="22"/>
  <c r="A997" i="22"/>
  <c r="A998" i="22"/>
  <c r="A999" i="22"/>
  <c r="A1000" i="22"/>
  <c r="A1001" i="22"/>
  <c r="A1002" i="22"/>
  <c r="A1003" i="22"/>
  <c r="A1004" i="22"/>
  <c r="A1005" i="22"/>
  <c r="A1006" i="22"/>
  <c r="A1007" i="22"/>
  <c r="A1008" i="22"/>
  <c r="A1009" i="22"/>
  <c r="A1010" i="22"/>
  <c r="A1011" i="22"/>
  <c r="A1012" i="22"/>
  <c r="A1013" i="22"/>
  <c r="A1014" i="22"/>
  <c r="A1015" i="22"/>
  <c r="A1016" i="22"/>
  <c r="A1017" i="22"/>
  <c r="A1018" i="22"/>
  <c r="A1019" i="22"/>
  <c r="A1020" i="22"/>
  <c r="A1021" i="22"/>
  <c r="A1022" i="22"/>
  <c r="A1023" i="22"/>
  <c r="A1024" i="22"/>
  <c r="A1025" i="22"/>
  <c r="A1026" i="22"/>
  <c r="A1027" i="22"/>
  <c r="A1028" i="22"/>
  <c r="A1029" i="22"/>
  <c r="A1030" i="22"/>
  <c r="A1031" i="22"/>
  <c r="A1032" i="22"/>
  <c r="A1033" i="22"/>
  <c r="A1034" i="22"/>
  <c r="A1035" i="22"/>
  <c r="A1036" i="22"/>
  <c r="A1037" i="22"/>
  <c r="A1038" i="22"/>
  <c r="A1039" i="22"/>
  <c r="A1040" i="22"/>
  <c r="A1041" i="22"/>
  <c r="A1042" i="22"/>
  <c r="A1043" i="22"/>
  <c r="A1044" i="22"/>
  <c r="A1045" i="22"/>
  <c r="A1046" i="22"/>
  <c r="A1047" i="22"/>
  <c r="A1048" i="22"/>
  <c r="A1049" i="22"/>
  <c r="A1050" i="22"/>
  <c r="A1051" i="22"/>
  <c r="A1052" i="22"/>
  <c r="A1053" i="22"/>
  <c r="A1054" i="22"/>
  <c r="A1055" i="22"/>
  <c r="A1056" i="22"/>
  <c r="A1057" i="22"/>
  <c r="A1058" i="22"/>
  <c r="A1059" i="22"/>
  <c r="A1060" i="22"/>
  <c r="A1061" i="22"/>
  <c r="A1062" i="22"/>
  <c r="A1063" i="22"/>
  <c r="A1064" i="22"/>
  <c r="A1065" i="22"/>
  <c r="A1066" i="22"/>
  <c r="A1067" i="22"/>
  <c r="A1068" i="22"/>
  <c r="A1069" i="22"/>
  <c r="A1070" i="22"/>
  <c r="A1071" i="22"/>
  <c r="A1072" i="22"/>
  <c r="A1073" i="22"/>
  <c r="A1074" i="22"/>
  <c r="A1075" i="22"/>
  <c r="A1076" i="22"/>
  <c r="A1077" i="22"/>
  <c r="A1078" i="22"/>
  <c r="A1079" i="22"/>
  <c r="A1080" i="22"/>
  <c r="A1081" i="22"/>
  <c r="A1082" i="22"/>
  <c r="A1083" i="22"/>
  <c r="A1084" i="22"/>
  <c r="A1085" i="22"/>
  <c r="A1086" i="22"/>
  <c r="A1087" i="22"/>
  <c r="A1088" i="22"/>
  <c r="A1089" i="22"/>
  <c r="A1090" i="22"/>
  <c r="A1091" i="22"/>
  <c r="A1092" i="22"/>
  <c r="A1093" i="22"/>
  <c r="A1094" i="22"/>
  <c r="A1095" i="22"/>
  <c r="A1096" i="22"/>
  <c r="A1097" i="22"/>
  <c r="A1098" i="22"/>
  <c r="A1099" i="22"/>
  <c r="A1100" i="22"/>
  <c r="A1101" i="22"/>
  <c r="A1102" i="22"/>
  <c r="A1103" i="22"/>
  <c r="A1104" i="22"/>
  <c r="A1105" i="22"/>
  <c r="A1106" i="22"/>
  <c r="A1107" i="22"/>
  <c r="A1108" i="22"/>
  <c r="A1109" i="22"/>
  <c r="A1110" i="22"/>
  <c r="A1111" i="22"/>
  <c r="A1112" i="22"/>
  <c r="A1113" i="22"/>
  <c r="A1114" i="22"/>
  <c r="A1115" i="22"/>
  <c r="A1116" i="22"/>
  <c r="A1117" i="22"/>
  <c r="A1118" i="22"/>
  <c r="A1119" i="22"/>
  <c r="A1120" i="22"/>
  <c r="A1121" i="22"/>
  <c r="A1122" i="22"/>
  <c r="A1123" i="22"/>
  <c r="A1124" i="22"/>
  <c r="A1125" i="22"/>
  <c r="A1126" i="22"/>
  <c r="A1127" i="22"/>
  <c r="A1128" i="22"/>
  <c r="A1129" i="22"/>
  <c r="A1130" i="22"/>
  <c r="A1131" i="22"/>
  <c r="A1132" i="22"/>
  <c r="A1133" i="22"/>
  <c r="A1134" i="22"/>
  <c r="A1135" i="22"/>
  <c r="A1136" i="22"/>
  <c r="A1137" i="22"/>
  <c r="A1138" i="22"/>
  <c r="A1139" i="22"/>
  <c r="A1140" i="22"/>
  <c r="A1141" i="22"/>
  <c r="A1142" i="22"/>
  <c r="A1143" i="22"/>
  <c r="A1144" i="22"/>
  <c r="A1145" i="22"/>
  <c r="A1146" i="22"/>
  <c r="A1147" i="22"/>
  <c r="A1148" i="22"/>
  <c r="A1149" i="22"/>
  <c r="A1150" i="22"/>
  <c r="A1151" i="22"/>
  <c r="A1152" i="22"/>
  <c r="A1153" i="22"/>
  <c r="A1154" i="22"/>
  <c r="A1155" i="22"/>
  <c r="A1156" i="22"/>
  <c r="A1157" i="22"/>
  <c r="A1158" i="22"/>
  <c r="A1159" i="22"/>
  <c r="A1160" i="22"/>
  <c r="A1161" i="22"/>
  <c r="A1162" i="22"/>
  <c r="A1163" i="22"/>
  <c r="A1164" i="22"/>
  <c r="A1165" i="22"/>
  <c r="A1166" i="22"/>
  <c r="A1167" i="22"/>
  <c r="A1168" i="22"/>
  <c r="A1169" i="22"/>
  <c r="A1170" i="22"/>
  <c r="A1171" i="22"/>
  <c r="A1172" i="22"/>
  <c r="A1173" i="22"/>
  <c r="A1174" i="22"/>
  <c r="A1175" i="22"/>
  <c r="A1176" i="22"/>
  <c r="A1177" i="22"/>
  <c r="A1178" i="22"/>
  <c r="A1179" i="22"/>
  <c r="A1180" i="22"/>
  <c r="A1181" i="22"/>
  <c r="A1182" i="22"/>
  <c r="A1183" i="22"/>
  <c r="A1184" i="22"/>
  <c r="A1185" i="22"/>
  <c r="A1186" i="22"/>
  <c r="A1187" i="22"/>
  <c r="A1188" i="22"/>
  <c r="A1189" i="22"/>
  <c r="A1190" i="22"/>
  <c r="A1191" i="22"/>
  <c r="A1192" i="22"/>
  <c r="A1193" i="22"/>
  <c r="A1194" i="22"/>
  <c r="A1195" i="22"/>
  <c r="A1196" i="22"/>
  <c r="A1197" i="22"/>
  <c r="A1198" i="22"/>
  <c r="A1199" i="22"/>
  <c r="A1200" i="22"/>
  <c r="A1201" i="22"/>
  <c r="A1202" i="22"/>
  <c r="A1203" i="22"/>
  <c r="A1204" i="22"/>
  <c r="A1205" i="22"/>
  <c r="A1206" i="22"/>
  <c r="A1207" i="22"/>
  <c r="A1208" i="22"/>
  <c r="A1209" i="22"/>
  <c r="A1210" i="22"/>
  <c r="A1211" i="22"/>
  <c r="A1212" i="22"/>
  <c r="A1213" i="22"/>
  <c r="A1214" i="22"/>
  <c r="A1215" i="22"/>
  <c r="A1216" i="22"/>
  <c r="A1217" i="22"/>
  <c r="A1218" i="22"/>
  <c r="A1219" i="22"/>
  <c r="A1220" i="22"/>
  <c r="A1221" i="22"/>
  <c r="A1222" i="22"/>
  <c r="A1223" i="22"/>
  <c r="A1224" i="22"/>
  <c r="A1225" i="22"/>
  <c r="A1226" i="22"/>
  <c r="A1227" i="22"/>
  <c r="A1228" i="22"/>
  <c r="A1229" i="22"/>
  <c r="A1230" i="22"/>
  <c r="A1231" i="22"/>
  <c r="A1232" i="22"/>
  <c r="A1233" i="22"/>
  <c r="A1234" i="22"/>
  <c r="A1235" i="22"/>
  <c r="A1236" i="22"/>
  <c r="A1237" i="22"/>
  <c r="A1238" i="22"/>
  <c r="A1239" i="22"/>
  <c r="A1240" i="22"/>
  <c r="A1241" i="22"/>
  <c r="A1242" i="22"/>
  <c r="A1243" i="22"/>
  <c r="A1244" i="22"/>
  <c r="A1245" i="22"/>
  <c r="A1246" i="22"/>
  <c r="A1247" i="22"/>
  <c r="A1248" i="22"/>
  <c r="A1249" i="22"/>
  <c r="A1250" i="22"/>
  <c r="A1251" i="22"/>
  <c r="A1252" i="22"/>
  <c r="A1253" i="22"/>
  <c r="A1254" i="22"/>
  <c r="A1255" i="22"/>
  <c r="A1256" i="22"/>
  <c r="A1257" i="22"/>
  <c r="A1258" i="22"/>
  <c r="A1259" i="22"/>
  <c r="A1260" i="22"/>
  <c r="A1261" i="22"/>
  <c r="A1262" i="22"/>
  <c r="A1263" i="22"/>
  <c r="A1264" i="22"/>
  <c r="A1265" i="22"/>
  <c r="A1266" i="22"/>
  <c r="A1267" i="22"/>
  <c r="A1268" i="22"/>
  <c r="A1269" i="22"/>
  <c r="A1270" i="22"/>
  <c r="A1271" i="22"/>
  <c r="A1272" i="22"/>
  <c r="A1273" i="22"/>
  <c r="A1274" i="22"/>
  <c r="A1275" i="22"/>
  <c r="A1276" i="22"/>
  <c r="A1277" i="22"/>
  <c r="A1278" i="22"/>
  <c r="A1279" i="22"/>
  <c r="A1280" i="22"/>
  <c r="A1281" i="22"/>
  <c r="A1282" i="22"/>
  <c r="A1283" i="22"/>
  <c r="A1284" i="22"/>
  <c r="A1285" i="22"/>
  <c r="A1286" i="22"/>
  <c r="A1287" i="22"/>
  <c r="A1288" i="22"/>
  <c r="A1289" i="22"/>
  <c r="A1290" i="22"/>
  <c r="A1291" i="22"/>
  <c r="A1292" i="22"/>
  <c r="A1293" i="22"/>
  <c r="A1294" i="22"/>
  <c r="A1295" i="22"/>
  <c r="A1296" i="22"/>
  <c r="A1297" i="22"/>
  <c r="A1298" i="22"/>
  <c r="A1299" i="22"/>
  <c r="A1300" i="22"/>
  <c r="A1301" i="22"/>
  <c r="A1302" i="22"/>
  <c r="A1303" i="22"/>
  <c r="A1304" i="22"/>
  <c r="A1305" i="22"/>
  <c r="A1306" i="22"/>
  <c r="A1307" i="22"/>
  <c r="A1308" i="22"/>
  <c r="A1309" i="22"/>
  <c r="A1310" i="22"/>
  <c r="A1311" i="22"/>
  <c r="A1312" i="22"/>
  <c r="A1313" i="22"/>
  <c r="A1314" i="22"/>
  <c r="A1315" i="22"/>
  <c r="A1316" i="22"/>
  <c r="A1317" i="22"/>
  <c r="A1318" i="22"/>
  <c r="A1319" i="22"/>
  <c r="A1320" i="22"/>
  <c r="A1321" i="22"/>
  <c r="A1322" i="22"/>
  <c r="A1323" i="22"/>
  <c r="A1324" i="22"/>
  <c r="A1325" i="22"/>
  <c r="A1326" i="22"/>
  <c r="A1327" i="22"/>
  <c r="A1328" i="22"/>
  <c r="A1329" i="22"/>
  <c r="A1330" i="22"/>
  <c r="A1331" i="22"/>
  <c r="A1332" i="22"/>
  <c r="A1333" i="22"/>
  <c r="A1334" i="22"/>
  <c r="A1335" i="22"/>
  <c r="A1336" i="22"/>
  <c r="A1337" i="22"/>
  <c r="A1338" i="22"/>
  <c r="A1339" i="22"/>
  <c r="A1340" i="22"/>
  <c r="A1341" i="22"/>
  <c r="A1342" i="22"/>
  <c r="A1343" i="22"/>
  <c r="A1344" i="22"/>
  <c r="A1345" i="22"/>
  <c r="A1346" i="22"/>
  <c r="A1347" i="22"/>
  <c r="A1348" i="22"/>
  <c r="A1349" i="22"/>
  <c r="A1350" i="22"/>
  <c r="A1351" i="22"/>
  <c r="A1352" i="22"/>
  <c r="A1353" i="22"/>
  <c r="A1354" i="22"/>
  <c r="A1355" i="22"/>
  <c r="A1356" i="22"/>
  <c r="A1357" i="22"/>
  <c r="A1358" i="22"/>
  <c r="A1359" i="22"/>
  <c r="A1360" i="22"/>
  <c r="A1361" i="22"/>
  <c r="A1362" i="22"/>
  <c r="A1363" i="22"/>
  <c r="A1364" i="22"/>
  <c r="A1365" i="22"/>
  <c r="A1366" i="22"/>
  <c r="A1367" i="22"/>
  <c r="A1368" i="22"/>
  <c r="A1369" i="22"/>
  <c r="A1370" i="22"/>
  <c r="A1371" i="22"/>
  <c r="A1372" i="22"/>
  <c r="A1373" i="22"/>
  <c r="A1374" i="22"/>
  <c r="A1375" i="22"/>
  <c r="A1376" i="22"/>
  <c r="A1377" i="22"/>
  <c r="A1378" i="22"/>
  <c r="A1379" i="22"/>
  <c r="A1380" i="22"/>
  <c r="A1381" i="22"/>
  <c r="A1382" i="22"/>
  <c r="A1383" i="22"/>
  <c r="A1384" i="22"/>
  <c r="A1385" i="22"/>
  <c r="A1386" i="22"/>
  <c r="A1387" i="22"/>
  <c r="A1388" i="22"/>
  <c r="A1389" i="22"/>
  <c r="A1390" i="22"/>
  <c r="A1391" i="22"/>
  <c r="A1392" i="22"/>
  <c r="A1393" i="22"/>
  <c r="A1394" i="22"/>
  <c r="A1395" i="22"/>
  <c r="A1396" i="22"/>
  <c r="A1397" i="22"/>
  <c r="A1398" i="22"/>
  <c r="A1399" i="22"/>
  <c r="A1400" i="22"/>
  <c r="A1401" i="22"/>
  <c r="A1402" i="22"/>
  <c r="A1403" i="22"/>
  <c r="A1404" i="22"/>
  <c r="A1405" i="22"/>
  <c r="A1406" i="22"/>
  <c r="A1407" i="22"/>
  <c r="A1408" i="22"/>
  <c r="A1409" i="22"/>
  <c r="A1410" i="22"/>
  <c r="A1411" i="22"/>
  <c r="A1412" i="22"/>
  <c r="A1413" i="22"/>
  <c r="A1414" i="22"/>
  <c r="A1415" i="22"/>
  <c r="A1416" i="22"/>
  <c r="A1417" i="22"/>
  <c r="A1418" i="22"/>
  <c r="A1419" i="22"/>
  <c r="A1420" i="22"/>
  <c r="A1421" i="22"/>
  <c r="A1422" i="22"/>
  <c r="A1423" i="22"/>
  <c r="A1424" i="22"/>
  <c r="A1425" i="22"/>
  <c r="A1426" i="22"/>
  <c r="A1427" i="22"/>
  <c r="A1428" i="22"/>
  <c r="A1429" i="22"/>
  <c r="A1430" i="22"/>
  <c r="A1431" i="22"/>
  <c r="A1432" i="22"/>
  <c r="A1433" i="22"/>
  <c r="A1434" i="22"/>
  <c r="A1435" i="22"/>
  <c r="A1436" i="22"/>
  <c r="A1437" i="22"/>
  <c r="A1438" i="22"/>
  <c r="A1439" i="22"/>
  <c r="A1440" i="22"/>
  <c r="A1441" i="22"/>
  <c r="A1442" i="22"/>
  <c r="A1443" i="22"/>
  <c r="A1444" i="22"/>
  <c r="A1445" i="22"/>
  <c r="A1446" i="22"/>
  <c r="A1447" i="22"/>
  <c r="A1448" i="22"/>
  <c r="A1449" i="22"/>
  <c r="A1450" i="22"/>
  <c r="A1451" i="22"/>
  <c r="A1452" i="22"/>
  <c r="A1453" i="22"/>
  <c r="A1454" i="22"/>
  <c r="A1455" i="22"/>
  <c r="A1456" i="22"/>
  <c r="A1457" i="22"/>
  <c r="A1458" i="22"/>
  <c r="A1459" i="22"/>
  <c r="A1460" i="22"/>
  <c r="A1461" i="22"/>
  <c r="A1462" i="22"/>
  <c r="A1463" i="22"/>
  <c r="A1464" i="22"/>
  <c r="A1465" i="22"/>
  <c r="A1466" i="22"/>
  <c r="A1467" i="22"/>
  <c r="A1468" i="22"/>
  <c r="A1469" i="22"/>
  <c r="A1470" i="22"/>
  <c r="A1471" i="22"/>
  <c r="A1472" i="22"/>
  <c r="A1473" i="22"/>
  <c r="A1474" i="22"/>
  <c r="A1475" i="22"/>
  <c r="A1476" i="22"/>
  <c r="A1477" i="22"/>
  <c r="A1478" i="22"/>
  <c r="A1479" i="22"/>
  <c r="A1480" i="22"/>
  <c r="A1481" i="22"/>
  <c r="A1482" i="22"/>
  <c r="A1483" i="22"/>
  <c r="A1484" i="22"/>
  <c r="A1485" i="22"/>
  <c r="A1486" i="22"/>
  <c r="A1487" i="22"/>
  <c r="A1488" i="22"/>
  <c r="A1489" i="22"/>
  <c r="A1490" i="22"/>
  <c r="A1491" i="22"/>
  <c r="A1492" i="22"/>
  <c r="A1493" i="22"/>
  <c r="A1494" i="22"/>
  <c r="A1495" i="22"/>
  <c r="A1496" i="22"/>
  <c r="A1497" i="22"/>
  <c r="A1498" i="22"/>
  <c r="A1499" i="22"/>
  <c r="A1500" i="22"/>
  <c r="A1501" i="22"/>
  <c r="A1502" i="22"/>
  <c r="A1503" i="22"/>
  <c r="A1504" i="22"/>
  <c r="A1505" i="22"/>
  <c r="A1506" i="22"/>
  <c r="A1507" i="22"/>
  <c r="A1508" i="22"/>
  <c r="A1509" i="22"/>
  <c r="A1510" i="22"/>
  <c r="A1511" i="22"/>
  <c r="A1512" i="22"/>
  <c r="A1513" i="22"/>
  <c r="A1514" i="22"/>
  <c r="A1515" i="22"/>
  <c r="A1516" i="22"/>
  <c r="A1517" i="22"/>
  <c r="A1518" i="22"/>
  <c r="A1519" i="22"/>
  <c r="A1520" i="22"/>
  <c r="A1521" i="22"/>
  <c r="A1522" i="22"/>
  <c r="A1523" i="22"/>
  <c r="A1524" i="22"/>
  <c r="A1525" i="22"/>
  <c r="A1526" i="22"/>
  <c r="A1527" i="22"/>
  <c r="A1528" i="22"/>
  <c r="A1529" i="22"/>
  <c r="A1530" i="22"/>
  <c r="A1531" i="22"/>
  <c r="A1532" i="22"/>
  <c r="A1533" i="22"/>
  <c r="A1534" i="22"/>
  <c r="A1535" i="22"/>
  <c r="A1536" i="22"/>
  <c r="A1537" i="22"/>
  <c r="A1538" i="22"/>
  <c r="A1539" i="22"/>
  <c r="A1540" i="22"/>
  <c r="A1541" i="22"/>
  <c r="A1542" i="22"/>
  <c r="A1543" i="22"/>
  <c r="A1544" i="22"/>
  <c r="A1545" i="22"/>
  <c r="A1546" i="22"/>
  <c r="A1547" i="22"/>
  <c r="A1548" i="22"/>
  <c r="A1549" i="22"/>
  <c r="A1550" i="22"/>
  <c r="A1551" i="22"/>
  <c r="A1552" i="22"/>
  <c r="A1553" i="22"/>
  <c r="A1554" i="22"/>
  <c r="A1555" i="22"/>
  <c r="A1556" i="22"/>
  <c r="A1557" i="22"/>
  <c r="A1558" i="22"/>
  <c r="A1559" i="22"/>
  <c r="A1560" i="22"/>
  <c r="A1561" i="22"/>
  <c r="A1562" i="22"/>
  <c r="A1563" i="22"/>
  <c r="A1564" i="22"/>
  <c r="A1565" i="22"/>
  <c r="A1566" i="22"/>
  <c r="A1567" i="22"/>
  <c r="A1568" i="22"/>
  <c r="A1569" i="22"/>
  <c r="A1570" i="22"/>
  <c r="A1571" i="22"/>
  <c r="A1572" i="22"/>
  <c r="A1573" i="22"/>
  <c r="A1574" i="22"/>
  <c r="A1575" i="22"/>
  <c r="A1576" i="22"/>
  <c r="A1577" i="22"/>
  <c r="A1578" i="22"/>
  <c r="A1579" i="22"/>
  <c r="A1580" i="22"/>
  <c r="A1581" i="22"/>
  <c r="A1582" i="22"/>
  <c r="A1583" i="22"/>
  <c r="A1584" i="22"/>
  <c r="A1585" i="22"/>
  <c r="A1586" i="22"/>
  <c r="A1587" i="22"/>
  <c r="A1588" i="22"/>
  <c r="A1589" i="22"/>
  <c r="A1590" i="22"/>
  <c r="A1591" i="22"/>
  <c r="A1592" i="22"/>
  <c r="A1593" i="22"/>
  <c r="A1594" i="22"/>
  <c r="A1595" i="22"/>
  <c r="A1596" i="22"/>
  <c r="A1597" i="22"/>
  <c r="A1598" i="22"/>
  <c r="A1599" i="22"/>
  <c r="A1600" i="22"/>
  <c r="A1601" i="22"/>
  <c r="A1602" i="22"/>
  <c r="A1603" i="22"/>
  <c r="A1604" i="22"/>
  <c r="A1605" i="22"/>
  <c r="A1606" i="22"/>
  <c r="A1607" i="22"/>
  <c r="A1608" i="22"/>
  <c r="A1609" i="22"/>
  <c r="A1610" i="22"/>
  <c r="A1611" i="22"/>
  <c r="A1612" i="22"/>
  <c r="A1613" i="22"/>
  <c r="A1614" i="22"/>
  <c r="A1615" i="22"/>
  <c r="A1616" i="22"/>
  <c r="A1617" i="22"/>
  <c r="A1618" i="22"/>
  <c r="A1619" i="22"/>
  <c r="A1620" i="22"/>
  <c r="A1621" i="22"/>
  <c r="A1622" i="22"/>
  <c r="A1623" i="22"/>
  <c r="A1624" i="22"/>
  <c r="A1625" i="22"/>
  <c r="A1626" i="22"/>
  <c r="A1627" i="22"/>
  <c r="A1628" i="22"/>
  <c r="A1629" i="22"/>
  <c r="A1630" i="22"/>
  <c r="A1631" i="22"/>
  <c r="A1632" i="22"/>
  <c r="A1633" i="22"/>
  <c r="A1634" i="22"/>
  <c r="A1635" i="22"/>
  <c r="A1636" i="22"/>
  <c r="A1637" i="22"/>
  <c r="A1638" i="22"/>
  <c r="A1639" i="22"/>
  <c r="A1640" i="22"/>
  <c r="A1641" i="22"/>
  <c r="A1642" i="22"/>
  <c r="A1643" i="22"/>
  <c r="A1644" i="22"/>
  <c r="A1645" i="22"/>
  <c r="A1646" i="22"/>
  <c r="A1647" i="22"/>
  <c r="A1648" i="22"/>
  <c r="A1649" i="22"/>
  <c r="A1650" i="22"/>
  <c r="A1651" i="22"/>
  <c r="A1652" i="22"/>
  <c r="A1653" i="22"/>
  <c r="A1654" i="22"/>
  <c r="A1655" i="22"/>
  <c r="A1656" i="22"/>
  <c r="A1657" i="22"/>
  <c r="A1658" i="22"/>
  <c r="A1659" i="22"/>
  <c r="A1660" i="22"/>
  <c r="A1661" i="22"/>
  <c r="A1662" i="22"/>
  <c r="A1663" i="22"/>
  <c r="A1664" i="22"/>
  <c r="A1665" i="22"/>
  <c r="A1666" i="22"/>
  <c r="A1667" i="22"/>
  <c r="A1668" i="22"/>
  <c r="A1669" i="22"/>
  <c r="A1670" i="22"/>
  <c r="A1671" i="22"/>
  <c r="A1672" i="22"/>
  <c r="A1673" i="22"/>
  <c r="A1674" i="22"/>
  <c r="A1675" i="22"/>
  <c r="A1676" i="22"/>
  <c r="A1677" i="22"/>
  <c r="A1678" i="22"/>
  <c r="A1679" i="22"/>
  <c r="A1680" i="22"/>
  <c r="A1681" i="22"/>
  <c r="A1682" i="22"/>
  <c r="A1683" i="22"/>
  <c r="A1684" i="22"/>
  <c r="A1685" i="22"/>
  <c r="A1686" i="22"/>
  <c r="A1687" i="22"/>
  <c r="A1688" i="22"/>
  <c r="A1689" i="22"/>
  <c r="A1690" i="22"/>
  <c r="A1691" i="22"/>
  <c r="A1692" i="22"/>
  <c r="A1693" i="22"/>
  <c r="A1694" i="22"/>
  <c r="A1695" i="22"/>
  <c r="A1696" i="22"/>
  <c r="A1697" i="22"/>
  <c r="A1698" i="22"/>
  <c r="A1699" i="22"/>
  <c r="A1700" i="22"/>
  <c r="A1701" i="22"/>
  <c r="A1702" i="22"/>
  <c r="A1703" i="22"/>
  <c r="A1704" i="22"/>
  <c r="A1705" i="22"/>
  <c r="A1706" i="22"/>
  <c r="A1707" i="22"/>
  <c r="A1708" i="22"/>
  <c r="A1709" i="22"/>
  <c r="A1710" i="22"/>
  <c r="A1711" i="22"/>
  <c r="A1712" i="22"/>
  <c r="A1713" i="22"/>
  <c r="A1714" i="22"/>
  <c r="A1715" i="22"/>
  <c r="A1716" i="22"/>
  <c r="A1717" i="22"/>
  <c r="A1718" i="22"/>
  <c r="A1719" i="22"/>
  <c r="A1720" i="22"/>
  <c r="A1721" i="22"/>
  <c r="A1722" i="22"/>
  <c r="A1723" i="22"/>
  <c r="A1724" i="22"/>
  <c r="A1725" i="22"/>
  <c r="A1726" i="22"/>
  <c r="A1727" i="22"/>
  <c r="A1728" i="22"/>
  <c r="A1729" i="22"/>
  <c r="A1730" i="22"/>
  <c r="A1731" i="22"/>
  <c r="A1732" i="22"/>
  <c r="A1733" i="22"/>
  <c r="A1734" i="22"/>
  <c r="A1735" i="22"/>
  <c r="A1736" i="22"/>
  <c r="A1737" i="22"/>
  <c r="A1738" i="22"/>
  <c r="A1739" i="22"/>
  <c r="A1740" i="22"/>
  <c r="A1741" i="22"/>
  <c r="A1742" i="22"/>
  <c r="A1743" i="22"/>
  <c r="A1744" i="22"/>
  <c r="A1745" i="22"/>
  <c r="A1746" i="22"/>
  <c r="A1747" i="22"/>
  <c r="A1748" i="22"/>
  <c r="A1749" i="22"/>
  <c r="A1750" i="22"/>
  <c r="A1751" i="22"/>
  <c r="A1752" i="22"/>
  <c r="A1753" i="22"/>
  <c r="A1754" i="22"/>
  <c r="A1755" i="22"/>
  <c r="A1756" i="22"/>
  <c r="A1757" i="22"/>
  <c r="A1758" i="22"/>
  <c r="A1759" i="22"/>
  <c r="A1760" i="22"/>
  <c r="A1761" i="22"/>
  <c r="A1762" i="22"/>
  <c r="A1763" i="22"/>
  <c r="A1764" i="22"/>
  <c r="A1765" i="22"/>
  <c r="A1766" i="22"/>
  <c r="A1767" i="22"/>
  <c r="A1768" i="22"/>
  <c r="A1769" i="22"/>
  <c r="A1770" i="22"/>
  <c r="A1771" i="22"/>
  <c r="A1772" i="22"/>
  <c r="A1773" i="22"/>
  <c r="A1774" i="22"/>
  <c r="A1775" i="22"/>
  <c r="A1776" i="22"/>
  <c r="A1777" i="22"/>
  <c r="A1778" i="22"/>
  <c r="A1779" i="22"/>
  <c r="A1780" i="22"/>
  <c r="A1781" i="22"/>
  <c r="A1782" i="22"/>
  <c r="A1783" i="22"/>
  <c r="A1784" i="22"/>
  <c r="A1785" i="22"/>
  <c r="A1786" i="22"/>
  <c r="A1787" i="22"/>
  <c r="A1788" i="22"/>
  <c r="A1789" i="22"/>
  <c r="A1790" i="22"/>
  <c r="A1791" i="22"/>
  <c r="A1792" i="22"/>
  <c r="A1793" i="22"/>
  <c r="A1794" i="22"/>
  <c r="A1795" i="22"/>
  <c r="A1796" i="22"/>
  <c r="A1797" i="22"/>
  <c r="A1798" i="22"/>
  <c r="A1799" i="22"/>
  <c r="A1800" i="22"/>
  <c r="A1801" i="22"/>
  <c r="A1802" i="22"/>
  <c r="A1803" i="22"/>
  <c r="A1804" i="22"/>
  <c r="A1805" i="22"/>
  <c r="A1806" i="22"/>
  <c r="A1807" i="22"/>
  <c r="A1808" i="22"/>
  <c r="A1809" i="22"/>
  <c r="A1810" i="22"/>
  <c r="A1811" i="22"/>
  <c r="A1812" i="22"/>
  <c r="A1813" i="22"/>
  <c r="A1814" i="22"/>
  <c r="A1815" i="22"/>
  <c r="A1816" i="22"/>
  <c r="A1817" i="22"/>
  <c r="A1818" i="22"/>
  <c r="A1819" i="22"/>
  <c r="A1820" i="22"/>
  <c r="A1821" i="22"/>
  <c r="A1822" i="22"/>
  <c r="A1823" i="22"/>
  <c r="A1824" i="22"/>
  <c r="A1825" i="22"/>
  <c r="A1826" i="22"/>
  <c r="A1827" i="22"/>
  <c r="A1828" i="22"/>
  <c r="A1829" i="22"/>
  <c r="A1830" i="22"/>
  <c r="A1831" i="22"/>
  <c r="A1832" i="22"/>
  <c r="A1833" i="22"/>
  <c r="A1834" i="22"/>
  <c r="A1835" i="22"/>
  <c r="A1836" i="22"/>
  <c r="A1837" i="22"/>
  <c r="A1838" i="22"/>
  <c r="A1839" i="22"/>
  <c r="A1840" i="22"/>
  <c r="A1841" i="22"/>
  <c r="A1842" i="22"/>
  <c r="A1843" i="22"/>
  <c r="A1844" i="22"/>
  <c r="A1845" i="22"/>
  <c r="A1846" i="22"/>
  <c r="A1847" i="22"/>
  <c r="A1848" i="22"/>
  <c r="A1849" i="22"/>
  <c r="A1850" i="22"/>
  <c r="A1851" i="22"/>
  <c r="A1852" i="22"/>
  <c r="A1853" i="22"/>
  <c r="A1854" i="22"/>
  <c r="A1855" i="22"/>
  <c r="A1856" i="22"/>
  <c r="A1857" i="22"/>
  <c r="A1858" i="22"/>
  <c r="A1859" i="22"/>
  <c r="A1860" i="22"/>
  <c r="A1861" i="22"/>
  <c r="A1862" i="22"/>
  <c r="A1863" i="22"/>
  <c r="A1864" i="22"/>
  <c r="A1865" i="22"/>
  <c r="A1866" i="22"/>
  <c r="A1867" i="22"/>
  <c r="A1868" i="22"/>
  <c r="A1869" i="22"/>
  <c r="A1870" i="22"/>
  <c r="A1871" i="22"/>
  <c r="A1872" i="22"/>
  <c r="A1873" i="22"/>
  <c r="A1874" i="22"/>
  <c r="A1875" i="22"/>
  <c r="A1876" i="22"/>
  <c r="A1877" i="22"/>
  <c r="A1878" i="22"/>
  <c r="A1879" i="22"/>
  <c r="A1880" i="22"/>
  <c r="A1881" i="22"/>
  <c r="A1882" i="22"/>
  <c r="A1883" i="22"/>
  <c r="A1884" i="22"/>
  <c r="A1885" i="22"/>
  <c r="A1886" i="22"/>
  <c r="A1887" i="22"/>
  <c r="A1888" i="22"/>
  <c r="A1889" i="22"/>
  <c r="A1890" i="22"/>
  <c r="A1891" i="22"/>
  <c r="A1892" i="22"/>
  <c r="A1893" i="22"/>
  <c r="A1894" i="22"/>
  <c r="A1895" i="22"/>
  <c r="A1896" i="22"/>
  <c r="A1897" i="22"/>
  <c r="A1898" i="22"/>
  <c r="A1899" i="22"/>
  <c r="A1900" i="22"/>
  <c r="A1901" i="22"/>
  <c r="A1902" i="22"/>
  <c r="A1903" i="22"/>
  <c r="A1904" i="22"/>
  <c r="A1905" i="22"/>
  <c r="A1906" i="22"/>
  <c r="A1907" i="22"/>
  <c r="A1908" i="22"/>
  <c r="A1909" i="22"/>
  <c r="A1910" i="22"/>
  <c r="A1911" i="22"/>
  <c r="A1912" i="22"/>
  <c r="A1913" i="22"/>
  <c r="A1914" i="22"/>
  <c r="A1915" i="22"/>
  <c r="A1916" i="22"/>
  <c r="A1917" i="22"/>
  <c r="A1918" i="22"/>
  <c r="A1919" i="22"/>
  <c r="A1920" i="22"/>
  <c r="A1921" i="22"/>
  <c r="A1922" i="22"/>
  <c r="A1923" i="22"/>
  <c r="A1924" i="22"/>
  <c r="A1925" i="22"/>
  <c r="A1926" i="22"/>
  <c r="A1927" i="22"/>
  <c r="A1928" i="22"/>
  <c r="A1929" i="22"/>
  <c r="A1930" i="22"/>
  <c r="A1931" i="22"/>
  <c r="A1932" i="22"/>
  <c r="A1933" i="22"/>
  <c r="A1934" i="22"/>
  <c r="A1935" i="22"/>
  <c r="A1936" i="22"/>
  <c r="A1937" i="22"/>
  <c r="A1938" i="22"/>
  <c r="A1939" i="22"/>
  <c r="A1940" i="22"/>
  <c r="A1941" i="22"/>
  <c r="A1942" i="22"/>
  <c r="A1943" i="22"/>
  <c r="A1944" i="22"/>
  <c r="A1945" i="22"/>
  <c r="A1946" i="22"/>
  <c r="A1947" i="22"/>
  <c r="A1948" i="22"/>
  <c r="A1949" i="22"/>
  <c r="A1950" i="22"/>
  <c r="A1951" i="22"/>
  <c r="A1952" i="22"/>
  <c r="A1953" i="22"/>
  <c r="A1954" i="22"/>
  <c r="A1955" i="22"/>
  <c r="A1956" i="22"/>
  <c r="A1957" i="22"/>
  <c r="A1958" i="22"/>
  <c r="A1959" i="22"/>
  <c r="A1960" i="22"/>
  <c r="A1961" i="22"/>
  <c r="A1962" i="22"/>
  <c r="A1963" i="22"/>
  <c r="A1964" i="22"/>
  <c r="A1965" i="22"/>
  <c r="A1966" i="22"/>
  <c r="A1967" i="22"/>
  <c r="A1968" i="22"/>
  <c r="A1969" i="22"/>
  <c r="A1970" i="22"/>
  <c r="A1971" i="22"/>
  <c r="A1972" i="22"/>
  <c r="A1973" i="22"/>
  <c r="A1974" i="22"/>
  <c r="A1975" i="22"/>
  <c r="A1976" i="22"/>
  <c r="A1977" i="22"/>
  <c r="A1978" i="22"/>
  <c r="A1979" i="22"/>
  <c r="A1980" i="22"/>
  <c r="A1981" i="22"/>
  <c r="A1982" i="22"/>
  <c r="A1983" i="22"/>
  <c r="A1984" i="22"/>
  <c r="A1985" i="22"/>
  <c r="A1986" i="22"/>
  <c r="A1987" i="22"/>
  <c r="A1988" i="22"/>
  <c r="A1989" i="22"/>
  <c r="A1990" i="22"/>
  <c r="A1991" i="22"/>
  <c r="A1992" i="22"/>
  <c r="A1993" i="22"/>
  <c r="A1994" i="22"/>
  <c r="A1995" i="22"/>
  <c r="A1996" i="22"/>
  <c r="A1997" i="22"/>
  <c r="A1998" i="22"/>
  <c r="A1999" i="22"/>
  <c r="A2000" i="22"/>
  <c r="A2001" i="22"/>
  <c r="A2002" i="22"/>
  <c r="A2003" i="22"/>
  <c r="A2004" i="22"/>
  <c r="A2005" i="22"/>
  <c r="A2006" i="22"/>
  <c r="A2007" i="22"/>
  <c r="A2008" i="22"/>
  <c r="A2009" i="22"/>
  <c r="A2010" i="22"/>
  <c r="A2011" i="22"/>
  <c r="A2012" i="22"/>
  <c r="A2013" i="22"/>
  <c r="A2014" i="22"/>
  <c r="A2015" i="22"/>
  <c r="A2016" i="22"/>
  <c r="A2017" i="22"/>
  <c r="A2018" i="22"/>
  <c r="A2019" i="22"/>
  <c r="A2020" i="22"/>
  <c r="A2021" i="22"/>
  <c r="A2022" i="22"/>
  <c r="A2023" i="22"/>
  <c r="A2024" i="22"/>
  <c r="A2025" i="22"/>
  <c r="A2026" i="22"/>
  <c r="A2027" i="22"/>
  <c r="A2028" i="22"/>
  <c r="A2029" i="22"/>
  <c r="A2030" i="22"/>
  <c r="A2031" i="22"/>
  <c r="A2032" i="22"/>
  <c r="A2033" i="22"/>
  <c r="A2034" i="22"/>
  <c r="A2035" i="22"/>
  <c r="A2036" i="22"/>
  <c r="A2037" i="22"/>
  <c r="A2038" i="22"/>
  <c r="A2039" i="22"/>
  <c r="A2040" i="22"/>
  <c r="A2041" i="22"/>
  <c r="A2042" i="22"/>
  <c r="A2043" i="22"/>
  <c r="A2044" i="22"/>
  <c r="A2045" i="22"/>
  <c r="A2046" i="22"/>
  <c r="A2047" i="22"/>
  <c r="A2048" i="22"/>
  <c r="A2049" i="22"/>
  <c r="A2050" i="22"/>
  <c r="A2051" i="22"/>
  <c r="A2052" i="22"/>
  <c r="A2053" i="22"/>
  <c r="A2054" i="22"/>
  <c r="A2055" i="22"/>
  <c r="A2056" i="22"/>
  <c r="A2057" i="22"/>
  <c r="A2058" i="22"/>
  <c r="A2059" i="22"/>
  <c r="A2060" i="22"/>
  <c r="A2061" i="22"/>
  <c r="A2062" i="22"/>
  <c r="A2063" i="22"/>
  <c r="A2064" i="22"/>
  <c r="A2065" i="22"/>
  <c r="A2066" i="22"/>
  <c r="A2067" i="22"/>
  <c r="A2068" i="22"/>
  <c r="A2069" i="22"/>
  <c r="A2070" i="22"/>
  <c r="A2071" i="22"/>
  <c r="A2072" i="22"/>
  <c r="A2073" i="22"/>
  <c r="A2074" i="22"/>
  <c r="A2075" i="22"/>
  <c r="A2076" i="22"/>
  <c r="A2077" i="22"/>
  <c r="A2078" i="22"/>
  <c r="A2079" i="22"/>
  <c r="A2080" i="22"/>
  <c r="A2081" i="22"/>
  <c r="A2082" i="22"/>
  <c r="A2083" i="22"/>
  <c r="A2084" i="22"/>
  <c r="A2085" i="22"/>
  <c r="A2086" i="22"/>
  <c r="A2087" i="22"/>
  <c r="A2088" i="22"/>
  <c r="A2089" i="22"/>
  <c r="A2090" i="22"/>
  <c r="A2091" i="22"/>
  <c r="A2092" i="22"/>
  <c r="A2093" i="22"/>
  <c r="A2094" i="22"/>
  <c r="A2095" i="22"/>
  <c r="A2096" i="22"/>
  <c r="A2097" i="22"/>
  <c r="A2098" i="22"/>
  <c r="A2099" i="22"/>
  <c r="A2100" i="22"/>
  <c r="A2101" i="22"/>
  <c r="A2102" i="22"/>
  <c r="A2103" i="22"/>
  <c r="A2104" i="22"/>
  <c r="A2105" i="22"/>
  <c r="A2106" i="22"/>
  <c r="A2107" i="22"/>
  <c r="A2108" i="22"/>
  <c r="A2109" i="22"/>
  <c r="A2110" i="22"/>
  <c r="A2111" i="22"/>
  <c r="A2112" i="22"/>
  <c r="A2113" i="22"/>
  <c r="A2114" i="22"/>
  <c r="A2115" i="22"/>
  <c r="A2116" i="22"/>
  <c r="A2117" i="22"/>
  <c r="A2118" i="22"/>
  <c r="A2119" i="22"/>
  <c r="A2120" i="22"/>
  <c r="A2121" i="22"/>
  <c r="A2122" i="22"/>
  <c r="A2123" i="22"/>
  <c r="A2124" i="22"/>
  <c r="A2125" i="22"/>
  <c r="A2126" i="22"/>
  <c r="A2127" i="22"/>
  <c r="A2128" i="22"/>
  <c r="A2129" i="22"/>
  <c r="A2130" i="22"/>
  <c r="A2131" i="22"/>
  <c r="A2132" i="22"/>
  <c r="A2133" i="22"/>
  <c r="A2134" i="22"/>
  <c r="A2135" i="22"/>
  <c r="A2136" i="22"/>
  <c r="A2137" i="22"/>
  <c r="A2138" i="22"/>
  <c r="A2139" i="22"/>
  <c r="A2140" i="22"/>
  <c r="A2141" i="22"/>
  <c r="A2142" i="22"/>
  <c r="A2143" i="22"/>
  <c r="A2144" i="22"/>
  <c r="A2145" i="22"/>
  <c r="A2146" i="22"/>
  <c r="A2147" i="22"/>
  <c r="A2148" i="22"/>
  <c r="A2149" i="22"/>
  <c r="A2150" i="22"/>
  <c r="A2151" i="22"/>
  <c r="A2152" i="22"/>
  <c r="A2153" i="22"/>
  <c r="A2154" i="22"/>
  <c r="A2155" i="22"/>
  <c r="A2156" i="22"/>
  <c r="A2157" i="22"/>
  <c r="A2158" i="22"/>
  <c r="A2159" i="22"/>
  <c r="A2160" i="22"/>
  <c r="A2161" i="22"/>
  <c r="A2162" i="22"/>
  <c r="A2163" i="22"/>
  <c r="A2164" i="22"/>
  <c r="A2165" i="22"/>
  <c r="A2166" i="22"/>
  <c r="A2167" i="22"/>
  <c r="A2168" i="22"/>
  <c r="A2169" i="22"/>
  <c r="A2170" i="22"/>
  <c r="A2171" i="22"/>
  <c r="A2172" i="22"/>
  <c r="A2173" i="22"/>
  <c r="A2174" i="22"/>
  <c r="A2175" i="22"/>
  <c r="A2176" i="22"/>
  <c r="A2177" i="22"/>
  <c r="A2178" i="22"/>
  <c r="A2179" i="22"/>
  <c r="A2180" i="22"/>
  <c r="A2181" i="22"/>
  <c r="A2182" i="22"/>
  <c r="A2183" i="22"/>
  <c r="A2184" i="22"/>
  <c r="A2185" i="22"/>
  <c r="A2186" i="22"/>
  <c r="A2187" i="22"/>
  <c r="A2188" i="22"/>
  <c r="A2189" i="22"/>
  <c r="A2190" i="22"/>
  <c r="A2191" i="22"/>
  <c r="A2192" i="22"/>
  <c r="A2193" i="22"/>
  <c r="A2194" i="22"/>
  <c r="A2195" i="22"/>
  <c r="A2196" i="22"/>
  <c r="A2197" i="22"/>
  <c r="A2198" i="22"/>
  <c r="A2199" i="22"/>
  <c r="A2200" i="22"/>
  <c r="A2201" i="22"/>
  <c r="A2202" i="22"/>
  <c r="A2203" i="22"/>
  <c r="A2204" i="22"/>
  <c r="A2205" i="22"/>
  <c r="A2206" i="22"/>
  <c r="A2207" i="22"/>
  <c r="A2208" i="22"/>
  <c r="A2209" i="22"/>
  <c r="A2210" i="22"/>
  <c r="A2211" i="22"/>
  <c r="A2212" i="22"/>
  <c r="A2213" i="22"/>
  <c r="A2214" i="22"/>
  <c r="A2215" i="22"/>
  <c r="A2216" i="22"/>
  <c r="A2217" i="22"/>
  <c r="A2218" i="22"/>
  <c r="A2219" i="22"/>
  <c r="A2220" i="22"/>
  <c r="A2221" i="22"/>
  <c r="A2222" i="22"/>
  <c r="A2223" i="22"/>
  <c r="A2224" i="22"/>
  <c r="A2225" i="22"/>
  <c r="A2226" i="22"/>
  <c r="A2227" i="22"/>
  <c r="A2228" i="22"/>
  <c r="A2229" i="22"/>
  <c r="A2230" i="22"/>
  <c r="A2231" i="22"/>
  <c r="A2232" i="22"/>
  <c r="A2233" i="22"/>
  <c r="A2234" i="22"/>
  <c r="A2235" i="22"/>
  <c r="A2236" i="22"/>
  <c r="A2237" i="22"/>
  <c r="A2238" i="22"/>
  <c r="A2239" i="22"/>
  <c r="A2240" i="22"/>
  <c r="A2241" i="22"/>
  <c r="A2242" i="22"/>
  <c r="A2243" i="22"/>
  <c r="A2244" i="22"/>
  <c r="A2245" i="22"/>
  <c r="A2246" i="22"/>
  <c r="A2247" i="22"/>
  <c r="A2248" i="22"/>
  <c r="A2249" i="22"/>
  <c r="A2250" i="22"/>
  <c r="A2251" i="22"/>
  <c r="A2252" i="22"/>
  <c r="A2253" i="22"/>
  <c r="A2254" i="22"/>
  <c r="A2255" i="22"/>
  <c r="A2256" i="22"/>
  <c r="A2257" i="22"/>
  <c r="A2258" i="22"/>
  <c r="A2259" i="22"/>
  <c r="A2260" i="22"/>
  <c r="A2261" i="22"/>
  <c r="A2262" i="22"/>
  <c r="A2263" i="22"/>
  <c r="A2264" i="22"/>
  <c r="A2265" i="22"/>
  <c r="A2266" i="22"/>
  <c r="A2267" i="22"/>
  <c r="A2268" i="22"/>
  <c r="A2269" i="22"/>
  <c r="A2270" i="22"/>
  <c r="A2271" i="22"/>
  <c r="A2272" i="22"/>
  <c r="A2273" i="22"/>
  <c r="A2274" i="22"/>
  <c r="A2275" i="22"/>
  <c r="A2276" i="22"/>
  <c r="A2277" i="22"/>
  <c r="A2278" i="22"/>
  <c r="A2279" i="22"/>
  <c r="A2280" i="22"/>
  <c r="A2281" i="22"/>
  <c r="A2282" i="22"/>
  <c r="A2283" i="22"/>
  <c r="A2284" i="22"/>
  <c r="A2285" i="22"/>
  <c r="A2286" i="22"/>
  <c r="A2287" i="22"/>
  <c r="A2288" i="22"/>
  <c r="A2289" i="22"/>
  <c r="A2290" i="22"/>
  <c r="A2291" i="22"/>
  <c r="A2292" i="22"/>
  <c r="A2293" i="22"/>
  <c r="A2294" i="22"/>
  <c r="A2295" i="22"/>
  <c r="A2296" i="22"/>
  <c r="A2297" i="22"/>
  <c r="A2298" i="22"/>
  <c r="A2299" i="22"/>
  <c r="A2300" i="22"/>
  <c r="A2301" i="22"/>
  <c r="A2302" i="22"/>
  <c r="A2303" i="22"/>
  <c r="A2304" i="22"/>
  <c r="A2305" i="22"/>
  <c r="A2306" i="22"/>
  <c r="A2307" i="22"/>
  <c r="A2308" i="22"/>
  <c r="A2309" i="22"/>
  <c r="A2310" i="22"/>
  <c r="A2311" i="22"/>
  <c r="A2312" i="22"/>
  <c r="A2313" i="22"/>
  <c r="A2314" i="22"/>
  <c r="A2315" i="22"/>
  <c r="A2316" i="22"/>
  <c r="A2317" i="22"/>
  <c r="A2318" i="22"/>
  <c r="A2319" i="22"/>
  <c r="A2320" i="22"/>
  <c r="A2321" i="22"/>
  <c r="A2322" i="22"/>
  <c r="A2323" i="22"/>
  <c r="A2324" i="22"/>
  <c r="A2325" i="22"/>
  <c r="A2326" i="22"/>
  <c r="A2327" i="22"/>
  <c r="A2328" i="22"/>
  <c r="A2329" i="22"/>
  <c r="A2330" i="22"/>
  <c r="A2331" i="22"/>
  <c r="E39" i="12" l="1"/>
  <c r="D10" i="22"/>
  <c r="E10" i="22" s="1"/>
  <c r="D11" i="22"/>
  <c r="E11" i="22" s="1"/>
  <c r="D12" i="22"/>
  <c r="E12" i="22" s="1"/>
  <c r="D13" i="22"/>
  <c r="E13" i="22" s="1"/>
  <c r="D14" i="22"/>
  <c r="E14" i="22" s="1"/>
  <c r="D15" i="22"/>
  <c r="E15" i="22" s="1"/>
  <c r="D16" i="22"/>
  <c r="E16" i="22" s="1"/>
  <c r="D17" i="22"/>
  <c r="E17" i="22" s="1"/>
  <c r="D18" i="22"/>
  <c r="E18" i="22" s="1"/>
  <c r="D19" i="22"/>
  <c r="E19" i="22" s="1"/>
  <c r="D20" i="22"/>
  <c r="E20" i="22" s="1"/>
  <c r="D21" i="22"/>
  <c r="E21" i="22" s="1"/>
  <c r="D22" i="22"/>
  <c r="E22" i="22" s="1"/>
  <c r="D23" i="22"/>
  <c r="E23" i="22" s="1"/>
  <c r="D24" i="22"/>
  <c r="E24" i="22" s="1"/>
  <c r="D25" i="22"/>
  <c r="E25" i="22" s="1"/>
  <c r="D26" i="22"/>
  <c r="E26" i="22" s="1"/>
  <c r="D27" i="22"/>
  <c r="E27" i="22" s="1"/>
  <c r="D28" i="22"/>
  <c r="E28" i="22" s="1"/>
  <c r="D29" i="22"/>
  <c r="E29" i="22" s="1"/>
  <c r="D30" i="22"/>
  <c r="E30" i="22" s="1"/>
  <c r="D31" i="22"/>
  <c r="E31" i="22" s="1"/>
  <c r="D32" i="22"/>
  <c r="E32" i="22" s="1"/>
  <c r="D33" i="22"/>
  <c r="E33" i="22" s="1"/>
  <c r="D34" i="22"/>
  <c r="E34" i="22" s="1"/>
  <c r="D35" i="22"/>
  <c r="E35" i="22" s="1"/>
  <c r="D36" i="22"/>
  <c r="E36" i="22" s="1"/>
  <c r="D37" i="22"/>
  <c r="E37" i="22" s="1"/>
  <c r="D38" i="22"/>
  <c r="E38" i="22" s="1"/>
  <c r="D39" i="22"/>
  <c r="E39" i="22" s="1"/>
  <c r="D40" i="22"/>
  <c r="E40" i="22" s="1"/>
  <c r="D41" i="22"/>
  <c r="E41" i="22" s="1"/>
  <c r="D42" i="22"/>
  <c r="E42" i="22" s="1"/>
  <c r="D43" i="22"/>
  <c r="E43" i="22" s="1"/>
  <c r="D44" i="22"/>
  <c r="E44" i="22" s="1"/>
  <c r="D45" i="22"/>
  <c r="E45" i="22" s="1"/>
  <c r="D46" i="22"/>
  <c r="E46" i="22" s="1"/>
  <c r="D47" i="22"/>
  <c r="E47" i="22" s="1"/>
  <c r="D48" i="22"/>
  <c r="E48" i="22" s="1"/>
  <c r="D49" i="22"/>
  <c r="E49" i="22" s="1"/>
  <c r="D50" i="22"/>
  <c r="E50" i="22" s="1"/>
  <c r="D51" i="22"/>
  <c r="E51" i="22" s="1"/>
  <c r="D52" i="22"/>
  <c r="E52" i="22" s="1"/>
  <c r="D53" i="22"/>
  <c r="E53" i="22" s="1"/>
  <c r="D54" i="22"/>
  <c r="E54" i="22" s="1"/>
  <c r="D55" i="22"/>
  <c r="E55" i="22" s="1"/>
  <c r="D56" i="22"/>
  <c r="E56" i="22" s="1"/>
  <c r="D57" i="22"/>
  <c r="E57" i="22" s="1"/>
  <c r="D58" i="22"/>
  <c r="E58" i="22" s="1"/>
  <c r="D59" i="22"/>
  <c r="E59" i="22" s="1"/>
  <c r="D60" i="22"/>
  <c r="E60" i="22" s="1"/>
  <c r="D61" i="22"/>
  <c r="E61" i="22" s="1"/>
  <c r="D62" i="22"/>
  <c r="E62" i="22" s="1"/>
  <c r="D63" i="22"/>
  <c r="E63" i="22" s="1"/>
  <c r="D64" i="22"/>
  <c r="E64" i="22" s="1"/>
  <c r="D65" i="22"/>
  <c r="E65" i="22" s="1"/>
  <c r="D66" i="22"/>
  <c r="E66" i="22" s="1"/>
  <c r="D67" i="22"/>
  <c r="E67" i="22" s="1"/>
  <c r="D68" i="22"/>
  <c r="E68" i="22" s="1"/>
  <c r="D69" i="22"/>
  <c r="E69" i="22" s="1"/>
  <c r="D70" i="22"/>
  <c r="E70" i="22" s="1"/>
  <c r="D71" i="22"/>
  <c r="E71" i="22" s="1"/>
  <c r="D72" i="22"/>
  <c r="E72" i="22" s="1"/>
  <c r="D73" i="22"/>
  <c r="E73" i="22" s="1"/>
  <c r="D74" i="22"/>
  <c r="E74" i="22" s="1"/>
  <c r="D75" i="22"/>
  <c r="E75" i="22" s="1"/>
  <c r="D76" i="22"/>
  <c r="E76" i="22" s="1"/>
  <c r="D77" i="22"/>
  <c r="E77" i="22" s="1"/>
  <c r="D78" i="22"/>
  <c r="E78" i="22" s="1"/>
  <c r="D79" i="22"/>
  <c r="E79" i="22" s="1"/>
  <c r="D80" i="22"/>
  <c r="E80" i="22" s="1"/>
  <c r="D81" i="22"/>
  <c r="E81" i="22" s="1"/>
  <c r="D82" i="22"/>
  <c r="E82" i="22" s="1"/>
  <c r="D83" i="22"/>
  <c r="E83" i="22" s="1"/>
  <c r="D84" i="22"/>
  <c r="E84" i="22" s="1"/>
  <c r="D85" i="22"/>
  <c r="E85" i="22" s="1"/>
  <c r="D86" i="22"/>
  <c r="E86" i="22" s="1"/>
  <c r="D87" i="22"/>
  <c r="E87" i="22" s="1"/>
  <c r="D88" i="22"/>
  <c r="E88" i="22" s="1"/>
  <c r="D89" i="22"/>
  <c r="E89" i="22" s="1"/>
  <c r="D90" i="22"/>
  <c r="E90" i="22" s="1"/>
  <c r="D91" i="22"/>
  <c r="E91" i="22" s="1"/>
  <c r="D92" i="22"/>
  <c r="E92" i="22" s="1"/>
  <c r="D93" i="22"/>
  <c r="E93" i="22" s="1"/>
  <c r="D94" i="22"/>
  <c r="E94" i="22" s="1"/>
  <c r="D95" i="22"/>
  <c r="E95" i="22" s="1"/>
  <c r="D96" i="22"/>
  <c r="E96" i="22" s="1"/>
  <c r="D97" i="22"/>
  <c r="E97" i="22" s="1"/>
  <c r="D98" i="22"/>
  <c r="E98" i="22" s="1"/>
  <c r="D99" i="22"/>
  <c r="E99" i="22" s="1"/>
  <c r="D100" i="22"/>
  <c r="E100" i="22" s="1"/>
  <c r="D101" i="22"/>
  <c r="E101" i="22" s="1"/>
  <c r="D102" i="22"/>
  <c r="E102" i="22" s="1"/>
  <c r="D103" i="22"/>
  <c r="E103" i="22" s="1"/>
  <c r="D104" i="22"/>
  <c r="E104" i="22" s="1"/>
  <c r="D105" i="22"/>
  <c r="E105" i="22" s="1"/>
  <c r="D106" i="22"/>
  <c r="E106" i="22" s="1"/>
  <c r="D107" i="22"/>
  <c r="E107" i="22" s="1"/>
  <c r="D108" i="22"/>
  <c r="E108" i="22" s="1"/>
  <c r="D109" i="22"/>
  <c r="E109" i="22" s="1"/>
  <c r="D110" i="22"/>
  <c r="E110" i="22" s="1"/>
  <c r="D111" i="22"/>
  <c r="E111" i="22" s="1"/>
  <c r="D112" i="22"/>
  <c r="E112" i="22" s="1"/>
  <c r="D113" i="22"/>
  <c r="E113" i="22" s="1"/>
  <c r="D114" i="22"/>
  <c r="E114" i="22" s="1"/>
  <c r="D115" i="22"/>
  <c r="E115" i="22" s="1"/>
  <c r="D116" i="22"/>
  <c r="E116" i="22" s="1"/>
  <c r="D117" i="22"/>
  <c r="E117" i="22" s="1"/>
  <c r="D118" i="22"/>
  <c r="E118" i="22" s="1"/>
  <c r="D119" i="22"/>
  <c r="E119" i="22" s="1"/>
  <c r="D120" i="22"/>
  <c r="E120" i="22" s="1"/>
  <c r="D121" i="22"/>
  <c r="E121" i="22" s="1"/>
  <c r="D122" i="22"/>
  <c r="E122" i="22" s="1"/>
  <c r="D123" i="22"/>
  <c r="E123" i="22" s="1"/>
  <c r="D124" i="22"/>
  <c r="E124" i="22" s="1"/>
  <c r="D125" i="22"/>
  <c r="E125" i="22" s="1"/>
  <c r="D126" i="22"/>
  <c r="E126" i="22" s="1"/>
  <c r="D127" i="22"/>
  <c r="E127" i="22" s="1"/>
  <c r="D128" i="22"/>
  <c r="E128" i="22" s="1"/>
  <c r="D129" i="22"/>
  <c r="E129" i="22" s="1"/>
  <c r="D130" i="22"/>
  <c r="E130" i="22" s="1"/>
  <c r="D131" i="22"/>
  <c r="E131" i="22" s="1"/>
  <c r="D132" i="22"/>
  <c r="E132" i="22" s="1"/>
  <c r="D133" i="22"/>
  <c r="E133" i="22" s="1"/>
  <c r="D134" i="22"/>
  <c r="E134" i="22" s="1"/>
  <c r="D135" i="22"/>
  <c r="E135" i="22" s="1"/>
  <c r="D136" i="22"/>
  <c r="E136" i="22" s="1"/>
  <c r="D137" i="22"/>
  <c r="E137" i="22" s="1"/>
  <c r="D138" i="22"/>
  <c r="E138" i="22" s="1"/>
  <c r="D139" i="22"/>
  <c r="E139" i="22" s="1"/>
  <c r="D140" i="22"/>
  <c r="E140" i="22" s="1"/>
  <c r="D141" i="22"/>
  <c r="E141" i="22" s="1"/>
  <c r="D142" i="22"/>
  <c r="E142" i="22" s="1"/>
  <c r="D143" i="22"/>
  <c r="E143" i="22" s="1"/>
  <c r="D144" i="22"/>
  <c r="E144" i="22" s="1"/>
  <c r="D145" i="22"/>
  <c r="E145" i="22" s="1"/>
  <c r="D146" i="22"/>
  <c r="E146" i="22" s="1"/>
  <c r="D147" i="22"/>
  <c r="E147" i="22" s="1"/>
  <c r="D148" i="22"/>
  <c r="E148" i="22" s="1"/>
  <c r="D149" i="22"/>
  <c r="E149" i="22" s="1"/>
  <c r="D150" i="22"/>
  <c r="E150" i="22" s="1"/>
  <c r="D151" i="22"/>
  <c r="E151" i="22" s="1"/>
  <c r="D152" i="22"/>
  <c r="E152" i="22" s="1"/>
  <c r="D153" i="22"/>
  <c r="E153" i="22" s="1"/>
  <c r="D154" i="22"/>
  <c r="E154" i="22" s="1"/>
  <c r="D155" i="22"/>
  <c r="E155" i="22" s="1"/>
  <c r="D156" i="22"/>
  <c r="E156" i="22" s="1"/>
  <c r="D157" i="22"/>
  <c r="E157" i="22" s="1"/>
  <c r="D158" i="22"/>
  <c r="E158" i="22" s="1"/>
  <c r="D159" i="22"/>
  <c r="E159" i="22" s="1"/>
  <c r="D160" i="22"/>
  <c r="E160" i="22" s="1"/>
  <c r="D161" i="22"/>
  <c r="E161" i="22" s="1"/>
  <c r="D162" i="22"/>
  <c r="E162" i="22" s="1"/>
  <c r="D163" i="22"/>
  <c r="E163" i="22" s="1"/>
  <c r="D164" i="22"/>
  <c r="E164" i="22" s="1"/>
  <c r="D165" i="22"/>
  <c r="E165" i="22" s="1"/>
  <c r="D166" i="22"/>
  <c r="E166" i="22" s="1"/>
  <c r="D167" i="22"/>
  <c r="E167" i="22" s="1"/>
  <c r="D168" i="22"/>
  <c r="E168" i="22" s="1"/>
  <c r="D169" i="22"/>
  <c r="E169" i="22" s="1"/>
  <c r="D170" i="22"/>
  <c r="E170" i="22" s="1"/>
  <c r="D171" i="22"/>
  <c r="E171" i="22" s="1"/>
  <c r="D172" i="22"/>
  <c r="E172" i="22" s="1"/>
  <c r="D173" i="22"/>
  <c r="E173" i="22" s="1"/>
  <c r="D174" i="22"/>
  <c r="E174" i="22" s="1"/>
  <c r="D175" i="22"/>
  <c r="E175" i="22" s="1"/>
  <c r="D176" i="22"/>
  <c r="E176" i="22" s="1"/>
  <c r="D177" i="22"/>
  <c r="E177" i="22" s="1"/>
  <c r="D178" i="22"/>
  <c r="E178" i="22" s="1"/>
  <c r="D179" i="22"/>
  <c r="E179" i="22" s="1"/>
  <c r="D180" i="22"/>
  <c r="E180" i="22" s="1"/>
  <c r="D181" i="22"/>
  <c r="E181" i="22" s="1"/>
  <c r="D182" i="22"/>
  <c r="E182" i="22" s="1"/>
  <c r="D183" i="22"/>
  <c r="E183" i="22" s="1"/>
  <c r="D184" i="22"/>
  <c r="E184" i="22" s="1"/>
  <c r="D185" i="22"/>
  <c r="E185" i="22" s="1"/>
  <c r="D186" i="22"/>
  <c r="E186" i="22" s="1"/>
  <c r="D187" i="22"/>
  <c r="E187" i="22" s="1"/>
  <c r="D188" i="22"/>
  <c r="E188" i="22" s="1"/>
  <c r="D189" i="22"/>
  <c r="E189" i="22" s="1"/>
  <c r="D190" i="22"/>
  <c r="E190" i="22" s="1"/>
  <c r="D191" i="22"/>
  <c r="E191" i="22" s="1"/>
  <c r="D192" i="22"/>
  <c r="E192" i="22" s="1"/>
  <c r="D193" i="22"/>
  <c r="E193" i="22" s="1"/>
  <c r="D194" i="22"/>
  <c r="E194" i="22" s="1"/>
  <c r="D195" i="22"/>
  <c r="E195" i="22" s="1"/>
  <c r="D196" i="22"/>
  <c r="E196" i="22" s="1"/>
  <c r="D197" i="22"/>
  <c r="E197" i="22" s="1"/>
  <c r="D198" i="22"/>
  <c r="E198" i="22" s="1"/>
  <c r="D199" i="22"/>
  <c r="E199" i="22" s="1"/>
  <c r="D200" i="22"/>
  <c r="E200" i="22" s="1"/>
  <c r="D201" i="22"/>
  <c r="E201" i="22" s="1"/>
  <c r="D202" i="22"/>
  <c r="E202" i="22" s="1"/>
  <c r="D203" i="22"/>
  <c r="E203" i="22" s="1"/>
  <c r="D204" i="22"/>
  <c r="E204" i="22" s="1"/>
  <c r="D205" i="22"/>
  <c r="E205" i="22" s="1"/>
  <c r="D206" i="22"/>
  <c r="E206" i="22" s="1"/>
  <c r="D207" i="22"/>
  <c r="E207" i="22" s="1"/>
  <c r="D208" i="22"/>
  <c r="E208" i="22" s="1"/>
  <c r="D209" i="22"/>
  <c r="E209" i="22" s="1"/>
  <c r="D210" i="22"/>
  <c r="E210" i="22" s="1"/>
  <c r="D211" i="22"/>
  <c r="E211" i="22" s="1"/>
  <c r="D212" i="22"/>
  <c r="E212" i="22" s="1"/>
  <c r="D213" i="22"/>
  <c r="E213" i="22" s="1"/>
  <c r="D214" i="22"/>
  <c r="E214" i="22" s="1"/>
  <c r="D215" i="22"/>
  <c r="E215" i="22" s="1"/>
  <c r="D216" i="22"/>
  <c r="E216" i="22" s="1"/>
  <c r="D217" i="22"/>
  <c r="E217" i="22" s="1"/>
  <c r="D218" i="22"/>
  <c r="E218" i="22" s="1"/>
  <c r="D219" i="22"/>
  <c r="E219" i="22" s="1"/>
  <c r="D220" i="22"/>
  <c r="E220" i="22" s="1"/>
  <c r="D221" i="22"/>
  <c r="E221" i="22" s="1"/>
  <c r="D222" i="22"/>
  <c r="E222" i="22" s="1"/>
  <c r="D223" i="22"/>
  <c r="E223" i="22" s="1"/>
  <c r="D224" i="22"/>
  <c r="E224" i="22" s="1"/>
  <c r="D225" i="22"/>
  <c r="E225" i="22" s="1"/>
  <c r="D226" i="22"/>
  <c r="E226" i="22" s="1"/>
  <c r="D227" i="22"/>
  <c r="E227" i="22" s="1"/>
  <c r="D228" i="22"/>
  <c r="E228" i="22" s="1"/>
  <c r="D229" i="22"/>
  <c r="E229" i="22" s="1"/>
  <c r="D230" i="22"/>
  <c r="E230" i="22" s="1"/>
  <c r="D231" i="22"/>
  <c r="E231" i="22" s="1"/>
  <c r="D232" i="22"/>
  <c r="E232" i="22" s="1"/>
  <c r="D233" i="22"/>
  <c r="E233" i="22" s="1"/>
  <c r="D234" i="22"/>
  <c r="E234" i="22" s="1"/>
  <c r="D235" i="22"/>
  <c r="E235" i="22" s="1"/>
  <c r="D236" i="22"/>
  <c r="E236" i="22" s="1"/>
  <c r="D237" i="22"/>
  <c r="E237" i="22" s="1"/>
  <c r="D238" i="22"/>
  <c r="E238" i="22" s="1"/>
  <c r="D239" i="22"/>
  <c r="E239" i="22" s="1"/>
  <c r="D240" i="22"/>
  <c r="E240" i="22" s="1"/>
  <c r="D241" i="22"/>
  <c r="E241" i="22" s="1"/>
  <c r="D242" i="22"/>
  <c r="E242" i="22" s="1"/>
  <c r="D243" i="22"/>
  <c r="E243" i="22" s="1"/>
  <c r="D244" i="22"/>
  <c r="E244" i="22" s="1"/>
  <c r="D245" i="22"/>
  <c r="E245" i="22" s="1"/>
  <c r="D246" i="22"/>
  <c r="E246" i="22" s="1"/>
  <c r="D247" i="22"/>
  <c r="E247" i="22" s="1"/>
  <c r="D248" i="22"/>
  <c r="E248" i="22" s="1"/>
  <c r="D249" i="22"/>
  <c r="E249" i="22" s="1"/>
  <c r="D250" i="22"/>
  <c r="E250" i="22" s="1"/>
  <c r="D251" i="22"/>
  <c r="E251" i="22" s="1"/>
  <c r="D252" i="22"/>
  <c r="E252" i="22" s="1"/>
  <c r="D253" i="22"/>
  <c r="E253" i="22" s="1"/>
  <c r="D254" i="22"/>
  <c r="E254" i="22" s="1"/>
  <c r="D255" i="22"/>
  <c r="E255" i="22" s="1"/>
  <c r="D256" i="22"/>
  <c r="E256" i="22" s="1"/>
  <c r="D257" i="22"/>
  <c r="E257" i="22" s="1"/>
  <c r="D258" i="22"/>
  <c r="E258" i="22" s="1"/>
  <c r="D259" i="22"/>
  <c r="E259" i="22" s="1"/>
  <c r="D260" i="22"/>
  <c r="E260" i="22" s="1"/>
  <c r="D261" i="22"/>
  <c r="E261" i="22" s="1"/>
  <c r="D262" i="22"/>
  <c r="E262" i="22" s="1"/>
  <c r="D263" i="22"/>
  <c r="E263" i="22" s="1"/>
  <c r="D264" i="22"/>
  <c r="E264" i="22" s="1"/>
  <c r="D265" i="22"/>
  <c r="E265" i="22" s="1"/>
  <c r="D266" i="22"/>
  <c r="E266" i="22" s="1"/>
  <c r="D267" i="22"/>
  <c r="E267" i="22" s="1"/>
  <c r="D268" i="22"/>
  <c r="E268" i="22" s="1"/>
  <c r="D269" i="22"/>
  <c r="E269" i="22" s="1"/>
  <c r="D270" i="22"/>
  <c r="E270" i="22" s="1"/>
  <c r="D271" i="22"/>
  <c r="E271" i="22" s="1"/>
  <c r="D272" i="22"/>
  <c r="E272" i="22" s="1"/>
  <c r="D273" i="22"/>
  <c r="E273" i="22" s="1"/>
  <c r="D274" i="22"/>
  <c r="E274" i="22" s="1"/>
  <c r="D275" i="22"/>
  <c r="E275" i="22" s="1"/>
  <c r="D276" i="22"/>
  <c r="E276" i="22" s="1"/>
  <c r="D277" i="22"/>
  <c r="E277" i="22" s="1"/>
  <c r="D278" i="22"/>
  <c r="E278" i="22" s="1"/>
  <c r="D279" i="22"/>
  <c r="E279" i="22" s="1"/>
  <c r="D280" i="22"/>
  <c r="E280" i="22" s="1"/>
  <c r="D281" i="22"/>
  <c r="E281" i="22" s="1"/>
  <c r="D282" i="22"/>
  <c r="E282" i="22" s="1"/>
  <c r="D283" i="22"/>
  <c r="E283" i="22" s="1"/>
  <c r="D284" i="22"/>
  <c r="E284" i="22" s="1"/>
  <c r="D285" i="22"/>
  <c r="E285" i="22" s="1"/>
  <c r="D286" i="22"/>
  <c r="E286" i="22" s="1"/>
  <c r="D287" i="22"/>
  <c r="E287" i="22" s="1"/>
  <c r="D288" i="22"/>
  <c r="E288" i="22" s="1"/>
  <c r="D289" i="22"/>
  <c r="E289" i="22" s="1"/>
  <c r="D290" i="22"/>
  <c r="E290" i="22" s="1"/>
  <c r="D291" i="22"/>
  <c r="E291" i="22" s="1"/>
  <c r="D292" i="22"/>
  <c r="E292" i="22" s="1"/>
  <c r="D293" i="22"/>
  <c r="E293" i="22" s="1"/>
  <c r="D294" i="22"/>
  <c r="E294" i="22" s="1"/>
  <c r="D295" i="22"/>
  <c r="E295" i="22" s="1"/>
  <c r="D296" i="22"/>
  <c r="E296" i="22" s="1"/>
  <c r="D297" i="22"/>
  <c r="E297" i="22" s="1"/>
  <c r="D298" i="22"/>
  <c r="E298" i="22" s="1"/>
  <c r="D299" i="22"/>
  <c r="E299" i="22" s="1"/>
  <c r="D300" i="22"/>
  <c r="E300" i="22" s="1"/>
  <c r="D301" i="22"/>
  <c r="E301" i="22" s="1"/>
  <c r="D302" i="22"/>
  <c r="E302" i="22" s="1"/>
  <c r="D303" i="22"/>
  <c r="E303" i="22" s="1"/>
  <c r="D304" i="22"/>
  <c r="E304" i="22" s="1"/>
  <c r="D305" i="22"/>
  <c r="E305" i="22" s="1"/>
  <c r="D306" i="22"/>
  <c r="E306" i="22" s="1"/>
  <c r="D307" i="22"/>
  <c r="E307" i="22" s="1"/>
  <c r="D308" i="22"/>
  <c r="E308" i="22" s="1"/>
  <c r="D309" i="22"/>
  <c r="E309" i="22" s="1"/>
  <c r="D310" i="22"/>
  <c r="E310" i="22" s="1"/>
  <c r="D311" i="22"/>
  <c r="E311" i="22" s="1"/>
  <c r="D312" i="22"/>
  <c r="E312" i="22" s="1"/>
  <c r="D313" i="22"/>
  <c r="E313" i="22" s="1"/>
  <c r="D314" i="22"/>
  <c r="E314" i="22" s="1"/>
  <c r="D315" i="22"/>
  <c r="E315" i="22" s="1"/>
  <c r="D316" i="22"/>
  <c r="E316" i="22" s="1"/>
  <c r="D317" i="22"/>
  <c r="E317" i="22" s="1"/>
  <c r="D318" i="22"/>
  <c r="E318" i="22" s="1"/>
  <c r="D319" i="22"/>
  <c r="E319" i="22" s="1"/>
  <c r="D320" i="22"/>
  <c r="E320" i="22" s="1"/>
  <c r="D321" i="22"/>
  <c r="E321" i="22" s="1"/>
  <c r="D322" i="22"/>
  <c r="E322" i="22" s="1"/>
  <c r="D323" i="22"/>
  <c r="E323" i="22" s="1"/>
  <c r="D324" i="22"/>
  <c r="E324" i="22" s="1"/>
  <c r="D325" i="22"/>
  <c r="E325" i="22" s="1"/>
  <c r="D326" i="22"/>
  <c r="E326" i="22" s="1"/>
  <c r="D327" i="22"/>
  <c r="E327" i="22" s="1"/>
  <c r="D328" i="22"/>
  <c r="E328" i="22" s="1"/>
  <c r="D329" i="22"/>
  <c r="E329" i="22" s="1"/>
  <c r="D330" i="22"/>
  <c r="E330" i="22" s="1"/>
  <c r="D331" i="22"/>
  <c r="E331" i="22" s="1"/>
  <c r="D332" i="22"/>
  <c r="E332" i="22" s="1"/>
  <c r="D333" i="22"/>
  <c r="E333" i="22" s="1"/>
  <c r="D334" i="22"/>
  <c r="E334" i="22" s="1"/>
  <c r="D335" i="22"/>
  <c r="E335" i="22" s="1"/>
  <c r="D336" i="22"/>
  <c r="E336" i="22" s="1"/>
  <c r="D337" i="22"/>
  <c r="E337" i="22" s="1"/>
  <c r="D338" i="22"/>
  <c r="E338" i="22" s="1"/>
  <c r="D339" i="22"/>
  <c r="E339" i="22" s="1"/>
  <c r="D340" i="22"/>
  <c r="E340" i="22" s="1"/>
  <c r="D341" i="22"/>
  <c r="E341" i="22" s="1"/>
  <c r="D342" i="22"/>
  <c r="E342" i="22" s="1"/>
  <c r="D343" i="22"/>
  <c r="E343" i="22" s="1"/>
  <c r="D344" i="22"/>
  <c r="E344" i="22" s="1"/>
  <c r="D345" i="22"/>
  <c r="E345" i="22" s="1"/>
  <c r="D346" i="22"/>
  <c r="E346" i="22" s="1"/>
  <c r="D347" i="22"/>
  <c r="E347" i="22" s="1"/>
  <c r="D348" i="22"/>
  <c r="E348" i="22" s="1"/>
  <c r="D349" i="22"/>
  <c r="E349" i="22" s="1"/>
  <c r="D350" i="22"/>
  <c r="E350" i="22" s="1"/>
  <c r="D351" i="22"/>
  <c r="E351" i="22" s="1"/>
  <c r="D352" i="22"/>
  <c r="E352" i="22" s="1"/>
  <c r="D353" i="22"/>
  <c r="E353" i="22" s="1"/>
  <c r="D354" i="22"/>
  <c r="E354" i="22" s="1"/>
  <c r="D355" i="22"/>
  <c r="E355" i="22" s="1"/>
  <c r="D356" i="22"/>
  <c r="E356" i="22" s="1"/>
  <c r="D357" i="22"/>
  <c r="E357" i="22" s="1"/>
  <c r="D358" i="22"/>
  <c r="E358" i="22" s="1"/>
  <c r="D359" i="22"/>
  <c r="E359" i="22" s="1"/>
  <c r="D360" i="22"/>
  <c r="E360" i="22" s="1"/>
  <c r="D361" i="22"/>
  <c r="E361" i="22" s="1"/>
  <c r="D362" i="22"/>
  <c r="E362" i="22" s="1"/>
  <c r="D363" i="22"/>
  <c r="E363" i="22" s="1"/>
  <c r="D364" i="22"/>
  <c r="E364" i="22" s="1"/>
  <c r="D365" i="22"/>
  <c r="E365" i="22" s="1"/>
  <c r="D366" i="22"/>
  <c r="E366" i="22" s="1"/>
  <c r="D367" i="22"/>
  <c r="E367" i="22" s="1"/>
  <c r="D368" i="22"/>
  <c r="E368" i="22" s="1"/>
  <c r="D369" i="22"/>
  <c r="E369" i="22" s="1"/>
  <c r="D370" i="22"/>
  <c r="E370" i="22" s="1"/>
  <c r="D371" i="22"/>
  <c r="E371" i="22" s="1"/>
  <c r="D372" i="22"/>
  <c r="E372" i="22" s="1"/>
  <c r="D373" i="22"/>
  <c r="E373" i="22" s="1"/>
  <c r="D374" i="22"/>
  <c r="E374" i="22" s="1"/>
  <c r="D375" i="22"/>
  <c r="E375" i="22" s="1"/>
  <c r="D376" i="22"/>
  <c r="E376" i="22" s="1"/>
  <c r="D377" i="22"/>
  <c r="E377" i="22" s="1"/>
  <c r="D378" i="22"/>
  <c r="E378" i="22" s="1"/>
  <c r="D379" i="22"/>
  <c r="E379" i="22" s="1"/>
  <c r="D380" i="22"/>
  <c r="E380" i="22" s="1"/>
  <c r="D381" i="22"/>
  <c r="E381" i="22" s="1"/>
  <c r="D382" i="22"/>
  <c r="E382" i="22" s="1"/>
  <c r="D383" i="22"/>
  <c r="E383" i="22" s="1"/>
  <c r="D384" i="22"/>
  <c r="E384" i="22" s="1"/>
  <c r="D385" i="22"/>
  <c r="E385" i="22" s="1"/>
  <c r="D386" i="22"/>
  <c r="E386" i="22" s="1"/>
  <c r="D387" i="22"/>
  <c r="E387" i="22" s="1"/>
  <c r="D388" i="22"/>
  <c r="E388" i="22" s="1"/>
  <c r="D389" i="22"/>
  <c r="E389" i="22" s="1"/>
  <c r="D390" i="22"/>
  <c r="E390" i="22" s="1"/>
  <c r="D391" i="22"/>
  <c r="E391" i="22" s="1"/>
  <c r="D392" i="22"/>
  <c r="E392" i="22" s="1"/>
  <c r="D393" i="22"/>
  <c r="E393" i="22" s="1"/>
  <c r="D394" i="22"/>
  <c r="E394" i="22" s="1"/>
  <c r="D395" i="22"/>
  <c r="E395" i="22" s="1"/>
  <c r="D396" i="22"/>
  <c r="E396" i="22" s="1"/>
  <c r="D397" i="22"/>
  <c r="E397" i="22" s="1"/>
  <c r="D398" i="22"/>
  <c r="E398" i="22" s="1"/>
  <c r="D399" i="22"/>
  <c r="E399" i="22" s="1"/>
  <c r="D400" i="22"/>
  <c r="E400" i="22" s="1"/>
  <c r="D401" i="22"/>
  <c r="E401" i="22" s="1"/>
  <c r="D402" i="22"/>
  <c r="E402" i="22" s="1"/>
  <c r="D403" i="22"/>
  <c r="E403" i="22" s="1"/>
  <c r="D404" i="22"/>
  <c r="E404" i="22" s="1"/>
  <c r="D405" i="22"/>
  <c r="E405" i="22" s="1"/>
  <c r="D406" i="22"/>
  <c r="E406" i="22" s="1"/>
  <c r="D407" i="22"/>
  <c r="E407" i="22" s="1"/>
  <c r="D408" i="22"/>
  <c r="E408" i="22" s="1"/>
  <c r="D409" i="22"/>
  <c r="E409" i="22" s="1"/>
  <c r="D410" i="22"/>
  <c r="E410" i="22" s="1"/>
  <c r="D411" i="22"/>
  <c r="E411" i="22" s="1"/>
  <c r="D412" i="22"/>
  <c r="E412" i="22" s="1"/>
  <c r="D413" i="22"/>
  <c r="E413" i="22" s="1"/>
  <c r="D414" i="22"/>
  <c r="E414" i="22" s="1"/>
  <c r="D415" i="22"/>
  <c r="E415" i="22" s="1"/>
  <c r="D416" i="22"/>
  <c r="E416" i="22" s="1"/>
  <c r="D417" i="22"/>
  <c r="E417" i="22" s="1"/>
  <c r="D418" i="22"/>
  <c r="E418" i="22" s="1"/>
  <c r="D419" i="22"/>
  <c r="E419" i="22" s="1"/>
  <c r="D420" i="22"/>
  <c r="E420" i="22" s="1"/>
  <c r="D421" i="22"/>
  <c r="E421" i="22" s="1"/>
  <c r="D422" i="22"/>
  <c r="E422" i="22" s="1"/>
  <c r="D423" i="22"/>
  <c r="E423" i="22" s="1"/>
  <c r="D424" i="22"/>
  <c r="E424" i="22" s="1"/>
  <c r="D425" i="22"/>
  <c r="E425" i="22" s="1"/>
  <c r="D426" i="22"/>
  <c r="E426" i="22" s="1"/>
  <c r="D427" i="22"/>
  <c r="E427" i="22" s="1"/>
  <c r="D428" i="22"/>
  <c r="E428" i="22" s="1"/>
  <c r="D429" i="22"/>
  <c r="E429" i="22" s="1"/>
  <c r="D430" i="22"/>
  <c r="E430" i="22" s="1"/>
  <c r="D431" i="22"/>
  <c r="E431" i="22" s="1"/>
  <c r="D432" i="22"/>
  <c r="E432" i="22" s="1"/>
  <c r="D433" i="22"/>
  <c r="E433" i="22" s="1"/>
  <c r="D434" i="22"/>
  <c r="E434" i="22" s="1"/>
  <c r="D435" i="22"/>
  <c r="E435" i="22" s="1"/>
  <c r="D436" i="22"/>
  <c r="E436" i="22" s="1"/>
  <c r="D437" i="22"/>
  <c r="E437" i="22" s="1"/>
  <c r="D438" i="22"/>
  <c r="E438" i="22" s="1"/>
  <c r="D439" i="22"/>
  <c r="E439" i="22" s="1"/>
  <c r="D440" i="22"/>
  <c r="E440" i="22" s="1"/>
  <c r="D441" i="22"/>
  <c r="E441" i="22" s="1"/>
  <c r="D442" i="22"/>
  <c r="E442" i="22" s="1"/>
  <c r="D443" i="22"/>
  <c r="E443" i="22" s="1"/>
  <c r="D444" i="22"/>
  <c r="E444" i="22" s="1"/>
  <c r="D445" i="22"/>
  <c r="E445" i="22" s="1"/>
  <c r="D446" i="22"/>
  <c r="E446" i="22" s="1"/>
  <c r="D447" i="22"/>
  <c r="E447" i="22" s="1"/>
  <c r="D448" i="22"/>
  <c r="E448" i="22" s="1"/>
  <c r="D449" i="22"/>
  <c r="E449" i="22" s="1"/>
  <c r="D450" i="22"/>
  <c r="E450" i="22" s="1"/>
  <c r="D451" i="22"/>
  <c r="E451" i="22" s="1"/>
  <c r="D452" i="22"/>
  <c r="E452" i="22" s="1"/>
  <c r="D453" i="22"/>
  <c r="E453" i="22" s="1"/>
  <c r="D454" i="22"/>
  <c r="E454" i="22" s="1"/>
  <c r="D455" i="22"/>
  <c r="E455" i="22" s="1"/>
  <c r="D456" i="22"/>
  <c r="E456" i="22" s="1"/>
  <c r="D457" i="22"/>
  <c r="E457" i="22" s="1"/>
  <c r="D458" i="22"/>
  <c r="E458" i="22" s="1"/>
  <c r="D459" i="22"/>
  <c r="E459" i="22" s="1"/>
  <c r="D460" i="22"/>
  <c r="E460" i="22" s="1"/>
  <c r="D461" i="22"/>
  <c r="E461" i="22" s="1"/>
  <c r="D462" i="22"/>
  <c r="E462" i="22" s="1"/>
  <c r="D463" i="22"/>
  <c r="E463" i="22" s="1"/>
  <c r="D464" i="22"/>
  <c r="E464" i="22" s="1"/>
  <c r="D465" i="22"/>
  <c r="E465" i="22" s="1"/>
  <c r="D466" i="22"/>
  <c r="E466" i="22" s="1"/>
  <c r="D467" i="22"/>
  <c r="E467" i="22" s="1"/>
  <c r="D468" i="22"/>
  <c r="E468" i="22" s="1"/>
  <c r="D469" i="22"/>
  <c r="E469" i="22" s="1"/>
  <c r="D470" i="22"/>
  <c r="E470" i="22" s="1"/>
  <c r="D471" i="22"/>
  <c r="E471" i="22" s="1"/>
  <c r="D472" i="22"/>
  <c r="E472" i="22" s="1"/>
  <c r="D473" i="22"/>
  <c r="E473" i="22" s="1"/>
  <c r="D474" i="22"/>
  <c r="E474" i="22" s="1"/>
  <c r="D475" i="22"/>
  <c r="E475" i="22" s="1"/>
  <c r="D476" i="22"/>
  <c r="E476" i="22" s="1"/>
  <c r="D477" i="22"/>
  <c r="E477" i="22" s="1"/>
  <c r="D478" i="22"/>
  <c r="E478" i="22" s="1"/>
  <c r="D479" i="22"/>
  <c r="E479" i="22" s="1"/>
  <c r="D480" i="22"/>
  <c r="E480" i="22" s="1"/>
  <c r="D481" i="22"/>
  <c r="E481" i="22" s="1"/>
  <c r="D482" i="22"/>
  <c r="E482" i="22" s="1"/>
  <c r="D483" i="22"/>
  <c r="E483" i="22" s="1"/>
  <c r="D484" i="22"/>
  <c r="E484" i="22" s="1"/>
  <c r="D485" i="22"/>
  <c r="E485" i="22" s="1"/>
  <c r="D486" i="22"/>
  <c r="E486" i="22" s="1"/>
  <c r="D487" i="22"/>
  <c r="E487" i="22" s="1"/>
  <c r="D488" i="22"/>
  <c r="E488" i="22" s="1"/>
  <c r="D489" i="22"/>
  <c r="E489" i="22" s="1"/>
  <c r="D490" i="22"/>
  <c r="E490" i="22" s="1"/>
  <c r="D491" i="22"/>
  <c r="E491" i="22" s="1"/>
  <c r="D492" i="22"/>
  <c r="E492" i="22" s="1"/>
  <c r="D493" i="22"/>
  <c r="E493" i="22" s="1"/>
  <c r="D494" i="22"/>
  <c r="E494" i="22" s="1"/>
  <c r="D495" i="22"/>
  <c r="E495" i="22" s="1"/>
  <c r="D496" i="22"/>
  <c r="E496" i="22" s="1"/>
  <c r="D497" i="22"/>
  <c r="E497" i="22" s="1"/>
  <c r="D498" i="22"/>
  <c r="E498" i="22" s="1"/>
  <c r="D499" i="22"/>
  <c r="E499" i="22" s="1"/>
  <c r="D500" i="22"/>
  <c r="E500" i="22" s="1"/>
  <c r="D501" i="22"/>
  <c r="E501" i="22" s="1"/>
  <c r="D502" i="22"/>
  <c r="E502" i="22" s="1"/>
  <c r="D503" i="22"/>
  <c r="E503" i="22" s="1"/>
  <c r="D504" i="22"/>
  <c r="E504" i="22" s="1"/>
  <c r="D505" i="22"/>
  <c r="E505" i="22" s="1"/>
  <c r="D506" i="22"/>
  <c r="E506" i="22" s="1"/>
  <c r="D507" i="22"/>
  <c r="E507" i="22" s="1"/>
  <c r="D508" i="22"/>
  <c r="E508" i="22" s="1"/>
  <c r="D509" i="22"/>
  <c r="E509" i="22" s="1"/>
  <c r="D510" i="22"/>
  <c r="E510" i="22" s="1"/>
  <c r="D511" i="22"/>
  <c r="E511" i="22" s="1"/>
  <c r="D512" i="22"/>
  <c r="E512" i="22" s="1"/>
  <c r="D513" i="22"/>
  <c r="E513" i="22" s="1"/>
  <c r="D514" i="22"/>
  <c r="E514" i="22" s="1"/>
  <c r="D515" i="22"/>
  <c r="E515" i="22" s="1"/>
  <c r="D516" i="22"/>
  <c r="E516" i="22" s="1"/>
  <c r="D517" i="22"/>
  <c r="E517" i="22" s="1"/>
  <c r="D518" i="22"/>
  <c r="E518" i="22" s="1"/>
  <c r="D519" i="22"/>
  <c r="E519" i="22" s="1"/>
  <c r="D520" i="22"/>
  <c r="E520" i="22" s="1"/>
  <c r="D521" i="22"/>
  <c r="E521" i="22" s="1"/>
  <c r="D522" i="22"/>
  <c r="E522" i="22" s="1"/>
  <c r="D523" i="22"/>
  <c r="E523" i="22" s="1"/>
  <c r="D524" i="22"/>
  <c r="E524" i="22" s="1"/>
  <c r="D525" i="22"/>
  <c r="E525" i="22" s="1"/>
  <c r="D526" i="22"/>
  <c r="E526" i="22" s="1"/>
  <c r="D527" i="22"/>
  <c r="E527" i="22" s="1"/>
  <c r="D528" i="22"/>
  <c r="E528" i="22" s="1"/>
  <c r="D529" i="22"/>
  <c r="E529" i="22" s="1"/>
  <c r="D530" i="22"/>
  <c r="E530" i="22" s="1"/>
  <c r="D531" i="22"/>
  <c r="E531" i="22" s="1"/>
  <c r="D532" i="22"/>
  <c r="E532" i="22" s="1"/>
  <c r="D533" i="22"/>
  <c r="E533" i="22" s="1"/>
  <c r="D534" i="22"/>
  <c r="E534" i="22" s="1"/>
  <c r="D535" i="22"/>
  <c r="E535" i="22" s="1"/>
  <c r="D536" i="22"/>
  <c r="E536" i="22" s="1"/>
  <c r="D537" i="22"/>
  <c r="E537" i="22" s="1"/>
  <c r="D538" i="22"/>
  <c r="E538" i="22" s="1"/>
  <c r="D539" i="22"/>
  <c r="E539" i="22" s="1"/>
  <c r="D540" i="22"/>
  <c r="E540" i="22" s="1"/>
  <c r="D541" i="22"/>
  <c r="E541" i="22" s="1"/>
  <c r="D542" i="22"/>
  <c r="E542" i="22" s="1"/>
  <c r="D543" i="22"/>
  <c r="E543" i="22" s="1"/>
  <c r="D544" i="22"/>
  <c r="E544" i="22" s="1"/>
  <c r="D545" i="22"/>
  <c r="E545" i="22" s="1"/>
  <c r="D546" i="22"/>
  <c r="E546" i="22" s="1"/>
  <c r="D547" i="22"/>
  <c r="E547" i="22" s="1"/>
  <c r="D548" i="22"/>
  <c r="E548" i="22" s="1"/>
  <c r="D549" i="22"/>
  <c r="E549" i="22" s="1"/>
  <c r="D550" i="22"/>
  <c r="E550" i="22" s="1"/>
  <c r="D551" i="22"/>
  <c r="E551" i="22" s="1"/>
  <c r="D552" i="22"/>
  <c r="E552" i="22" s="1"/>
  <c r="D553" i="22"/>
  <c r="E553" i="22" s="1"/>
  <c r="D554" i="22"/>
  <c r="E554" i="22" s="1"/>
  <c r="D555" i="22"/>
  <c r="E555" i="22" s="1"/>
  <c r="D556" i="22"/>
  <c r="E556" i="22" s="1"/>
  <c r="D557" i="22"/>
  <c r="E557" i="22" s="1"/>
  <c r="D558" i="22"/>
  <c r="E558" i="22" s="1"/>
  <c r="D559" i="22"/>
  <c r="E559" i="22" s="1"/>
  <c r="D560" i="22"/>
  <c r="E560" i="22" s="1"/>
  <c r="D561" i="22"/>
  <c r="E561" i="22" s="1"/>
  <c r="D562" i="22"/>
  <c r="E562" i="22" s="1"/>
  <c r="D563" i="22"/>
  <c r="E563" i="22" s="1"/>
  <c r="D564" i="22"/>
  <c r="E564" i="22" s="1"/>
  <c r="D565" i="22"/>
  <c r="E565" i="22" s="1"/>
  <c r="D566" i="22"/>
  <c r="E566" i="22" s="1"/>
  <c r="D567" i="22"/>
  <c r="E567" i="22" s="1"/>
  <c r="D568" i="22"/>
  <c r="E568" i="22" s="1"/>
  <c r="D569" i="22"/>
  <c r="E569" i="22" s="1"/>
  <c r="D570" i="22"/>
  <c r="E570" i="22" s="1"/>
  <c r="D571" i="22"/>
  <c r="E571" i="22" s="1"/>
  <c r="D572" i="22"/>
  <c r="E572" i="22" s="1"/>
  <c r="D573" i="22"/>
  <c r="E573" i="22" s="1"/>
  <c r="D574" i="22"/>
  <c r="E574" i="22" s="1"/>
  <c r="D575" i="22"/>
  <c r="E575" i="22" s="1"/>
  <c r="D576" i="22"/>
  <c r="E576" i="22" s="1"/>
  <c r="D577" i="22"/>
  <c r="E577" i="22" s="1"/>
  <c r="D578" i="22"/>
  <c r="E578" i="22" s="1"/>
  <c r="D579" i="22"/>
  <c r="E579" i="22" s="1"/>
  <c r="D580" i="22"/>
  <c r="E580" i="22" s="1"/>
  <c r="D581" i="22"/>
  <c r="E581" i="22" s="1"/>
  <c r="D582" i="22"/>
  <c r="E582" i="22" s="1"/>
  <c r="D583" i="22"/>
  <c r="E583" i="22" s="1"/>
  <c r="D584" i="22"/>
  <c r="E584" i="22" s="1"/>
  <c r="D585" i="22"/>
  <c r="E585" i="22" s="1"/>
  <c r="D586" i="22"/>
  <c r="E586" i="22" s="1"/>
  <c r="D587" i="22"/>
  <c r="E587" i="22" s="1"/>
  <c r="D588" i="22"/>
  <c r="E588" i="22" s="1"/>
  <c r="D589" i="22"/>
  <c r="E589" i="22" s="1"/>
  <c r="D590" i="22"/>
  <c r="E590" i="22" s="1"/>
  <c r="D591" i="22"/>
  <c r="E591" i="22" s="1"/>
  <c r="D592" i="22"/>
  <c r="E592" i="22" s="1"/>
  <c r="D593" i="22"/>
  <c r="E593" i="22" s="1"/>
  <c r="D594" i="22"/>
  <c r="E594" i="22" s="1"/>
  <c r="D595" i="22"/>
  <c r="E595" i="22" s="1"/>
  <c r="D596" i="22"/>
  <c r="E596" i="22" s="1"/>
  <c r="D597" i="22"/>
  <c r="E597" i="22" s="1"/>
  <c r="D598" i="22"/>
  <c r="E598" i="22" s="1"/>
  <c r="D599" i="22"/>
  <c r="E599" i="22" s="1"/>
  <c r="D600" i="22"/>
  <c r="E600" i="22" s="1"/>
  <c r="D601" i="22"/>
  <c r="E601" i="22" s="1"/>
  <c r="D602" i="22"/>
  <c r="E602" i="22" s="1"/>
  <c r="D603" i="22"/>
  <c r="E603" i="22" s="1"/>
  <c r="D604" i="22"/>
  <c r="E604" i="22" s="1"/>
  <c r="D605" i="22"/>
  <c r="E605" i="22" s="1"/>
  <c r="D606" i="22"/>
  <c r="E606" i="22" s="1"/>
  <c r="D607" i="22"/>
  <c r="E607" i="22" s="1"/>
  <c r="D608" i="22"/>
  <c r="E608" i="22" s="1"/>
  <c r="D609" i="22"/>
  <c r="E609" i="22" s="1"/>
  <c r="D610" i="22"/>
  <c r="E610" i="22" s="1"/>
  <c r="D611" i="22"/>
  <c r="E611" i="22" s="1"/>
  <c r="D612" i="22"/>
  <c r="E612" i="22" s="1"/>
  <c r="D613" i="22"/>
  <c r="E613" i="22" s="1"/>
  <c r="D614" i="22"/>
  <c r="E614" i="22" s="1"/>
  <c r="D615" i="22"/>
  <c r="E615" i="22" s="1"/>
  <c r="D616" i="22"/>
  <c r="E616" i="22" s="1"/>
  <c r="D617" i="22"/>
  <c r="E617" i="22" s="1"/>
  <c r="D618" i="22"/>
  <c r="E618" i="22" s="1"/>
  <c r="D619" i="22"/>
  <c r="E619" i="22" s="1"/>
  <c r="D620" i="22"/>
  <c r="E620" i="22" s="1"/>
  <c r="D621" i="22"/>
  <c r="E621" i="22" s="1"/>
  <c r="D622" i="22"/>
  <c r="E622" i="22" s="1"/>
  <c r="D623" i="22"/>
  <c r="E623" i="22" s="1"/>
  <c r="D624" i="22"/>
  <c r="E624" i="22" s="1"/>
  <c r="D625" i="22"/>
  <c r="E625" i="22" s="1"/>
  <c r="D626" i="22"/>
  <c r="E626" i="22" s="1"/>
  <c r="D627" i="22"/>
  <c r="E627" i="22" s="1"/>
  <c r="D628" i="22"/>
  <c r="E628" i="22" s="1"/>
  <c r="D629" i="22"/>
  <c r="E629" i="22" s="1"/>
  <c r="D630" i="22"/>
  <c r="E630" i="22" s="1"/>
  <c r="D631" i="22"/>
  <c r="E631" i="22" s="1"/>
  <c r="D632" i="22"/>
  <c r="E632" i="22" s="1"/>
  <c r="D633" i="22"/>
  <c r="E633" i="22" s="1"/>
  <c r="D634" i="22"/>
  <c r="E634" i="22" s="1"/>
  <c r="D635" i="22"/>
  <c r="E635" i="22" s="1"/>
  <c r="D636" i="22"/>
  <c r="E636" i="22" s="1"/>
  <c r="D637" i="22"/>
  <c r="E637" i="22" s="1"/>
  <c r="D638" i="22"/>
  <c r="E638" i="22" s="1"/>
  <c r="D639" i="22"/>
  <c r="E639" i="22" s="1"/>
  <c r="D640" i="22"/>
  <c r="E640" i="22" s="1"/>
  <c r="D641" i="22"/>
  <c r="E641" i="22" s="1"/>
  <c r="D642" i="22"/>
  <c r="E642" i="22" s="1"/>
  <c r="D643" i="22"/>
  <c r="E643" i="22" s="1"/>
  <c r="D644" i="22"/>
  <c r="E644" i="22" s="1"/>
  <c r="D645" i="22"/>
  <c r="E645" i="22" s="1"/>
  <c r="D646" i="22"/>
  <c r="E646" i="22" s="1"/>
  <c r="D647" i="22"/>
  <c r="E647" i="22" s="1"/>
  <c r="D648" i="22"/>
  <c r="E648" i="22" s="1"/>
  <c r="D649" i="22"/>
  <c r="E649" i="22" s="1"/>
  <c r="D650" i="22"/>
  <c r="E650" i="22" s="1"/>
  <c r="D651" i="22"/>
  <c r="E651" i="22" s="1"/>
  <c r="D652" i="22"/>
  <c r="E652" i="22" s="1"/>
  <c r="D653" i="22"/>
  <c r="E653" i="22" s="1"/>
  <c r="D654" i="22"/>
  <c r="E654" i="22" s="1"/>
  <c r="D655" i="22"/>
  <c r="E655" i="22" s="1"/>
  <c r="D656" i="22"/>
  <c r="E656" i="22" s="1"/>
  <c r="D657" i="22"/>
  <c r="E657" i="22" s="1"/>
  <c r="D658" i="22"/>
  <c r="E658" i="22" s="1"/>
  <c r="D659" i="22"/>
  <c r="E659" i="22" s="1"/>
  <c r="D660" i="22"/>
  <c r="E660" i="22" s="1"/>
  <c r="D661" i="22"/>
  <c r="E661" i="22" s="1"/>
  <c r="D662" i="22"/>
  <c r="E662" i="22" s="1"/>
  <c r="D663" i="22"/>
  <c r="E663" i="22" s="1"/>
  <c r="D664" i="22"/>
  <c r="E664" i="22" s="1"/>
  <c r="D665" i="22"/>
  <c r="E665" i="22" s="1"/>
  <c r="D666" i="22"/>
  <c r="E666" i="22" s="1"/>
  <c r="D667" i="22"/>
  <c r="E667" i="22" s="1"/>
  <c r="D668" i="22"/>
  <c r="E668" i="22" s="1"/>
  <c r="D669" i="22"/>
  <c r="E669" i="22" s="1"/>
  <c r="D670" i="22"/>
  <c r="E670" i="22" s="1"/>
  <c r="D671" i="22"/>
  <c r="E671" i="22" s="1"/>
  <c r="D672" i="22"/>
  <c r="E672" i="22" s="1"/>
  <c r="D673" i="22"/>
  <c r="E673" i="22" s="1"/>
  <c r="D674" i="22"/>
  <c r="E674" i="22" s="1"/>
  <c r="D675" i="22"/>
  <c r="E675" i="22" s="1"/>
  <c r="D676" i="22"/>
  <c r="E676" i="22" s="1"/>
  <c r="D677" i="22"/>
  <c r="E677" i="22" s="1"/>
  <c r="D678" i="22"/>
  <c r="E678" i="22" s="1"/>
  <c r="D679" i="22"/>
  <c r="E679" i="22" s="1"/>
  <c r="D680" i="22"/>
  <c r="E680" i="22" s="1"/>
  <c r="D681" i="22"/>
  <c r="E681" i="22" s="1"/>
  <c r="D682" i="22"/>
  <c r="E682" i="22" s="1"/>
  <c r="D683" i="22"/>
  <c r="E683" i="22" s="1"/>
  <c r="D684" i="22"/>
  <c r="E684" i="22" s="1"/>
  <c r="D685" i="22"/>
  <c r="E685" i="22" s="1"/>
  <c r="D686" i="22"/>
  <c r="E686" i="22" s="1"/>
  <c r="D687" i="22"/>
  <c r="E687" i="22" s="1"/>
  <c r="D688" i="22"/>
  <c r="E688" i="22" s="1"/>
  <c r="D689" i="22"/>
  <c r="E689" i="22" s="1"/>
  <c r="D690" i="22"/>
  <c r="E690" i="22" s="1"/>
  <c r="D691" i="22"/>
  <c r="E691" i="22" s="1"/>
  <c r="D692" i="22"/>
  <c r="E692" i="22" s="1"/>
  <c r="D693" i="22"/>
  <c r="E693" i="22" s="1"/>
  <c r="D694" i="22"/>
  <c r="E694" i="22" s="1"/>
  <c r="D695" i="22"/>
  <c r="E695" i="22" s="1"/>
  <c r="D696" i="22"/>
  <c r="E696" i="22" s="1"/>
  <c r="D697" i="22"/>
  <c r="E697" i="22" s="1"/>
  <c r="D698" i="22"/>
  <c r="E698" i="22" s="1"/>
  <c r="D699" i="22"/>
  <c r="E699" i="22" s="1"/>
  <c r="D700" i="22"/>
  <c r="E700" i="22" s="1"/>
  <c r="D701" i="22"/>
  <c r="E701" i="22" s="1"/>
  <c r="D702" i="22"/>
  <c r="E702" i="22" s="1"/>
  <c r="D703" i="22"/>
  <c r="E703" i="22" s="1"/>
  <c r="D704" i="22"/>
  <c r="E704" i="22" s="1"/>
  <c r="D705" i="22"/>
  <c r="E705" i="22" s="1"/>
  <c r="D706" i="22"/>
  <c r="E706" i="22" s="1"/>
  <c r="D707" i="22"/>
  <c r="E707" i="22" s="1"/>
  <c r="D708" i="22"/>
  <c r="E708" i="22" s="1"/>
  <c r="D709" i="22"/>
  <c r="E709" i="22" s="1"/>
  <c r="D710" i="22"/>
  <c r="E710" i="22" s="1"/>
  <c r="D711" i="22"/>
  <c r="E711" i="22" s="1"/>
  <c r="D712" i="22"/>
  <c r="E712" i="22" s="1"/>
  <c r="D713" i="22"/>
  <c r="E713" i="22" s="1"/>
  <c r="D714" i="22"/>
  <c r="E714" i="22" s="1"/>
  <c r="D715" i="22"/>
  <c r="E715" i="22" s="1"/>
  <c r="D716" i="22"/>
  <c r="E716" i="22" s="1"/>
  <c r="D717" i="22"/>
  <c r="E717" i="22" s="1"/>
  <c r="D718" i="22"/>
  <c r="E718" i="22" s="1"/>
  <c r="D719" i="22"/>
  <c r="E719" i="22" s="1"/>
  <c r="D720" i="22"/>
  <c r="E720" i="22" s="1"/>
  <c r="D721" i="22"/>
  <c r="E721" i="22" s="1"/>
  <c r="D722" i="22"/>
  <c r="E722" i="22" s="1"/>
  <c r="D723" i="22"/>
  <c r="E723" i="22" s="1"/>
  <c r="D724" i="22"/>
  <c r="E724" i="22" s="1"/>
  <c r="D725" i="22"/>
  <c r="E725" i="22" s="1"/>
  <c r="D726" i="22"/>
  <c r="E726" i="22" s="1"/>
  <c r="D727" i="22"/>
  <c r="E727" i="22" s="1"/>
  <c r="D728" i="22"/>
  <c r="E728" i="22" s="1"/>
  <c r="D729" i="22"/>
  <c r="E729" i="22" s="1"/>
  <c r="D730" i="22"/>
  <c r="E730" i="22" s="1"/>
  <c r="D731" i="22"/>
  <c r="E731" i="22" s="1"/>
  <c r="D732" i="22"/>
  <c r="E732" i="22" s="1"/>
  <c r="D733" i="22"/>
  <c r="E733" i="22" s="1"/>
  <c r="D734" i="22"/>
  <c r="E734" i="22" s="1"/>
  <c r="D735" i="22"/>
  <c r="E735" i="22" s="1"/>
  <c r="D736" i="22"/>
  <c r="E736" i="22" s="1"/>
  <c r="D737" i="22"/>
  <c r="E737" i="22" s="1"/>
  <c r="D738" i="22"/>
  <c r="E738" i="22" s="1"/>
  <c r="D739" i="22"/>
  <c r="E739" i="22" s="1"/>
  <c r="D740" i="22"/>
  <c r="E740" i="22" s="1"/>
  <c r="D741" i="22"/>
  <c r="E741" i="22" s="1"/>
  <c r="D742" i="22"/>
  <c r="E742" i="22" s="1"/>
  <c r="D743" i="22"/>
  <c r="E743" i="22" s="1"/>
  <c r="D744" i="22"/>
  <c r="E744" i="22" s="1"/>
  <c r="D745" i="22"/>
  <c r="E745" i="22" s="1"/>
  <c r="D746" i="22"/>
  <c r="E746" i="22" s="1"/>
  <c r="D747" i="22"/>
  <c r="E747" i="22" s="1"/>
  <c r="D748" i="22"/>
  <c r="E748" i="22" s="1"/>
  <c r="D749" i="22"/>
  <c r="E749" i="22" s="1"/>
  <c r="D750" i="22"/>
  <c r="E750" i="22" s="1"/>
  <c r="D751" i="22"/>
  <c r="E751" i="22" s="1"/>
  <c r="D752" i="22"/>
  <c r="E752" i="22" s="1"/>
  <c r="D753" i="22"/>
  <c r="E753" i="22" s="1"/>
  <c r="D754" i="22"/>
  <c r="E754" i="22" s="1"/>
  <c r="D755" i="22"/>
  <c r="E755" i="22" s="1"/>
  <c r="D756" i="22"/>
  <c r="E756" i="22" s="1"/>
  <c r="D757" i="22"/>
  <c r="E757" i="22" s="1"/>
  <c r="D758" i="22"/>
  <c r="E758" i="22" s="1"/>
  <c r="D759" i="22"/>
  <c r="E759" i="22" s="1"/>
  <c r="D760" i="22"/>
  <c r="E760" i="22" s="1"/>
  <c r="D761" i="22"/>
  <c r="E761" i="22" s="1"/>
  <c r="D762" i="22"/>
  <c r="E762" i="22" s="1"/>
  <c r="D763" i="22"/>
  <c r="E763" i="22" s="1"/>
  <c r="D764" i="22"/>
  <c r="E764" i="22" s="1"/>
  <c r="D765" i="22"/>
  <c r="E765" i="22" s="1"/>
  <c r="D766" i="22"/>
  <c r="E766" i="22" s="1"/>
  <c r="D767" i="22"/>
  <c r="E767" i="22" s="1"/>
  <c r="D768" i="22"/>
  <c r="E768" i="22" s="1"/>
  <c r="D769" i="22"/>
  <c r="E769" i="22" s="1"/>
  <c r="D770" i="22"/>
  <c r="E770" i="22" s="1"/>
  <c r="D771" i="22"/>
  <c r="E771" i="22" s="1"/>
  <c r="D772" i="22"/>
  <c r="E772" i="22" s="1"/>
  <c r="D773" i="22"/>
  <c r="E773" i="22" s="1"/>
  <c r="D774" i="22"/>
  <c r="E774" i="22" s="1"/>
  <c r="D775" i="22"/>
  <c r="E775" i="22" s="1"/>
  <c r="D776" i="22"/>
  <c r="E776" i="22" s="1"/>
  <c r="D777" i="22"/>
  <c r="E777" i="22" s="1"/>
  <c r="D778" i="22"/>
  <c r="E778" i="22" s="1"/>
  <c r="D779" i="22"/>
  <c r="E779" i="22" s="1"/>
  <c r="D780" i="22"/>
  <c r="E780" i="22" s="1"/>
  <c r="D781" i="22"/>
  <c r="E781" i="22" s="1"/>
  <c r="D782" i="22"/>
  <c r="E782" i="22" s="1"/>
  <c r="D783" i="22"/>
  <c r="E783" i="22" s="1"/>
  <c r="D784" i="22"/>
  <c r="E784" i="22" s="1"/>
  <c r="D785" i="22"/>
  <c r="E785" i="22" s="1"/>
  <c r="D786" i="22"/>
  <c r="E786" i="22" s="1"/>
  <c r="D787" i="22"/>
  <c r="E787" i="22" s="1"/>
  <c r="D788" i="22"/>
  <c r="E788" i="22" s="1"/>
  <c r="D789" i="22"/>
  <c r="E789" i="22" s="1"/>
  <c r="D790" i="22"/>
  <c r="E790" i="22" s="1"/>
  <c r="D791" i="22"/>
  <c r="E791" i="22" s="1"/>
  <c r="D792" i="22"/>
  <c r="E792" i="22" s="1"/>
  <c r="D793" i="22"/>
  <c r="E793" i="22" s="1"/>
  <c r="D794" i="22"/>
  <c r="E794" i="22" s="1"/>
  <c r="D795" i="22"/>
  <c r="E795" i="22" s="1"/>
  <c r="D796" i="22"/>
  <c r="E796" i="22" s="1"/>
  <c r="D797" i="22"/>
  <c r="E797" i="22" s="1"/>
  <c r="D798" i="22"/>
  <c r="E798" i="22" s="1"/>
  <c r="D799" i="22"/>
  <c r="E799" i="22" s="1"/>
  <c r="D800" i="22"/>
  <c r="E800" i="22" s="1"/>
  <c r="D801" i="22"/>
  <c r="E801" i="22" s="1"/>
  <c r="D802" i="22"/>
  <c r="E802" i="22" s="1"/>
  <c r="D803" i="22"/>
  <c r="E803" i="22" s="1"/>
  <c r="D804" i="22"/>
  <c r="E804" i="22" s="1"/>
  <c r="D805" i="22"/>
  <c r="E805" i="22" s="1"/>
  <c r="D806" i="22"/>
  <c r="E806" i="22" s="1"/>
  <c r="D807" i="22"/>
  <c r="E807" i="22" s="1"/>
  <c r="D808" i="22"/>
  <c r="E808" i="22" s="1"/>
  <c r="D809" i="22"/>
  <c r="E809" i="22" s="1"/>
  <c r="D810" i="22"/>
  <c r="E810" i="22" s="1"/>
  <c r="D811" i="22"/>
  <c r="E811" i="22" s="1"/>
  <c r="D812" i="22"/>
  <c r="E812" i="22" s="1"/>
  <c r="D813" i="22"/>
  <c r="E813" i="22" s="1"/>
  <c r="D814" i="22"/>
  <c r="E814" i="22" s="1"/>
  <c r="D815" i="22"/>
  <c r="E815" i="22" s="1"/>
  <c r="D816" i="22"/>
  <c r="E816" i="22" s="1"/>
  <c r="D817" i="22"/>
  <c r="E817" i="22" s="1"/>
  <c r="D818" i="22"/>
  <c r="E818" i="22" s="1"/>
  <c r="D819" i="22"/>
  <c r="E819" i="22" s="1"/>
  <c r="D820" i="22"/>
  <c r="E820" i="22" s="1"/>
  <c r="D821" i="22"/>
  <c r="E821" i="22" s="1"/>
  <c r="D822" i="22"/>
  <c r="E822" i="22" s="1"/>
  <c r="D823" i="22"/>
  <c r="E823" i="22" s="1"/>
  <c r="D824" i="22"/>
  <c r="E824" i="22" s="1"/>
  <c r="D825" i="22"/>
  <c r="E825" i="22" s="1"/>
  <c r="D826" i="22"/>
  <c r="E826" i="22" s="1"/>
  <c r="D827" i="22"/>
  <c r="E827" i="22" s="1"/>
  <c r="D828" i="22"/>
  <c r="E828" i="22" s="1"/>
  <c r="D829" i="22"/>
  <c r="E829" i="22" s="1"/>
  <c r="D830" i="22"/>
  <c r="E830" i="22" s="1"/>
  <c r="D831" i="22"/>
  <c r="E831" i="22" s="1"/>
  <c r="D832" i="22"/>
  <c r="E832" i="22" s="1"/>
  <c r="D833" i="22"/>
  <c r="E833" i="22" s="1"/>
  <c r="D834" i="22"/>
  <c r="E834" i="22" s="1"/>
  <c r="D835" i="22"/>
  <c r="E835" i="22" s="1"/>
  <c r="D836" i="22"/>
  <c r="E836" i="22" s="1"/>
  <c r="D837" i="22"/>
  <c r="E837" i="22" s="1"/>
  <c r="D838" i="22"/>
  <c r="E838" i="22" s="1"/>
  <c r="D839" i="22"/>
  <c r="E839" i="22" s="1"/>
  <c r="D840" i="22"/>
  <c r="E840" i="22" s="1"/>
  <c r="D841" i="22"/>
  <c r="E841" i="22" s="1"/>
  <c r="D842" i="22"/>
  <c r="E842" i="22" s="1"/>
  <c r="D843" i="22"/>
  <c r="E843" i="22" s="1"/>
  <c r="D844" i="22"/>
  <c r="E844" i="22" s="1"/>
  <c r="D845" i="22"/>
  <c r="E845" i="22" s="1"/>
  <c r="D846" i="22"/>
  <c r="E846" i="22" s="1"/>
  <c r="D847" i="22"/>
  <c r="E847" i="22" s="1"/>
  <c r="D848" i="22"/>
  <c r="E848" i="22" s="1"/>
  <c r="D849" i="22"/>
  <c r="E849" i="22" s="1"/>
  <c r="D850" i="22"/>
  <c r="E850" i="22" s="1"/>
  <c r="D851" i="22"/>
  <c r="E851" i="22" s="1"/>
  <c r="D852" i="22"/>
  <c r="E852" i="22" s="1"/>
  <c r="D853" i="22"/>
  <c r="E853" i="22" s="1"/>
  <c r="D854" i="22"/>
  <c r="E854" i="22" s="1"/>
  <c r="D855" i="22"/>
  <c r="E855" i="22" s="1"/>
  <c r="D856" i="22"/>
  <c r="E856" i="22" s="1"/>
  <c r="D857" i="22"/>
  <c r="E857" i="22" s="1"/>
  <c r="D858" i="22"/>
  <c r="E858" i="22" s="1"/>
  <c r="D859" i="22"/>
  <c r="E859" i="22" s="1"/>
  <c r="D860" i="22"/>
  <c r="E860" i="22" s="1"/>
  <c r="D861" i="22"/>
  <c r="E861" i="22" s="1"/>
  <c r="D862" i="22"/>
  <c r="E862" i="22" s="1"/>
  <c r="D863" i="22"/>
  <c r="E863" i="22" s="1"/>
  <c r="D864" i="22"/>
  <c r="E864" i="22" s="1"/>
  <c r="D865" i="22"/>
  <c r="E865" i="22" s="1"/>
  <c r="D866" i="22"/>
  <c r="E866" i="22" s="1"/>
  <c r="D867" i="22"/>
  <c r="E867" i="22" s="1"/>
  <c r="D868" i="22"/>
  <c r="E868" i="22" s="1"/>
  <c r="D869" i="22"/>
  <c r="E869" i="22" s="1"/>
  <c r="D870" i="22"/>
  <c r="E870" i="22" s="1"/>
  <c r="D871" i="22"/>
  <c r="E871" i="22" s="1"/>
  <c r="D872" i="22"/>
  <c r="E872" i="22" s="1"/>
  <c r="D873" i="22"/>
  <c r="E873" i="22" s="1"/>
  <c r="D874" i="22"/>
  <c r="E874" i="22" s="1"/>
  <c r="D875" i="22"/>
  <c r="E875" i="22" s="1"/>
  <c r="D876" i="22"/>
  <c r="E876" i="22" s="1"/>
  <c r="D877" i="22"/>
  <c r="E877" i="22" s="1"/>
  <c r="D878" i="22"/>
  <c r="E878" i="22" s="1"/>
  <c r="D879" i="22"/>
  <c r="E879" i="22" s="1"/>
  <c r="D880" i="22"/>
  <c r="E880" i="22" s="1"/>
  <c r="D881" i="22"/>
  <c r="E881" i="22" s="1"/>
  <c r="D882" i="22"/>
  <c r="E882" i="22" s="1"/>
  <c r="D883" i="22"/>
  <c r="E883" i="22" s="1"/>
  <c r="D884" i="22"/>
  <c r="E884" i="22" s="1"/>
  <c r="D885" i="22"/>
  <c r="E885" i="22" s="1"/>
  <c r="D886" i="22"/>
  <c r="E886" i="22" s="1"/>
  <c r="D887" i="22"/>
  <c r="E887" i="22" s="1"/>
  <c r="D888" i="22"/>
  <c r="E888" i="22" s="1"/>
  <c r="D889" i="22"/>
  <c r="E889" i="22" s="1"/>
  <c r="D890" i="22"/>
  <c r="E890" i="22" s="1"/>
  <c r="D891" i="22"/>
  <c r="E891" i="22" s="1"/>
  <c r="D892" i="22"/>
  <c r="E892" i="22" s="1"/>
  <c r="D893" i="22"/>
  <c r="E893" i="22" s="1"/>
  <c r="D894" i="22"/>
  <c r="E894" i="22" s="1"/>
  <c r="D895" i="22"/>
  <c r="E895" i="22" s="1"/>
  <c r="D896" i="22"/>
  <c r="E896" i="22" s="1"/>
  <c r="D897" i="22"/>
  <c r="E897" i="22" s="1"/>
  <c r="D898" i="22"/>
  <c r="E898" i="22" s="1"/>
  <c r="D899" i="22"/>
  <c r="E899" i="22" s="1"/>
  <c r="D900" i="22"/>
  <c r="E900" i="22" s="1"/>
  <c r="D901" i="22"/>
  <c r="E901" i="22" s="1"/>
  <c r="D902" i="22"/>
  <c r="E902" i="22" s="1"/>
  <c r="D903" i="22"/>
  <c r="E903" i="22" s="1"/>
  <c r="D904" i="22"/>
  <c r="E904" i="22" s="1"/>
  <c r="D905" i="22"/>
  <c r="E905" i="22" s="1"/>
  <c r="D906" i="22"/>
  <c r="E906" i="22" s="1"/>
  <c r="D907" i="22"/>
  <c r="E907" i="22" s="1"/>
  <c r="D908" i="22"/>
  <c r="E908" i="22" s="1"/>
  <c r="D909" i="22"/>
  <c r="E909" i="22" s="1"/>
  <c r="D910" i="22"/>
  <c r="E910" i="22" s="1"/>
  <c r="D911" i="22"/>
  <c r="E911" i="22" s="1"/>
  <c r="D912" i="22"/>
  <c r="E912" i="22" s="1"/>
  <c r="D913" i="22"/>
  <c r="E913" i="22" s="1"/>
  <c r="D914" i="22"/>
  <c r="E914" i="22" s="1"/>
  <c r="D915" i="22"/>
  <c r="E915" i="22" s="1"/>
  <c r="D916" i="22"/>
  <c r="E916" i="22" s="1"/>
  <c r="D917" i="22"/>
  <c r="E917" i="22" s="1"/>
  <c r="D918" i="22"/>
  <c r="E918" i="22" s="1"/>
  <c r="D919" i="22"/>
  <c r="E919" i="22" s="1"/>
  <c r="D920" i="22"/>
  <c r="E920" i="22" s="1"/>
  <c r="D921" i="22"/>
  <c r="E921" i="22" s="1"/>
  <c r="D922" i="22"/>
  <c r="E922" i="22" s="1"/>
  <c r="D923" i="22"/>
  <c r="E923" i="22" s="1"/>
  <c r="D924" i="22"/>
  <c r="E924" i="22" s="1"/>
  <c r="D925" i="22"/>
  <c r="E925" i="22" s="1"/>
  <c r="D926" i="22"/>
  <c r="E926" i="22" s="1"/>
  <c r="D927" i="22"/>
  <c r="E927" i="22" s="1"/>
  <c r="D928" i="22"/>
  <c r="E928" i="22" s="1"/>
  <c r="D929" i="22"/>
  <c r="E929" i="22" s="1"/>
  <c r="D930" i="22"/>
  <c r="E930" i="22" s="1"/>
  <c r="D931" i="22"/>
  <c r="E931" i="22" s="1"/>
  <c r="D932" i="22"/>
  <c r="E932" i="22" s="1"/>
  <c r="D933" i="22"/>
  <c r="E933" i="22" s="1"/>
  <c r="D934" i="22"/>
  <c r="E934" i="22" s="1"/>
  <c r="D935" i="22"/>
  <c r="E935" i="22" s="1"/>
  <c r="D936" i="22"/>
  <c r="E936" i="22" s="1"/>
  <c r="D937" i="22"/>
  <c r="E937" i="22" s="1"/>
  <c r="D938" i="22"/>
  <c r="E938" i="22" s="1"/>
  <c r="D939" i="22"/>
  <c r="E939" i="22" s="1"/>
  <c r="D940" i="22"/>
  <c r="E940" i="22" s="1"/>
  <c r="D941" i="22"/>
  <c r="E941" i="22" s="1"/>
  <c r="D942" i="22"/>
  <c r="E942" i="22" s="1"/>
  <c r="D943" i="22"/>
  <c r="E943" i="22" s="1"/>
  <c r="D944" i="22"/>
  <c r="E944" i="22" s="1"/>
  <c r="D945" i="22"/>
  <c r="E945" i="22" s="1"/>
  <c r="D946" i="22"/>
  <c r="E946" i="22" s="1"/>
  <c r="D947" i="22"/>
  <c r="E947" i="22" s="1"/>
  <c r="D948" i="22"/>
  <c r="E948" i="22" s="1"/>
  <c r="D949" i="22"/>
  <c r="E949" i="22" s="1"/>
  <c r="D950" i="22"/>
  <c r="E950" i="22" s="1"/>
  <c r="D951" i="22"/>
  <c r="E951" i="22" s="1"/>
  <c r="D952" i="22"/>
  <c r="E952" i="22" s="1"/>
  <c r="D953" i="22"/>
  <c r="E953" i="22" s="1"/>
  <c r="D954" i="22"/>
  <c r="E954" i="22" s="1"/>
  <c r="D955" i="22"/>
  <c r="E955" i="22" s="1"/>
  <c r="D956" i="22"/>
  <c r="E956" i="22" s="1"/>
  <c r="D957" i="22"/>
  <c r="E957" i="22" s="1"/>
  <c r="D958" i="22"/>
  <c r="E958" i="22" s="1"/>
  <c r="D959" i="22"/>
  <c r="E959" i="22" s="1"/>
  <c r="D960" i="22"/>
  <c r="E960" i="22" s="1"/>
  <c r="D961" i="22"/>
  <c r="E961" i="22" s="1"/>
  <c r="D962" i="22"/>
  <c r="E962" i="22" s="1"/>
  <c r="D963" i="22"/>
  <c r="E963" i="22" s="1"/>
  <c r="D964" i="22"/>
  <c r="E964" i="22" s="1"/>
  <c r="D965" i="22"/>
  <c r="E965" i="22" s="1"/>
  <c r="D966" i="22"/>
  <c r="E966" i="22" s="1"/>
  <c r="D967" i="22"/>
  <c r="E967" i="22" s="1"/>
  <c r="D968" i="22"/>
  <c r="E968" i="22" s="1"/>
  <c r="D969" i="22"/>
  <c r="E969" i="22" s="1"/>
  <c r="D970" i="22"/>
  <c r="E970" i="22" s="1"/>
  <c r="D971" i="22"/>
  <c r="E971" i="22" s="1"/>
  <c r="D972" i="22"/>
  <c r="E972" i="22" s="1"/>
  <c r="D973" i="22"/>
  <c r="E973" i="22" s="1"/>
  <c r="D974" i="22"/>
  <c r="E974" i="22" s="1"/>
  <c r="D975" i="22"/>
  <c r="E975" i="22" s="1"/>
  <c r="D976" i="22"/>
  <c r="E976" i="22" s="1"/>
  <c r="D977" i="22"/>
  <c r="E977" i="22" s="1"/>
  <c r="D978" i="22"/>
  <c r="E978" i="22" s="1"/>
  <c r="D979" i="22"/>
  <c r="E979" i="22" s="1"/>
  <c r="D980" i="22"/>
  <c r="E980" i="22" s="1"/>
  <c r="D981" i="22"/>
  <c r="E981" i="22" s="1"/>
  <c r="D982" i="22"/>
  <c r="E982" i="22" s="1"/>
  <c r="D983" i="22"/>
  <c r="E983" i="22" s="1"/>
  <c r="D984" i="22"/>
  <c r="E984" i="22" s="1"/>
  <c r="D985" i="22"/>
  <c r="E985" i="22" s="1"/>
  <c r="D986" i="22"/>
  <c r="E986" i="22" s="1"/>
  <c r="D987" i="22"/>
  <c r="E987" i="22" s="1"/>
  <c r="D988" i="22"/>
  <c r="E988" i="22" s="1"/>
  <c r="D989" i="22"/>
  <c r="E989" i="22" s="1"/>
  <c r="D990" i="22"/>
  <c r="E990" i="22" s="1"/>
  <c r="D991" i="22"/>
  <c r="E991" i="22" s="1"/>
  <c r="D992" i="22"/>
  <c r="E992" i="22" s="1"/>
  <c r="D993" i="22"/>
  <c r="E993" i="22" s="1"/>
  <c r="D994" i="22"/>
  <c r="E994" i="22" s="1"/>
  <c r="D995" i="22"/>
  <c r="E995" i="22" s="1"/>
  <c r="D996" i="22"/>
  <c r="E996" i="22" s="1"/>
  <c r="D997" i="22"/>
  <c r="E997" i="22" s="1"/>
  <c r="D998" i="22"/>
  <c r="E998" i="22" s="1"/>
  <c r="D999" i="22"/>
  <c r="E999" i="22" s="1"/>
  <c r="D1000" i="22"/>
  <c r="E1000" i="22" s="1"/>
  <c r="D1001" i="22"/>
  <c r="E1001" i="22" s="1"/>
  <c r="D1002" i="22"/>
  <c r="E1002" i="22" s="1"/>
  <c r="D1003" i="22"/>
  <c r="E1003" i="22" s="1"/>
  <c r="D1004" i="22"/>
  <c r="E1004" i="22" s="1"/>
  <c r="D1005" i="22"/>
  <c r="E1005" i="22" s="1"/>
  <c r="D1006" i="22"/>
  <c r="E1006" i="22" s="1"/>
  <c r="D1007" i="22"/>
  <c r="E1007" i="22" s="1"/>
  <c r="D1008" i="22"/>
  <c r="E1008" i="22" s="1"/>
  <c r="D1009" i="22"/>
  <c r="E1009" i="22" s="1"/>
  <c r="D1010" i="22"/>
  <c r="E1010" i="22" s="1"/>
  <c r="D1011" i="22"/>
  <c r="E1011" i="22" s="1"/>
  <c r="D1012" i="22"/>
  <c r="E1012" i="22" s="1"/>
  <c r="D1013" i="22"/>
  <c r="E1013" i="22" s="1"/>
  <c r="D1014" i="22"/>
  <c r="E1014" i="22" s="1"/>
  <c r="D1015" i="22"/>
  <c r="E1015" i="22" s="1"/>
  <c r="D1016" i="22"/>
  <c r="E1016" i="22" s="1"/>
  <c r="D1017" i="22"/>
  <c r="E1017" i="22" s="1"/>
  <c r="D1018" i="22"/>
  <c r="E1018" i="22" s="1"/>
  <c r="D1019" i="22"/>
  <c r="E1019" i="22" s="1"/>
  <c r="D1020" i="22"/>
  <c r="E1020" i="22" s="1"/>
  <c r="D1021" i="22"/>
  <c r="E1021" i="22" s="1"/>
  <c r="D1022" i="22"/>
  <c r="E1022" i="22" s="1"/>
  <c r="D1023" i="22"/>
  <c r="E1023" i="22" s="1"/>
  <c r="D1024" i="22"/>
  <c r="E1024" i="22" s="1"/>
  <c r="D1025" i="22"/>
  <c r="E1025" i="22" s="1"/>
  <c r="D1026" i="22"/>
  <c r="E1026" i="22" s="1"/>
  <c r="D1027" i="22"/>
  <c r="E1027" i="22" s="1"/>
  <c r="D1028" i="22"/>
  <c r="E1028" i="22" s="1"/>
  <c r="D1029" i="22"/>
  <c r="E1029" i="22" s="1"/>
  <c r="D1030" i="22"/>
  <c r="E1030" i="22" s="1"/>
  <c r="D1031" i="22"/>
  <c r="E1031" i="22" s="1"/>
  <c r="D1032" i="22"/>
  <c r="E1032" i="22" s="1"/>
  <c r="D1033" i="22"/>
  <c r="E1033" i="22" s="1"/>
  <c r="D1034" i="22"/>
  <c r="E1034" i="22" s="1"/>
  <c r="D1035" i="22"/>
  <c r="E1035" i="22" s="1"/>
  <c r="D1036" i="22"/>
  <c r="E1036" i="22" s="1"/>
  <c r="D1037" i="22"/>
  <c r="E1037" i="22" s="1"/>
  <c r="D1038" i="22"/>
  <c r="E1038" i="22" s="1"/>
  <c r="D1039" i="22"/>
  <c r="E1039" i="22" s="1"/>
  <c r="D1040" i="22"/>
  <c r="E1040" i="22" s="1"/>
  <c r="D1041" i="22"/>
  <c r="E1041" i="22" s="1"/>
  <c r="D1042" i="22"/>
  <c r="E1042" i="22" s="1"/>
  <c r="D1043" i="22"/>
  <c r="E1043" i="22" s="1"/>
  <c r="D1044" i="22"/>
  <c r="E1044" i="22" s="1"/>
  <c r="D1045" i="22"/>
  <c r="E1045" i="22" s="1"/>
  <c r="D1046" i="22"/>
  <c r="E1046" i="22" s="1"/>
  <c r="D1047" i="22"/>
  <c r="E1047" i="22" s="1"/>
  <c r="D1048" i="22"/>
  <c r="E1048" i="22" s="1"/>
  <c r="D1049" i="22"/>
  <c r="E1049" i="22" s="1"/>
  <c r="D1050" i="22"/>
  <c r="E1050" i="22" s="1"/>
  <c r="D1051" i="22"/>
  <c r="E1051" i="22" s="1"/>
  <c r="D1052" i="22"/>
  <c r="E1052" i="22" s="1"/>
  <c r="D1053" i="22"/>
  <c r="E1053" i="22" s="1"/>
  <c r="D1054" i="22"/>
  <c r="E1054" i="22" s="1"/>
  <c r="D1055" i="22"/>
  <c r="E1055" i="22" s="1"/>
  <c r="D1056" i="22"/>
  <c r="E1056" i="22" s="1"/>
  <c r="D1057" i="22"/>
  <c r="E1057" i="22" s="1"/>
  <c r="D1058" i="22"/>
  <c r="E1058" i="22" s="1"/>
  <c r="D1059" i="22"/>
  <c r="E1059" i="22" s="1"/>
  <c r="D1060" i="22"/>
  <c r="E1060" i="22" s="1"/>
  <c r="D1061" i="22"/>
  <c r="E1061" i="22" s="1"/>
  <c r="D1062" i="22"/>
  <c r="E1062" i="22" s="1"/>
  <c r="D1063" i="22"/>
  <c r="E1063" i="22" s="1"/>
  <c r="D1064" i="22"/>
  <c r="E1064" i="22" s="1"/>
  <c r="D1065" i="22"/>
  <c r="E1065" i="22" s="1"/>
  <c r="D1066" i="22"/>
  <c r="E1066" i="22" s="1"/>
  <c r="D1067" i="22"/>
  <c r="E1067" i="22" s="1"/>
  <c r="D1068" i="22"/>
  <c r="E1068" i="22" s="1"/>
  <c r="D1069" i="22"/>
  <c r="E1069" i="22" s="1"/>
  <c r="D1070" i="22"/>
  <c r="E1070" i="22" s="1"/>
  <c r="D1071" i="22"/>
  <c r="E1071" i="22" s="1"/>
  <c r="D1072" i="22"/>
  <c r="E1072" i="22" s="1"/>
  <c r="D1073" i="22"/>
  <c r="E1073" i="22" s="1"/>
  <c r="D1074" i="22"/>
  <c r="E1074" i="22" s="1"/>
  <c r="D1075" i="22"/>
  <c r="E1075" i="22" s="1"/>
  <c r="D1076" i="22"/>
  <c r="E1076" i="22" s="1"/>
  <c r="D1077" i="22"/>
  <c r="E1077" i="22" s="1"/>
  <c r="D1078" i="22"/>
  <c r="E1078" i="22" s="1"/>
  <c r="D1079" i="22"/>
  <c r="E1079" i="22" s="1"/>
  <c r="D1080" i="22"/>
  <c r="E1080" i="22" s="1"/>
  <c r="D1081" i="22"/>
  <c r="E1081" i="22" s="1"/>
  <c r="D1082" i="22"/>
  <c r="E1082" i="22" s="1"/>
  <c r="D1083" i="22"/>
  <c r="E1083" i="22" s="1"/>
  <c r="D1084" i="22"/>
  <c r="E1084" i="22" s="1"/>
  <c r="D1085" i="22"/>
  <c r="E1085" i="22" s="1"/>
  <c r="D1086" i="22"/>
  <c r="E1086" i="22" s="1"/>
  <c r="D1087" i="22"/>
  <c r="E1087" i="22" s="1"/>
  <c r="D1088" i="22"/>
  <c r="E1088" i="22" s="1"/>
  <c r="D1089" i="22"/>
  <c r="E1089" i="22" s="1"/>
  <c r="D1090" i="22"/>
  <c r="E1090" i="22" s="1"/>
  <c r="D1091" i="22"/>
  <c r="E1091" i="22" s="1"/>
  <c r="D1092" i="22"/>
  <c r="E1092" i="22" s="1"/>
  <c r="D1093" i="22"/>
  <c r="E1093" i="22" s="1"/>
  <c r="D1094" i="22"/>
  <c r="E1094" i="22" s="1"/>
  <c r="D1095" i="22"/>
  <c r="E1095" i="22" s="1"/>
  <c r="D1096" i="22"/>
  <c r="E1096" i="22" s="1"/>
  <c r="D1097" i="22"/>
  <c r="E1097" i="22" s="1"/>
  <c r="D1098" i="22"/>
  <c r="E1098" i="22" s="1"/>
  <c r="D1099" i="22"/>
  <c r="E1099" i="22" s="1"/>
  <c r="D1100" i="22"/>
  <c r="E1100" i="22" s="1"/>
  <c r="D1101" i="22"/>
  <c r="E1101" i="22" s="1"/>
  <c r="D1102" i="22"/>
  <c r="E1102" i="22" s="1"/>
  <c r="D1103" i="22"/>
  <c r="E1103" i="22" s="1"/>
  <c r="D1104" i="22"/>
  <c r="E1104" i="22" s="1"/>
  <c r="D1105" i="22"/>
  <c r="E1105" i="22" s="1"/>
  <c r="D1106" i="22"/>
  <c r="E1106" i="22" s="1"/>
  <c r="D1107" i="22"/>
  <c r="E1107" i="22" s="1"/>
  <c r="D1108" i="22"/>
  <c r="E1108" i="22" s="1"/>
  <c r="D1109" i="22"/>
  <c r="E1109" i="22" s="1"/>
  <c r="D1110" i="22"/>
  <c r="E1110" i="22" s="1"/>
  <c r="D1111" i="22"/>
  <c r="E1111" i="22" s="1"/>
  <c r="D1112" i="22"/>
  <c r="E1112" i="22" s="1"/>
  <c r="D1113" i="22"/>
  <c r="E1113" i="22" s="1"/>
  <c r="D1114" i="22"/>
  <c r="E1114" i="22" s="1"/>
  <c r="D1115" i="22"/>
  <c r="E1115" i="22" s="1"/>
  <c r="D1116" i="22"/>
  <c r="E1116" i="22" s="1"/>
  <c r="D1117" i="22"/>
  <c r="E1117" i="22" s="1"/>
  <c r="D1118" i="22"/>
  <c r="E1118" i="22" s="1"/>
  <c r="D1119" i="22"/>
  <c r="E1119" i="22" s="1"/>
  <c r="D1120" i="22"/>
  <c r="E1120" i="22" s="1"/>
  <c r="D1121" i="22"/>
  <c r="E1121" i="22" s="1"/>
  <c r="D1122" i="22"/>
  <c r="E1122" i="22" s="1"/>
  <c r="D1123" i="22"/>
  <c r="E1123" i="22" s="1"/>
  <c r="D1124" i="22"/>
  <c r="E1124" i="22" s="1"/>
  <c r="D1125" i="22"/>
  <c r="E1125" i="22" s="1"/>
  <c r="D1126" i="22"/>
  <c r="E1126" i="22" s="1"/>
  <c r="D1127" i="22"/>
  <c r="E1127" i="22" s="1"/>
  <c r="D1128" i="22"/>
  <c r="E1128" i="22" s="1"/>
  <c r="D1129" i="22"/>
  <c r="E1129" i="22" s="1"/>
  <c r="D1130" i="22"/>
  <c r="E1130" i="22" s="1"/>
  <c r="D1131" i="22"/>
  <c r="E1131" i="22" s="1"/>
  <c r="D1132" i="22"/>
  <c r="E1132" i="22" s="1"/>
  <c r="D1133" i="22"/>
  <c r="E1133" i="22" s="1"/>
  <c r="D1134" i="22"/>
  <c r="E1134" i="22" s="1"/>
  <c r="D1135" i="22"/>
  <c r="E1135" i="22" s="1"/>
  <c r="D1136" i="22"/>
  <c r="E1136" i="22" s="1"/>
  <c r="D1137" i="22"/>
  <c r="E1137" i="22" s="1"/>
  <c r="D1138" i="22"/>
  <c r="E1138" i="22" s="1"/>
  <c r="D1139" i="22"/>
  <c r="E1139" i="22" s="1"/>
  <c r="D1140" i="22"/>
  <c r="E1140" i="22" s="1"/>
  <c r="D1141" i="22"/>
  <c r="E1141" i="22" s="1"/>
  <c r="D1142" i="22"/>
  <c r="E1142" i="22" s="1"/>
  <c r="D1143" i="22"/>
  <c r="E1143" i="22" s="1"/>
  <c r="D1144" i="22"/>
  <c r="E1144" i="22" s="1"/>
  <c r="D1145" i="22"/>
  <c r="E1145" i="22" s="1"/>
  <c r="D1146" i="22"/>
  <c r="E1146" i="22" s="1"/>
  <c r="D1147" i="22"/>
  <c r="E1147" i="22" s="1"/>
  <c r="D1148" i="22"/>
  <c r="E1148" i="22" s="1"/>
  <c r="D1149" i="22"/>
  <c r="E1149" i="22" s="1"/>
  <c r="D1150" i="22"/>
  <c r="E1150" i="22" s="1"/>
  <c r="D1151" i="22"/>
  <c r="E1151" i="22" s="1"/>
  <c r="D1152" i="22"/>
  <c r="E1152" i="22" s="1"/>
  <c r="D1153" i="22"/>
  <c r="E1153" i="22" s="1"/>
  <c r="D1154" i="22"/>
  <c r="E1154" i="22" s="1"/>
  <c r="D1155" i="22"/>
  <c r="E1155" i="22" s="1"/>
  <c r="D1156" i="22"/>
  <c r="E1156" i="22" s="1"/>
  <c r="D1157" i="22"/>
  <c r="E1157" i="22" s="1"/>
  <c r="D1158" i="22"/>
  <c r="E1158" i="22" s="1"/>
  <c r="D1159" i="22"/>
  <c r="E1159" i="22" s="1"/>
  <c r="D1160" i="22"/>
  <c r="E1160" i="22" s="1"/>
  <c r="D1161" i="22"/>
  <c r="E1161" i="22" s="1"/>
  <c r="D1162" i="22"/>
  <c r="E1162" i="22" s="1"/>
  <c r="D1163" i="22"/>
  <c r="E1163" i="22" s="1"/>
  <c r="D1164" i="22"/>
  <c r="E1164" i="22" s="1"/>
  <c r="D1165" i="22"/>
  <c r="E1165" i="22" s="1"/>
  <c r="D1166" i="22"/>
  <c r="E1166" i="22" s="1"/>
  <c r="D1167" i="22"/>
  <c r="E1167" i="22" s="1"/>
  <c r="D1168" i="22"/>
  <c r="E1168" i="22" s="1"/>
  <c r="D1169" i="22"/>
  <c r="E1169" i="22" s="1"/>
  <c r="D1170" i="22"/>
  <c r="E1170" i="22" s="1"/>
  <c r="D1171" i="22"/>
  <c r="E1171" i="22" s="1"/>
  <c r="D1172" i="22"/>
  <c r="E1172" i="22" s="1"/>
  <c r="D1173" i="22"/>
  <c r="E1173" i="22" s="1"/>
  <c r="D1174" i="22"/>
  <c r="E1174" i="22" s="1"/>
  <c r="D1175" i="22"/>
  <c r="E1175" i="22" s="1"/>
  <c r="D1176" i="22"/>
  <c r="E1176" i="22" s="1"/>
  <c r="D1177" i="22"/>
  <c r="E1177" i="22" s="1"/>
  <c r="D1178" i="22"/>
  <c r="E1178" i="22" s="1"/>
  <c r="D1179" i="22"/>
  <c r="E1179" i="22" s="1"/>
  <c r="D1180" i="22"/>
  <c r="E1180" i="22" s="1"/>
  <c r="D1181" i="22"/>
  <c r="E1181" i="22" s="1"/>
  <c r="D1182" i="22"/>
  <c r="E1182" i="22" s="1"/>
  <c r="D1183" i="22"/>
  <c r="E1183" i="22" s="1"/>
  <c r="D1184" i="22"/>
  <c r="E1184" i="22" s="1"/>
  <c r="D1185" i="22"/>
  <c r="E1185" i="22" s="1"/>
  <c r="D1186" i="22"/>
  <c r="E1186" i="22" s="1"/>
  <c r="D1187" i="22"/>
  <c r="E1187" i="22" s="1"/>
  <c r="D1188" i="22"/>
  <c r="E1188" i="22" s="1"/>
  <c r="D1189" i="22"/>
  <c r="E1189" i="22" s="1"/>
  <c r="D1190" i="22"/>
  <c r="E1190" i="22" s="1"/>
  <c r="D1191" i="22"/>
  <c r="E1191" i="22" s="1"/>
  <c r="D1192" i="22"/>
  <c r="E1192" i="22" s="1"/>
  <c r="D1193" i="22"/>
  <c r="E1193" i="22" s="1"/>
  <c r="D1194" i="22"/>
  <c r="E1194" i="22" s="1"/>
  <c r="D1195" i="22"/>
  <c r="E1195" i="22" s="1"/>
  <c r="D1196" i="22"/>
  <c r="E1196" i="22" s="1"/>
  <c r="D1197" i="22"/>
  <c r="E1197" i="22" s="1"/>
  <c r="D1198" i="22"/>
  <c r="E1198" i="22" s="1"/>
  <c r="D1199" i="22"/>
  <c r="E1199" i="22" s="1"/>
  <c r="D1200" i="22"/>
  <c r="E1200" i="22" s="1"/>
  <c r="D1201" i="22"/>
  <c r="E1201" i="22" s="1"/>
  <c r="D1202" i="22"/>
  <c r="E1202" i="22" s="1"/>
  <c r="D1203" i="22"/>
  <c r="E1203" i="22" s="1"/>
  <c r="D1204" i="22"/>
  <c r="E1204" i="22" s="1"/>
  <c r="D1205" i="22"/>
  <c r="E1205" i="22" s="1"/>
  <c r="D1206" i="22"/>
  <c r="E1206" i="22" s="1"/>
  <c r="D1207" i="22"/>
  <c r="E1207" i="22" s="1"/>
  <c r="D1208" i="22"/>
  <c r="E1208" i="22" s="1"/>
  <c r="D1209" i="22"/>
  <c r="E1209" i="22" s="1"/>
  <c r="D1210" i="22"/>
  <c r="E1210" i="22" s="1"/>
  <c r="D1211" i="22"/>
  <c r="E1211" i="22" s="1"/>
  <c r="D1212" i="22"/>
  <c r="E1212" i="22" s="1"/>
  <c r="D1213" i="22"/>
  <c r="E1213" i="22" s="1"/>
  <c r="D1214" i="22"/>
  <c r="E1214" i="22" s="1"/>
  <c r="D1215" i="22"/>
  <c r="E1215" i="22" s="1"/>
  <c r="D1615" i="22"/>
  <c r="E1615" i="22" s="1"/>
  <c r="D1695" i="22"/>
  <c r="E1695" i="22" s="1"/>
  <c r="D1759" i="22"/>
  <c r="E1759" i="22" s="1"/>
  <c r="D1823" i="22"/>
  <c r="E1823" i="22" s="1"/>
  <c r="D1887" i="22"/>
  <c r="E1887" i="22" s="1"/>
  <c r="D1943" i="22"/>
  <c r="E1943" i="22" s="1"/>
  <c r="D2015" i="22"/>
  <c r="E2015" i="22" s="1"/>
  <c r="B1216" i="22"/>
  <c r="D1216" i="22" s="1"/>
  <c r="E1216" i="22" s="1"/>
  <c r="B1217" i="22"/>
  <c r="D1217" i="22" s="1"/>
  <c r="E1217" i="22" s="1"/>
  <c r="B1218" i="22"/>
  <c r="D1218" i="22" s="1"/>
  <c r="E1218" i="22" s="1"/>
  <c r="B1219" i="22"/>
  <c r="D1219" i="22" s="1"/>
  <c r="E1219" i="22" s="1"/>
  <c r="B1220" i="22"/>
  <c r="D1220" i="22" s="1"/>
  <c r="E1220" i="22" s="1"/>
  <c r="B1221" i="22"/>
  <c r="D1221" i="22" s="1"/>
  <c r="E1221" i="22" s="1"/>
  <c r="B1222" i="22"/>
  <c r="D1222" i="22" s="1"/>
  <c r="E1222" i="22" s="1"/>
  <c r="B1223" i="22"/>
  <c r="D1223" i="22" s="1"/>
  <c r="E1223" i="22" s="1"/>
  <c r="B1224" i="22"/>
  <c r="D1224" i="22" s="1"/>
  <c r="E1224" i="22" s="1"/>
  <c r="B1225" i="22"/>
  <c r="D1225" i="22" s="1"/>
  <c r="E1225" i="22" s="1"/>
  <c r="B1226" i="22"/>
  <c r="D1226" i="22" s="1"/>
  <c r="E1226" i="22" s="1"/>
  <c r="B1227" i="22"/>
  <c r="D1227" i="22" s="1"/>
  <c r="E1227" i="22" s="1"/>
  <c r="B1228" i="22"/>
  <c r="D1228" i="22" s="1"/>
  <c r="E1228" i="22" s="1"/>
  <c r="B1229" i="22"/>
  <c r="D1229" i="22" s="1"/>
  <c r="E1229" i="22" s="1"/>
  <c r="B1230" i="22"/>
  <c r="D1230" i="22" s="1"/>
  <c r="E1230" i="22" s="1"/>
  <c r="B1231" i="22"/>
  <c r="D1231" i="22" s="1"/>
  <c r="E1231" i="22" s="1"/>
  <c r="B1232" i="22"/>
  <c r="D1232" i="22" s="1"/>
  <c r="E1232" i="22" s="1"/>
  <c r="B1233" i="22"/>
  <c r="D1233" i="22" s="1"/>
  <c r="E1233" i="22" s="1"/>
  <c r="B1234" i="22"/>
  <c r="D1234" i="22" s="1"/>
  <c r="E1234" i="22" s="1"/>
  <c r="B1235" i="22"/>
  <c r="D1235" i="22" s="1"/>
  <c r="E1235" i="22" s="1"/>
  <c r="B1236" i="22"/>
  <c r="D1236" i="22" s="1"/>
  <c r="E1236" i="22" s="1"/>
  <c r="B1237" i="22"/>
  <c r="D1237" i="22" s="1"/>
  <c r="E1237" i="22" s="1"/>
  <c r="B1238" i="22"/>
  <c r="D1238" i="22" s="1"/>
  <c r="E1238" i="22" s="1"/>
  <c r="B1239" i="22"/>
  <c r="D1239" i="22" s="1"/>
  <c r="E1239" i="22" s="1"/>
  <c r="B1240" i="22"/>
  <c r="D1240" i="22" s="1"/>
  <c r="E1240" i="22" s="1"/>
  <c r="B1241" i="22"/>
  <c r="D1241" i="22" s="1"/>
  <c r="E1241" i="22" s="1"/>
  <c r="B1242" i="22"/>
  <c r="D1242" i="22" s="1"/>
  <c r="E1242" i="22" s="1"/>
  <c r="B1243" i="22"/>
  <c r="D1243" i="22" s="1"/>
  <c r="E1243" i="22" s="1"/>
  <c r="B1244" i="22"/>
  <c r="D1244" i="22" s="1"/>
  <c r="E1244" i="22" s="1"/>
  <c r="B1245" i="22"/>
  <c r="D1245" i="22" s="1"/>
  <c r="E1245" i="22" s="1"/>
  <c r="B1246" i="22"/>
  <c r="D1246" i="22" s="1"/>
  <c r="E1246" i="22" s="1"/>
  <c r="B1247" i="22"/>
  <c r="D1247" i="22" s="1"/>
  <c r="E1247" i="22" s="1"/>
  <c r="B1248" i="22"/>
  <c r="D1248" i="22" s="1"/>
  <c r="E1248" i="22" s="1"/>
  <c r="B1249" i="22"/>
  <c r="D1249" i="22" s="1"/>
  <c r="E1249" i="22" s="1"/>
  <c r="B1250" i="22"/>
  <c r="D1250" i="22" s="1"/>
  <c r="E1250" i="22" s="1"/>
  <c r="B1251" i="22"/>
  <c r="D1251" i="22" s="1"/>
  <c r="E1251" i="22" s="1"/>
  <c r="B1252" i="22"/>
  <c r="D1252" i="22" s="1"/>
  <c r="E1252" i="22" s="1"/>
  <c r="B1253" i="22"/>
  <c r="D1253" i="22" s="1"/>
  <c r="E1253" i="22" s="1"/>
  <c r="B1254" i="22"/>
  <c r="D1254" i="22" s="1"/>
  <c r="E1254" i="22" s="1"/>
  <c r="B1255" i="22"/>
  <c r="D1255" i="22" s="1"/>
  <c r="E1255" i="22" s="1"/>
  <c r="B1256" i="22"/>
  <c r="D1256" i="22" s="1"/>
  <c r="E1256" i="22" s="1"/>
  <c r="B1257" i="22"/>
  <c r="D1257" i="22" s="1"/>
  <c r="E1257" i="22" s="1"/>
  <c r="B1258" i="22"/>
  <c r="D1258" i="22" s="1"/>
  <c r="E1258" i="22" s="1"/>
  <c r="B1259" i="22"/>
  <c r="D1259" i="22" s="1"/>
  <c r="E1259" i="22" s="1"/>
  <c r="B1260" i="22"/>
  <c r="D1260" i="22" s="1"/>
  <c r="E1260" i="22" s="1"/>
  <c r="B1261" i="22"/>
  <c r="D1261" i="22" s="1"/>
  <c r="E1261" i="22" s="1"/>
  <c r="B1262" i="22"/>
  <c r="D1262" i="22" s="1"/>
  <c r="E1262" i="22" s="1"/>
  <c r="B1263" i="22"/>
  <c r="D1263" i="22" s="1"/>
  <c r="E1263" i="22" s="1"/>
  <c r="B1264" i="22"/>
  <c r="D1264" i="22" s="1"/>
  <c r="E1264" i="22" s="1"/>
  <c r="B1265" i="22"/>
  <c r="D1265" i="22" s="1"/>
  <c r="E1265" i="22" s="1"/>
  <c r="B1266" i="22"/>
  <c r="D1266" i="22" s="1"/>
  <c r="E1266" i="22" s="1"/>
  <c r="B1267" i="22"/>
  <c r="D1267" i="22" s="1"/>
  <c r="E1267" i="22" s="1"/>
  <c r="B1268" i="22"/>
  <c r="D1268" i="22" s="1"/>
  <c r="E1268" i="22" s="1"/>
  <c r="B1269" i="22"/>
  <c r="D1269" i="22" s="1"/>
  <c r="E1269" i="22" s="1"/>
  <c r="B1270" i="22"/>
  <c r="D1270" i="22" s="1"/>
  <c r="E1270" i="22" s="1"/>
  <c r="B1271" i="22"/>
  <c r="D1271" i="22" s="1"/>
  <c r="E1271" i="22" s="1"/>
  <c r="B1272" i="22"/>
  <c r="D1272" i="22" s="1"/>
  <c r="E1272" i="22" s="1"/>
  <c r="B1273" i="22"/>
  <c r="D1273" i="22" s="1"/>
  <c r="E1273" i="22" s="1"/>
  <c r="B1274" i="22"/>
  <c r="D1274" i="22" s="1"/>
  <c r="E1274" i="22" s="1"/>
  <c r="B1275" i="22"/>
  <c r="D1275" i="22" s="1"/>
  <c r="E1275" i="22" s="1"/>
  <c r="B1276" i="22"/>
  <c r="D1276" i="22" s="1"/>
  <c r="E1276" i="22" s="1"/>
  <c r="B1277" i="22"/>
  <c r="D1277" i="22" s="1"/>
  <c r="E1277" i="22" s="1"/>
  <c r="B1278" i="22"/>
  <c r="D1278" i="22" s="1"/>
  <c r="E1278" i="22" s="1"/>
  <c r="B1279" i="22"/>
  <c r="D1279" i="22" s="1"/>
  <c r="E1279" i="22" s="1"/>
  <c r="B1280" i="22"/>
  <c r="D1280" i="22" s="1"/>
  <c r="E1280" i="22" s="1"/>
  <c r="B1281" i="22"/>
  <c r="D1281" i="22" s="1"/>
  <c r="E1281" i="22" s="1"/>
  <c r="B1282" i="22"/>
  <c r="D1282" i="22" s="1"/>
  <c r="E1282" i="22" s="1"/>
  <c r="B1283" i="22"/>
  <c r="D1283" i="22" s="1"/>
  <c r="E1283" i="22" s="1"/>
  <c r="B1284" i="22"/>
  <c r="D1284" i="22" s="1"/>
  <c r="E1284" i="22" s="1"/>
  <c r="B1285" i="22"/>
  <c r="D1285" i="22" s="1"/>
  <c r="E1285" i="22" s="1"/>
  <c r="B1286" i="22"/>
  <c r="D1286" i="22" s="1"/>
  <c r="E1286" i="22" s="1"/>
  <c r="B1287" i="22"/>
  <c r="D1287" i="22" s="1"/>
  <c r="E1287" i="22" s="1"/>
  <c r="B1288" i="22"/>
  <c r="D1288" i="22" s="1"/>
  <c r="E1288" i="22" s="1"/>
  <c r="B1289" i="22"/>
  <c r="D1289" i="22" s="1"/>
  <c r="E1289" i="22" s="1"/>
  <c r="B1290" i="22"/>
  <c r="D1290" i="22" s="1"/>
  <c r="E1290" i="22" s="1"/>
  <c r="B1291" i="22"/>
  <c r="D1291" i="22" s="1"/>
  <c r="E1291" i="22" s="1"/>
  <c r="B1292" i="22"/>
  <c r="D1292" i="22" s="1"/>
  <c r="E1292" i="22" s="1"/>
  <c r="B1293" i="22"/>
  <c r="D1293" i="22" s="1"/>
  <c r="E1293" i="22" s="1"/>
  <c r="B1294" i="22"/>
  <c r="D1294" i="22" s="1"/>
  <c r="E1294" i="22" s="1"/>
  <c r="B1295" i="22"/>
  <c r="D1295" i="22" s="1"/>
  <c r="E1295" i="22" s="1"/>
  <c r="B1296" i="22"/>
  <c r="D1296" i="22" s="1"/>
  <c r="E1296" i="22" s="1"/>
  <c r="B1297" i="22"/>
  <c r="D1297" i="22" s="1"/>
  <c r="E1297" i="22" s="1"/>
  <c r="B1298" i="22"/>
  <c r="D1298" i="22" s="1"/>
  <c r="E1298" i="22" s="1"/>
  <c r="B1299" i="22"/>
  <c r="D1299" i="22" s="1"/>
  <c r="E1299" i="22" s="1"/>
  <c r="B1300" i="22"/>
  <c r="D1300" i="22" s="1"/>
  <c r="E1300" i="22" s="1"/>
  <c r="B1301" i="22"/>
  <c r="D1301" i="22" s="1"/>
  <c r="E1301" i="22" s="1"/>
  <c r="B1302" i="22"/>
  <c r="D1302" i="22" s="1"/>
  <c r="E1302" i="22" s="1"/>
  <c r="B1303" i="22"/>
  <c r="D1303" i="22" s="1"/>
  <c r="E1303" i="22" s="1"/>
  <c r="B1304" i="22"/>
  <c r="D1304" i="22" s="1"/>
  <c r="E1304" i="22" s="1"/>
  <c r="B1305" i="22"/>
  <c r="D1305" i="22" s="1"/>
  <c r="E1305" i="22" s="1"/>
  <c r="B1306" i="22"/>
  <c r="D1306" i="22" s="1"/>
  <c r="E1306" i="22" s="1"/>
  <c r="B1307" i="22"/>
  <c r="D1307" i="22" s="1"/>
  <c r="E1307" i="22" s="1"/>
  <c r="B1308" i="22"/>
  <c r="D1308" i="22" s="1"/>
  <c r="E1308" i="22" s="1"/>
  <c r="B1309" i="22"/>
  <c r="D1309" i="22" s="1"/>
  <c r="E1309" i="22" s="1"/>
  <c r="B1310" i="22"/>
  <c r="D1310" i="22" s="1"/>
  <c r="E1310" i="22" s="1"/>
  <c r="B1311" i="22"/>
  <c r="D1311" i="22" s="1"/>
  <c r="E1311" i="22" s="1"/>
  <c r="B1312" i="22"/>
  <c r="D1312" i="22" s="1"/>
  <c r="E1312" i="22" s="1"/>
  <c r="B1313" i="22"/>
  <c r="D1313" i="22" s="1"/>
  <c r="E1313" i="22" s="1"/>
  <c r="B1314" i="22"/>
  <c r="D1314" i="22" s="1"/>
  <c r="E1314" i="22" s="1"/>
  <c r="B1315" i="22"/>
  <c r="D1315" i="22" s="1"/>
  <c r="E1315" i="22" s="1"/>
  <c r="B1316" i="22"/>
  <c r="D1316" i="22" s="1"/>
  <c r="E1316" i="22" s="1"/>
  <c r="B1317" i="22"/>
  <c r="D1317" i="22" s="1"/>
  <c r="E1317" i="22" s="1"/>
  <c r="B1318" i="22"/>
  <c r="D1318" i="22" s="1"/>
  <c r="E1318" i="22" s="1"/>
  <c r="B1319" i="22"/>
  <c r="D1319" i="22" s="1"/>
  <c r="E1319" i="22" s="1"/>
  <c r="B1320" i="22"/>
  <c r="D1320" i="22" s="1"/>
  <c r="E1320" i="22" s="1"/>
  <c r="B1321" i="22"/>
  <c r="D1321" i="22" s="1"/>
  <c r="E1321" i="22" s="1"/>
  <c r="B1322" i="22"/>
  <c r="D1322" i="22" s="1"/>
  <c r="E1322" i="22" s="1"/>
  <c r="B1323" i="22"/>
  <c r="D1323" i="22" s="1"/>
  <c r="E1323" i="22" s="1"/>
  <c r="B1324" i="22"/>
  <c r="D1324" i="22" s="1"/>
  <c r="E1324" i="22" s="1"/>
  <c r="B1325" i="22"/>
  <c r="D1325" i="22" s="1"/>
  <c r="E1325" i="22" s="1"/>
  <c r="B1326" i="22"/>
  <c r="D1326" i="22" s="1"/>
  <c r="E1326" i="22" s="1"/>
  <c r="B1327" i="22"/>
  <c r="D1327" i="22" s="1"/>
  <c r="E1327" i="22" s="1"/>
  <c r="B1328" i="22"/>
  <c r="D1328" i="22" s="1"/>
  <c r="E1328" i="22" s="1"/>
  <c r="B1329" i="22"/>
  <c r="D1329" i="22" s="1"/>
  <c r="E1329" i="22" s="1"/>
  <c r="B1330" i="22"/>
  <c r="D1330" i="22" s="1"/>
  <c r="E1330" i="22" s="1"/>
  <c r="B1331" i="22"/>
  <c r="D1331" i="22" s="1"/>
  <c r="E1331" i="22" s="1"/>
  <c r="B1332" i="22"/>
  <c r="D1332" i="22" s="1"/>
  <c r="E1332" i="22" s="1"/>
  <c r="B1333" i="22"/>
  <c r="D1333" i="22" s="1"/>
  <c r="E1333" i="22" s="1"/>
  <c r="B1334" i="22"/>
  <c r="D1334" i="22" s="1"/>
  <c r="E1334" i="22" s="1"/>
  <c r="B1335" i="22"/>
  <c r="D1335" i="22" s="1"/>
  <c r="E1335" i="22" s="1"/>
  <c r="B1336" i="22"/>
  <c r="D1336" i="22" s="1"/>
  <c r="E1336" i="22" s="1"/>
  <c r="B1337" i="22"/>
  <c r="D1337" i="22" s="1"/>
  <c r="E1337" i="22" s="1"/>
  <c r="B1338" i="22"/>
  <c r="D1338" i="22" s="1"/>
  <c r="E1338" i="22" s="1"/>
  <c r="B1339" i="22"/>
  <c r="D1339" i="22" s="1"/>
  <c r="E1339" i="22" s="1"/>
  <c r="B1340" i="22"/>
  <c r="D1340" i="22" s="1"/>
  <c r="E1340" i="22" s="1"/>
  <c r="B1341" i="22"/>
  <c r="D1341" i="22" s="1"/>
  <c r="E1341" i="22" s="1"/>
  <c r="B1342" i="22"/>
  <c r="D1342" i="22" s="1"/>
  <c r="E1342" i="22" s="1"/>
  <c r="B1343" i="22"/>
  <c r="D1343" i="22" s="1"/>
  <c r="E1343" i="22" s="1"/>
  <c r="B1344" i="22"/>
  <c r="D1344" i="22" s="1"/>
  <c r="E1344" i="22" s="1"/>
  <c r="B1345" i="22"/>
  <c r="D1345" i="22" s="1"/>
  <c r="E1345" i="22" s="1"/>
  <c r="B1346" i="22"/>
  <c r="D1346" i="22" s="1"/>
  <c r="E1346" i="22" s="1"/>
  <c r="B1347" i="22"/>
  <c r="D1347" i="22" s="1"/>
  <c r="E1347" i="22" s="1"/>
  <c r="B1348" i="22"/>
  <c r="D1348" i="22" s="1"/>
  <c r="E1348" i="22" s="1"/>
  <c r="B1349" i="22"/>
  <c r="D1349" i="22" s="1"/>
  <c r="E1349" i="22" s="1"/>
  <c r="B1350" i="22"/>
  <c r="D1350" i="22" s="1"/>
  <c r="E1350" i="22" s="1"/>
  <c r="B1351" i="22"/>
  <c r="D1351" i="22" s="1"/>
  <c r="E1351" i="22" s="1"/>
  <c r="B1352" i="22"/>
  <c r="D1352" i="22" s="1"/>
  <c r="E1352" i="22" s="1"/>
  <c r="B1353" i="22"/>
  <c r="D1353" i="22" s="1"/>
  <c r="E1353" i="22" s="1"/>
  <c r="B1354" i="22"/>
  <c r="D1354" i="22" s="1"/>
  <c r="E1354" i="22" s="1"/>
  <c r="B1355" i="22"/>
  <c r="D1355" i="22" s="1"/>
  <c r="E1355" i="22" s="1"/>
  <c r="B1356" i="22"/>
  <c r="D1356" i="22" s="1"/>
  <c r="E1356" i="22" s="1"/>
  <c r="B1357" i="22"/>
  <c r="D1357" i="22" s="1"/>
  <c r="E1357" i="22" s="1"/>
  <c r="B1358" i="22"/>
  <c r="D1358" i="22" s="1"/>
  <c r="E1358" i="22" s="1"/>
  <c r="B1359" i="22"/>
  <c r="D1359" i="22" s="1"/>
  <c r="E1359" i="22" s="1"/>
  <c r="B1360" i="22"/>
  <c r="D1360" i="22" s="1"/>
  <c r="E1360" i="22" s="1"/>
  <c r="B1361" i="22"/>
  <c r="D1361" i="22" s="1"/>
  <c r="E1361" i="22" s="1"/>
  <c r="B1362" i="22"/>
  <c r="D1362" i="22" s="1"/>
  <c r="E1362" i="22" s="1"/>
  <c r="B1363" i="22"/>
  <c r="D1363" i="22" s="1"/>
  <c r="E1363" i="22" s="1"/>
  <c r="B1364" i="22"/>
  <c r="D1364" i="22" s="1"/>
  <c r="E1364" i="22" s="1"/>
  <c r="B1365" i="22"/>
  <c r="D1365" i="22" s="1"/>
  <c r="E1365" i="22" s="1"/>
  <c r="B1366" i="22"/>
  <c r="D1366" i="22" s="1"/>
  <c r="E1366" i="22" s="1"/>
  <c r="B1367" i="22"/>
  <c r="D1367" i="22" s="1"/>
  <c r="E1367" i="22" s="1"/>
  <c r="B1368" i="22"/>
  <c r="D1368" i="22" s="1"/>
  <c r="E1368" i="22" s="1"/>
  <c r="B1369" i="22"/>
  <c r="D1369" i="22" s="1"/>
  <c r="E1369" i="22" s="1"/>
  <c r="B1370" i="22"/>
  <c r="D1370" i="22" s="1"/>
  <c r="E1370" i="22" s="1"/>
  <c r="B1371" i="22"/>
  <c r="D1371" i="22" s="1"/>
  <c r="E1371" i="22" s="1"/>
  <c r="B1372" i="22"/>
  <c r="D1372" i="22" s="1"/>
  <c r="E1372" i="22" s="1"/>
  <c r="B1373" i="22"/>
  <c r="D1373" i="22" s="1"/>
  <c r="E1373" i="22" s="1"/>
  <c r="B1374" i="22"/>
  <c r="D1374" i="22" s="1"/>
  <c r="E1374" i="22" s="1"/>
  <c r="B1375" i="22"/>
  <c r="D1375" i="22" s="1"/>
  <c r="E1375" i="22" s="1"/>
  <c r="B1376" i="22"/>
  <c r="D1376" i="22" s="1"/>
  <c r="E1376" i="22" s="1"/>
  <c r="B1377" i="22"/>
  <c r="D1377" i="22" s="1"/>
  <c r="E1377" i="22" s="1"/>
  <c r="B1378" i="22"/>
  <c r="D1378" i="22" s="1"/>
  <c r="E1378" i="22" s="1"/>
  <c r="B1379" i="22"/>
  <c r="D1379" i="22" s="1"/>
  <c r="E1379" i="22" s="1"/>
  <c r="B1380" i="22"/>
  <c r="D1380" i="22" s="1"/>
  <c r="E1380" i="22" s="1"/>
  <c r="B1381" i="22"/>
  <c r="D1381" i="22" s="1"/>
  <c r="E1381" i="22" s="1"/>
  <c r="B1382" i="22"/>
  <c r="D1382" i="22" s="1"/>
  <c r="E1382" i="22" s="1"/>
  <c r="B1383" i="22"/>
  <c r="D1383" i="22" s="1"/>
  <c r="E1383" i="22" s="1"/>
  <c r="B1384" i="22"/>
  <c r="D1384" i="22" s="1"/>
  <c r="E1384" i="22" s="1"/>
  <c r="B1385" i="22"/>
  <c r="D1385" i="22" s="1"/>
  <c r="E1385" i="22" s="1"/>
  <c r="B1386" i="22"/>
  <c r="D1386" i="22" s="1"/>
  <c r="E1386" i="22" s="1"/>
  <c r="B1387" i="22"/>
  <c r="D1387" i="22" s="1"/>
  <c r="E1387" i="22" s="1"/>
  <c r="B1388" i="22"/>
  <c r="D1388" i="22" s="1"/>
  <c r="E1388" i="22" s="1"/>
  <c r="B1389" i="22"/>
  <c r="D1389" i="22" s="1"/>
  <c r="E1389" i="22" s="1"/>
  <c r="B1390" i="22"/>
  <c r="D1390" i="22" s="1"/>
  <c r="E1390" i="22" s="1"/>
  <c r="B1391" i="22"/>
  <c r="D1391" i="22" s="1"/>
  <c r="E1391" i="22" s="1"/>
  <c r="B1392" i="22"/>
  <c r="D1392" i="22" s="1"/>
  <c r="E1392" i="22" s="1"/>
  <c r="B1393" i="22"/>
  <c r="D1393" i="22" s="1"/>
  <c r="E1393" i="22" s="1"/>
  <c r="B1394" i="22"/>
  <c r="D1394" i="22" s="1"/>
  <c r="E1394" i="22" s="1"/>
  <c r="B1395" i="22"/>
  <c r="D1395" i="22" s="1"/>
  <c r="E1395" i="22" s="1"/>
  <c r="B1396" i="22"/>
  <c r="D1396" i="22" s="1"/>
  <c r="E1396" i="22" s="1"/>
  <c r="B1397" i="22"/>
  <c r="D1397" i="22" s="1"/>
  <c r="E1397" i="22" s="1"/>
  <c r="B1398" i="22"/>
  <c r="D1398" i="22" s="1"/>
  <c r="E1398" i="22" s="1"/>
  <c r="B1399" i="22"/>
  <c r="D1399" i="22" s="1"/>
  <c r="E1399" i="22" s="1"/>
  <c r="B1400" i="22"/>
  <c r="D1400" i="22" s="1"/>
  <c r="E1400" i="22" s="1"/>
  <c r="B1401" i="22"/>
  <c r="D1401" i="22" s="1"/>
  <c r="E1401" i="22" s="1"/>
  <c r="B1402" i="22"/>
  <c r="D1402" i="22" s="1"/>
  <c r="E1402" i="22" s="1"/>
  <c r="B1403" i="22"/>
  <c r="D1403" i="22" s="1"/>
  <c r="E1403" i="22" s="1"/>
  <c r="B1404" i="22"/>
  <c r="D1404" i="22" s="1"/>
  <c r="E1404" i="22" s="1"/>
  <c r="B1405" i="22"/>
  <c r="D1405" i="22" s="1"/>
  <c r="E1405" i="22" s="1"/>
  <c r="B1406" i="22"/>
  <c r="D1406" i="22" s="1"/>
  <c r="E1406" i="22" s="1"/>
  <c r="B1407" i="22"/>
  <c r="D1407" i="22" s="1"/>
  <c r="E1407" i="22" s="1"/>
  <c r="B1408" i="22"/>
  <c r="D1408" i="22" s="1"/>
  <c r="E1408" i="22" s="1"/>
  <c r="B1409" i="22"/>
  <c r="D1409" i="22" s="1"/>
  <c r="E1409" i="22" s="1"/>
  <c r="B1410" i="22"/>
  <c r="D1410" i="22" s="1"/>
  <c r="E1410" i="22" s="1"/>
  <c r="B1411" i="22"/>
  <c r="D1411" i="22" s="1"/>
  <c r="E1411" i="22" s="1"/>
  <c r="B1412" i="22"/>
  <c r="D1412" i="22" s="1"/>
  <c r="E1412" i="22" s="1"/>
  <c r="B1413" i="22"/>
  <c r="D1413" i="22" s="1"/>
  <c r="E1413" i="22" s="1"/>
  <c r="B1414" i="22"/>
  <c r="D1414" i="22" s="1"/>
  <c r="E1414" i="22" s="1"/>
  <c r="B1415" i="22"/>
  <c r="D1415" i="22" s="1"/>
  <c r="E1415" i="22" s="1"/>
  <c r="B1416" i="22"/>
  <c r="D1416" i="22" s="1"/>
  <c r="E1416" i="22" s="1"/>
  <c r="B1417" i="22"/>
  <c r="D1417" i="22" s="1"/>
  <c r="E1417" i="22" s="1"/>
  <c r="B1418" i="22"/>
  <c r="D1418" i="22" s="1"/>
  <c r="E1418" i="22" s="1"/>
  <c r="B1419" i="22"/>
  <c r="D1419" i="22" s="1"/>
  <c r="E1419" i="22" s="1"/>
  <c r="B1420" i="22"/>
  <c r="D1420" i="22" s="1"/>
  <c r="E1420" i="22" s="1"/>
  <c r="B1421" i="22"/>
  <c r="D1421" i="22" s="1"/>
  <c r="E1421" i="22" s="1"/>
  <c r="B1422" i="22"/>
  <c r="D1422" i="22" s="1"/>
  <c r="E1422" i="22" s="1"/>
  <c r="B1423" i="22"/>
  <c r="D1423" i="22" s="1"/>
  <c r="E1423" i="22" s="1"/>
  <c r="B1424" i="22"/>
  <c r="D1424" i="22" s="1"/>
  <c r="E1424" i="22" s="1"/>
  <c r="B1425" i="22"/>
  <c r="D1425" i="22" s="1"/>
  <c r="E1425" i="22" s="1"/>
  <c r="B1426" i="22"/>
  <c r="D1426" i="22" s="1"/>
  <c r="E1426" i="22" s="1"/>
  <c r="B1427" i="22"/>
  <c r="D1427" i="22" s="1"/>
  <c r="E1427" i="22" s="1"/>
  <c r="B1428" i="22"/>
  <c r="D1428" i="22" s="1"/>
  <c r="E1428" i="22" s="1"/>
  <c r="B1429" i="22"/>
  <c r="D1429" i="22" s="1"/>
  <c r="E1429" i="22" s="1"/>
  <c r="B1430" i="22"/>
  <c r="D1430" i="22" s="1"/>
  <c r="E1430" i="22" s="1"/>
  <c r="B1431" i="22"/>
  <c r="D1431" i="22" s="1"/>
  <c r="E1431" i="22" s="1"/>
  <c r="B1432" i="22"/>
  <c r="D1432" i="22" s="1"/>
  <c r="E1432" i="22" s="1"/>
  <c r="B1433" i="22"/>
  <c r="D1433" i="22" s="1"/>
  <c r="E1433" i="22" s="1"/>
  <c r="B1434" i="22"/>
  <c r="D1434" i="22" s="1"/>
  <c r="E1434" i="22" s="1"/>
  <c r="B1435" i="22"/>
  <c r="D1435" i="22" s="1"/>
  <c r="E1435" i="22" s="1"/>
  <c r="B1436" i="22"/>
  <c r="D1436" i="22" s="1"/>
  <c r="E1436" i="22" s="1"/>
  <c r="B1437" i="22"/>
  <c r="D1437" i="22" s="1"/>
  <c r="E1437" i="22" s="1"/>
  <c r="B1438" i="22"/>
  <c r="D1438" i="22" s="1"/>
  <c r="E1438" i="22" s="1"/>
  <c r="B1439" i="22"/>
  <c r="D1439" i="22" s="1"/>
  <c r="E1439" i="22" s="1"/>
  <c r="B1440" i="22"/>
  <c r="D1440" i="22" s="1"/>
  <c r="E1440" i="22" s="1"/>
  <c r="B1441" i="22"/>
  <c r="D1441" i="22" s="1"/>
  <c r="E1441" i="22" s="1"/>
  <c r="B1442" i="22"/>
  <c r="D1442" i="22" s="1"/>
  <c r="E1442" i="22" s="1"/>
  <c r="B1443" i="22"/>
  <c r="D1443" i="22" s="1"/>
  <c r="E1443" i="22" s="1"/>
  <c r="B1444" i="22"/>
  <c r="D1444" i="22" s="1"/>
  <c r="E1444" i="22" s="1"/>
  <c r="B1445" i="22"/>
  <c r="D1445" i="22" s="1"/>
  <c r="E1445" i="22" s="1"/>
  <c r="B1446" i="22"/>
  <c r="D1446" i="22" s="1"/>
  <c r="E1446" i="22" s="1"/>
  <c r="B1447" i="22"/>
  <c r="D1447" i="22" s="1"/>
  <c r="E1447" i="22" s="1"/>
  <c r="B1448" i="22"/>
  <c r="D1448" i="22" s="1"/>
  <c r="E1448" i="22" s="1"/>
  <c r="B1449" i="22"/>
  <c r="D1449" i="22" s="1"/>
  <c r="E1449" i="22" s="1"/>
  <c r="B1450" i="22"/>
  <c r="D1450" i="22" s="1"/>
  <c r="E1450" i="22" s="1"/>
  <c r="B1451" i="22"/>
  <c r="D1451" i="22" s="1"/>
  <c r="E1451" i="22" s="1"/>
  <c r="B1452" i="22"/>
  <c r="D1452" i="22" s="1"/>
  <c r="E1452" i="22" s="1"/>
  <c r="B1453" i="22"/>
  <c r="D1453" i="22" s="1"/>
  <c r="E1453" i="22" s="1"/>
  <c r="B1454" i="22"/>
  <c r="D1454" i="22" s="1"/>
  <c r="E1454" i="22" s="1"/>
  <c r="B1455" i="22"/>
  <c r="D1455" i="22" s="1"/>
  <c r="E1455" i="22" s="1"/>
  <c r="B1456" i="22"/>
  <c r="D1456" i="22" s="1"/>
  <c r="E1456" i="22" s="1"/>
  <c r="B1457" i="22"/>
  <c r="D1457" i="22" s="1"/>
  <c r="E1457" i="22" s="1"/>
  <c r="B1458" i="22"/>
  <c r="D1458" i="22" s="1"/>
  <c r="E1458" i="22" s="1"/>
  <c r="B1459" i="22"/>
  <c r="D1459" i="22" s="1"/>
  <c r="E1459" i="22" s="1"/>
  <c r="B1460" i="22"/>
  <c r="D1460" i="22" s="1"/>
  <c r="E1460" i="22" s="1"/>
  <c r="B1461" i="22"/>
  <c r="D1461" i="22" s="1"/>
  <c r="E1461" i="22" s="1"/>
  <c r="B1462" i="22"/>
  <c r="D1462" i="22" s="1"/>
  <c r="E1462" i="22" s="1"/>
  <c r="B1463" i="22"/>
  <c r="D1463" i="22" s="1"/>
  <c r="E1463" i="22" s="1"/>
  <c r="B1464" i="22"/>
  <c r="D1464" i="22" s="1"/>
  <c r="E1464" i="22" s="1"/>
  <c r="B1465" i="22"/>
  <c r="D1465" i="22" s="1"/>
  <c r="E1465" i="22" s="1"/>
  <c r="B1466" i="22"/>
  <c r="D1466" i="22" s="1"/>
  <c r="E1466" i="22" s="1"/>
  <c r="B1467" i="22"/>
  <c r="D1467" i="22" s="1"/>
  <c r="E1467" i="22" s="1"/>
  <c r="B1468" i="22"/>
  <c r="D1468" i="22" s="1"/>
  <c r="E1468" i="22" s="1"/>
  <c r="B1469" i="22"/>
  <c r="D1469" i="22" s="1"/>
  <c r="E1469" i="22" s="1"/>
  <c r="B1470" i="22"/>
  <c r="D1470" i="22" s="1"/>
  <c r="E1470" i="22" s="1"/>
  <c r="B1471" i="22"/>
  <c r="D1471" i="22" s="1"/>
  <c r="E1471" i="22" s="1"/>
  <c r="B1472" i="22"/>
  <c r="D1472" i="22" s="1"/>
  <c r="E1472" i="22" s="1"/>
  <c r="B1473" i="22"/>
  <c r="D1473" i="22" s="1"/>
  <c r="E1473" i="22" s="1"/>
  <c r="B1474" i="22"/>
  <c r="D1474" i="22" s="1"/>
  <c r="E1474" i="22" s="1"/>
  <c r="B1475" i="22"/>
  <c r="D1475" i="22" s="1"/>
  <c r="E1475" i="22" s="1"/>
  <c r="B1476" i="22"/>
  <c r="D1476" i="22" s="1"/>
  <c r="E1476" i="22" s="1"/>
  <c r="B1477" i="22"/>
  <c r="D1477" i="22" s="1"/>
  <c r="E1477" i="22" s="1"/>
  <c r="B1478" i="22"/>
  <c r="D1478" i="22" s="1"/>
  <c r="E1478" i="22" s="1"/>
  <c r="B1479" i="22"/>
  <c r="D1479" i="22" s="1"/>
  <c r="E1479" i="22" s="1"/>
  <c r="B1480" i="22"/>
  <c r="D1480" i="22" s="1"/>
  <c r="E1480" i="22" s="1"/>
  <c r="B1481" i="22"/>
  <c r="D1481" i="22" s="1"/>
  <c r="E1481" i="22" s="1"/>
  <c r="B1482" i="22"/>
  <c r="D1482" i="22" s="1"/>
  <c r="E1482" i="22" s="1"/>
  <c r="B1483" i="22"/>
  <c r="D1483" i="22" s="1"/>
  <c r="E1483" i="22" s="1"/>
  <c r="B1484" i="22"/>
  <c r="D1484" i="22" s="1"/>
  <c r="E1484" i="22" s="1"/>
  <c r="B1485" i="22"/>
  <c r="D1485" i="22" s="1"/>
  <c r="E1485" i="22" s="1"/>
  <c r="B1486" i="22"/>
  <c r="D1486" i="22" s="1"/>
  <c r="E1486" i="22" s="1"/>
  <c r="B1487" i="22"/>
  <c r="D1487" i="22" s="1"/>
  <c r="E1487" i="22" s="1"/>
  <c r="B1488" i="22"/>
  <c r="D1488" i="22" s="1"/>
  <c r="E1488" i="22" s="1"/>
  <c r="B1489" i="22"/>
  <c r="D1489" i="22" s="1"/>
  <c r="E1489" i="22" s="1"/>
  <c r="B1490" i="22"/>
  <c r="D1490" i="22" s="1"/>
  <c r="E1490" i="22" s="1"/>
  <c r="B1491" i="22"/>
  <c r="D1491" i="22" s="1"/>
  <c r="E1491" i="22" s="1"/>
  <c r="B1492" i="22"/>
  <c r="D1492" i="22" s="1"/>
  <c r="E1492" i="22" s="1"/>
  <c r="B1493" i="22"/>
  <c r="D1493" i="22" s="1"/>
  <c r="E1493" i="22" s="1"/>
  <c r="B1494" i="22"/>
  <c r="D1494" i="22" s="1"/>
  <c r="E1494" i="22" s="1"/>
  <c r="B1495" i="22"/>
  <c r="D1495" i="22" s="1"/>
  <c r="E1495" i="22" s="1"/>
  <c r="B1496" i="22"/>
  <c r="D1496" i="22" s="1"/>
  <c r="E1496" i="22" s="1"/>
  <c r="B1497" i="22"/>
  <c r="D1497" i="22" s="1"/>
  <c r="E1497" i="22" s="1"/>
  <c r="B1498" i="22"/>
  <c r="D1498" i="22" s="1"/>
  <c r="E1498" i="22" s="1"/>
  <c r="B1499" i="22"/>
  <c r="D1499" i="22" s="1"/>
  <c r="E1499" i="22" s="1"/>
  <c r="B1500" i="22"/>
  <c r="D1500" i="22" s="1"/>
  <c r="E1500" i="22" s="1"/>
  <c r="B1501" i="22"/>
  <c r="D1501" i="22" s="1"/>
  <c r="E1501" i="22" s="1"/>
  <c r="B1502" i="22"/>
  <c r="D1502" i="22" s="1"/>
  <c r="E1502" i="22" s="1"/>
  <c r="B1503" i="22"/>
  <c r="D1503" i="22" s="1"/>
  <c r="E1503" i="22" s="1"/>
  <c r="B1504" i="22"/>
  <c r="D1504" i="22" s="1"/>
  <c r="E1504" i="22" s="1"/>
  <c r="B1505" i="22"/>
  <c r="D1505" i="22" s="1"/>
  <c r="E1505" i="22" s="1"/>
  <c r="B1506" i="22"/>
  <c r="D1506" i="22" s="1"/>
  <c r="E1506" i="22" s="1"/>
  <c r="B1507" i="22"/>
  <c r="D1507" i="22" s="1"/>
  <c r="E1507" i="22" s="1"/>
  <c r="B1508" i="22"/>
  <c r="D1508" i="22" s="1"/>
  <c r="E1508" i="22" s="1"/>
  <c r="B1509" i="22"/>
  <c r="D1509" i="22" s="1"/>
  <c r="E1509" i="22" s="1"/>
  <c r="B1510" i="22"/>
  <c r="D1510" i="22" s="1"/>
  <c r="E1510" i="22" s="1"/>
  <c r="B1511" i="22"/>
  <c r="D1511" i="22" s="1"/>
  <c r="E1511" i="22" s="1"/>
  <c r="B1512" i="22"/>
  <c r="D1512" i="22" s="1"/>
  <c r="E1512" i="22" s="1"/>
  <c r="B1513" i="22"/>
  <c r="D1513" i="22" s="1"/>
  <c r="E1513" i="22" s="1"/>
  <c r="B1514" i="22"/>
  <c r="D1514" i="22" s="1"/>
  <c r="E1514" i="22" s="1"/>
  <c r="B1515" i="22"/>
  <c r="D1515" i="22" s="1"/>
  <c r="E1515" i="22" s="1"/>
  <c r="B1516" i="22"/>
  <c r="D1516" i="22" s="1"/>
  <c r="E1516" i="22" s="1"/>
  <c r="B1517" i="22"/>
  <c r="D1517" i="22" s="1"/>
  <c r="E1517" i="22" s="1"/>
  <c r="B1518" i="22"/>
  <c r="D1518" i="22" s="1"/>
  <c r="E1518" i="22" s="1"/>
  <c r="B1519" i="22"/>
  <c r="D1519" i="22" s="1"/>
  <c r="E1519" i="22" s="1"/>
  <c r="B1520" i="22"/>
  <c r="D1520" i="22" s="1"/>
  <c r="E1520" i="22" s="1"/>
  <c r="B1521" i="22"/>
  <c r="D1521" i="22" s="1"/>
  <c r="E1521" i="22" s="1"/>
  <c r="B1522" i="22"/>
  <c r="D1522" i="22" s="1"/>
  <c r="E1522" i="22" s="1"/>
  <c r="B1523" i="22"/>
  <c r="D1523" i="22" s="1"/>
  <c r="E1523" i="22" s="1"/>
  <c r="B1524" i="22"/>
  <c r="D1524" i="22" s="1"/>
  <c r="E1524" i="22" s="1"/>
  <c r="B1525" i="22"/>
  <c r="D1525" i="22" s="1"/>
  <c r="E1525" i="22" s="1"/>
  <c r="B1526" i="22"/>
  <c r="D1526" i="22" s="1"/>
  <c r="E1526" i="22" s="1"/>
  <c r="B1527" i="22"/>
  <c r="D1527" i="22" s="1"/>
  <c r="E1527" i="22" s="1"/>
  <c r="B1528" i="22"/>
  <c r="D1528" i="22" s="1"/>
  <c r="E1528" i="22" s="1"/>
  <c r="B1529" i="22"/>
  <c r="D1529" i="22" s="1"/>
  <c r="E1529" i="22" s="1"/>
  <c r="B1530" i="22"/>
  <c r="D1530" i="22" s="1"/>
  <c r="E1530" i="22" s="1"/>
  <c r="B1531" i="22"/>
  <c r="D1531" i="22" s="1"/>
  <c r="E1531" i="22" s="1"/>
  <c r="B1532" i="22"/>
  <c r="D1532" i="22" s="1"/>
  <c r="E1532" i="22" s="1"/>
  <c r="B1533" i="22"/>
  <c r="D1533" i="22" s="1"/>
  <c r="E1533" i="22" s="1"/>
  <c r="B1534" i="22"/>
  <c r="D1534" i="22" s="1"/>
  <c r="E1534" i="22" s="1"/>
  <c r="B1535" i="22"/>
  <c r="D1535" i="22" s="1"/>
  <c r="E1535" i="22" s="1"/>
  <c r="B1536" i="22"/>
  <c r="D1536" i="22" s="1"/>
  <c r="E1536" i="22" s="1"/>
  <c r="B1537" i="22"/>
  <c r="D1537" i="22" s="1"/>
  <c r="E1537" i="22" s="1"/>
  <c r="B1538" i="22"/>
  <c r="D1538" i="22" s="1"/>
  <c r="E1538" i="22" s="1"/>
  <c r="B1539" i="22"/>
  <c r="D1539" i="22" s="1"/>
  <c r="E1539" i="22" s="1"/>
  <c r="B1540" i="22"/>
  <c r="D1540" i="22" s="1"/>
  <c r="E1540" i="22" s="1"/>
  <c r="B1541" i="22"/>
  <c r="D1541" i="22" s="1"/>
  <c r="E1541" i="22" s="1"/>
  <c r="B1542" i="22"/>
  <c r="D1542" i="22" s="1"/>
  <c r="E1542" i="22" s="1"/>
  <c r="B1543" i="22"/>
  <c r="D1543" i="22" s="1"/>
  <c r="E1543" i="22" s="1"/>
  <c r="B1544" i="22"/>
  <c r="D1544" i="22" s="1"/>
  <c r="E1544" i="22" s="1"/>
  <c r="B1545" i="22"/>
  <c r="D1545" i="22" s="1"/>
  <c r="E1545" i="22" s="1"/>
  <c r="B1546" i="22"/>
  <c r="D1546" i="22" s="1"/>
  <c r="E1546" i="22" s="1"/>
  <c r="B1547" i="22"/>
  <c r="D1547" i="22" s="1"/>
  <c r="E1547" i="22" s="1"/>
  <c r="B1548" i="22"/>
  <c r="D1548" i="22" s="1"/>
  <c r="E1548" i="22" s="1"/>
  <c r="B1549" i="22"/>
  <c r="D1549" i="22" s="1"/>
  <c r="E1549" i="22" s="1"/>
  <c r="B1550" i="22"/>
  <c r="D1550" i="22" s="1"/>
  <c r="E1550" i="22" s="1"/>
  <c r="B1551" i="22"/>
  <c r="D1551" i="22" s="1"/>
  <c r="E1551" i="22" s="1"/>
  <c r="B1552" i="22"/>
  <c r="D1552" i="22" s="1"/>
  <c r="E1552" i="22" s="1"/>
  <c r="B1553" i="22"/>
  <c r="D1553" i="22" s="1"/>
  <c r="E1553" i="22" s="1"/>
  <c r="B1554" i="22"/>
  <c r="D1554" i="22" s="1"/>
  <c r="E1554" i="22" s="1"/>
  <c r="B1555" i="22"/>
  <c r="D1555" i="22" s="1"/>
  <c r="E1555" i="22" s="1"/>
  <c r="B1556" i="22"/>
  <c r="D1556" i="22" s="1"/>
  <c r="E1556" i="22" s="1"/>
  <c r="B1557" i="22"/>
  <c r="D1557" i="22" s="1"/>
  <c r="E1557" i="22" s="1"/>
  <c r="B1558" i="22"/>
  <c r="D1558" i="22" s="1"/>
  <c r="E1558" i="22" s="1"/>
  <c r="B1559" i="22"/>
  <c r="D1559" i="22" s="1"/>
  <c r="E1559" i="22" s="1"/>
  <c r="B1560" i="22"/>
  <c r="D1560" i="22" s="1"/>
  <c r="E1560" i="22" s="1"/>
  <c r="B1561" i="22"/>
  <c r="D1561" i="22" s="1"/>
  <c r="E1561" i="22" s="1"/>
  <c r="B1562" i="22"/>
  <c r="D1562" i="22" s="1"/>
  <c r="E1562" i="22" s="1"/>
  <c r="B1563" i="22"/>
  <c r="D1563" i="22" s="1"/>
  <c r="E1563" i="22" s="1"/>
  <c r="B1564" i="22"/>
  <c r="D1564" i="22" s="1"/>
  <c r="E1564" i="22" s="1"/>
  <c r="B1565" i="22"/>
  <c r="D1565" i="22" s="1"/>
  <c r="E1565" i="22" s="1"/>
  <c r="B1566" i="22"/>
  <c r="D1566" i="22" s="1"/>
  <c r="E1566" i="22" s="1"/>
  <c r="B1567" i="22"/>
  <c r="D1567" i="22" s="1"/>
  <c r="E1567" i="22" s="1"/>
  <c r="B1568" i="22"/>
  <c r="D1568" i="22" s="1"/>
  <c r="E1568" i="22" s="1"/>
  <c r="B1569" i="22"/>
  <c r="D1569" i="22" s="1"/>
  <c r="E1569" i="22" s="1"/>
  <c r="B1570" i="22"/>
  <c r="D1570" i="22" s="1"/>
  <c r="E1570" i="22" s="1"/>
  <c r="B1571" i="22"/>
  <c r="D1571" i="22" s="1"/>
  <c r="E1571" i="22" s="1"/>
  <c r="B1572" i="22"/>
  <c r="D1572" i="22" s="1"/>
  <c r="E1572" i="22" s="1"/>
  <c r="B1573" i="22"/>
  <c r="D1573" i="22" s="1"/>
  <c r="E1573" i="22" s="1"/>
  <c r="B1574" i="22"/>
  <c r="D1574" i="22" s="1"/>
  <c r="E1574" i="22" s="1"/>
  <c r="B1575" i="22"/>
  <c r="D1575" i="22" s="1"/>
  <c r="E1575" i="22" s="1"/>
  <c r="B1576" i="22"/>
  <c r="D1576" i="22" s="1"/>
  <c r="E1576" i="22" s="1"/>
  <c r="B1577" i="22"/>
  <c r="D1577" i="22" s="1"/>
  <c r="E1577" i="22" s="1"/>
  <c r="B1578" i="22"/>
  <c r="D1578" i="22" s="1"/>
  <c r="E1578" i="22" s="1"/>
  <c r="B1579" i="22"/>
  <c r="D1579" i="22" s="1"/>
  <c r="E1579" i="22" s="1"/>
  <c r="B1580" i="22"/>
  <c r="D1580" i="22" s="1"/>
  <c r="E1580" i="22" s="1"/>
  <c r="B1581" i="22"/>
  <c r="D1581" i="22" s="1"/>
  <c r="E1581" i="22" s="1"/>
  <c r="B1582" i="22"/>
  <c r="D1582" i="22" s="1"/>
  <c r="E1582" i="22" s="1"/>
  <c r="B1583" i="22"/>
  <c r="D1583" i="22" s="1"/>
  <c r="E1583" i="22" s="1"/>
  <c r="B1584" i="22"/>
  <c r="D1584" i="22" s="1"/>
  <c r="E1584" i="22" s="1"/>
  <c r="B1585" i="22"/>
  <c r="D1585" i="22" s="1"/>
  <c r="E1585" i="22" s="1"/>
  <c r="B1586" i="22"/>
  <c r="D1586" i="22" s="1"/>
  <c r="E1586" i="22" s="1"/>
  <c r="B1587" i="22"/>
  <c r="D1587" i="22" s="1"/>
  <c r="E1587" i="22" s="1"/>
  <c r="B1588" i="22"/>
  <c r="D1588" i="22" s="1"/>
  <c r="E1588" i="22" s="1"/>
  <c r="B1589" i="22"/>
  <c r="D1589" i="22" s="1"/>
  <c r="E1589" i="22" s="1"/>
  <c r="B1590" i="22"/>
  <c r="D1590" i="22" s="1"/>
  <c r="E1590" i="22" s="1"/>
  <c r="B1591" i="22"/>
  <c r="D1591" i="22" s="1"/>
  <c r="E1591" i="22" s="1"/>
  <c r="B1592" i="22"/>
  <c r="D1592" i="22" s="1"/>
  <c r="E1592" i="22" s="1"/>
  <c r="B1593" i="22"/>
  <c r="D1593" i="22" s="1"/>
  <c r="E1593" i="22" s="1"/>
  <c r="B1594" i="22"/>
  <c r="D1594" i="22" s="1"/>
  <c r="E1594" i="22" s="1"/>
  <c r="B1595" i="22"/>
  <c r="D1595" i="22" s="1"/>
  <c r="E1595" i="22" s="1"/>
  <c r="B1596" i="22"/>
  <c r="D1596" i="22" s="1"/>
  <c r="E1596" i="22" s="1"/>
  <c r="B1597" i="22"/>
  <c r="D1597" i="22" s="1"/>
  <c r="E1597" i="22" s="1"/>
  <c r="B1598" i="22"/>
  <c r="D1598" i="22" s="1"/>
  <c r="E1598" i="22" s="1"/>
  <c r="B1599" i="22"/>
  <c r="D1599" i="22" s="1"/>
  <c r="E1599" i="22" s="1"/>
  <c r="B1600" i="22"/>
  <c r="D1600" i="22" s="1"/>
  <c r="E1600" i="22" s="1"/>
  <c r="B1601" i="22"/>
  <c r="D1601" i="22" s="1"/>
  <c r="E1601" i="22" s="1"/>
  <c r="B1602" i="22"/>
  <c r="D1602" i="22" s="1"/>
  <c r="E1602" i="22" s="1"/>
  <c r="B1603" i="22"/>
  <c r="D1603" i="22" s="1"/>
  <c r="E1603" i="22" s="1"/>
  <c r="B1604" i="22"/>
  <c r="D1604" i="22" s="1"/>
  <c r="E1604" i="22" s="1"/>
  <c r="B1605" i="22"/>
  <c r="D1605" i="22" s="1"/>
  <c r="E1605" i="22" s="1"/>
  <c r="B1606" i="22"/>
  <c r="D1606" i="22" s="1"/>
  <c r="E1606" i="22" s="1"/>
  <c r="B1607" i="22"/>
  <c r="D1607" i="22" s="1"/>
  <c r="E1607" i="22" s="1"/>
  <c r="B1608" i="22"/>
  <c r="D1608" i="22" s="1"/>
  <c r="E1608" i="22" s="1"/>
  <c r="B1609" i="22"/>
  <c r="D1609" i="22" s="1"/>
  <c r="E1609" i="22" s="1"/>
  <c r="B1610" i="22"/>
  <c r="D1610" i="22" s="1"/>
  <c r="E1610" i="22" s="1"/>
  <c r="B1611" i="22"/>
  <c r="D1611" i="22" s="1"/>
  <c r="E1611" i="22" s="1"/>
  <c r="B1612" i="22"/>
  <c r="D1612" i="22" s="1"/>
  <c r="E1612" i="22" s="1"/>
  <c r="B1613" i="22"/>
  <c r="D1613" i="22" s="1"/>
  <c r="E1613" i="22" s="1"/>
  <c r="B1614" i="22"/>
  <c r="D1614" i="22" s="1"/>
  <c r="E1614" i="22" s="1"/>
  <c r="B1615" i="22"/>
  <c r="B1616" i="22"/>
  <c r="D1616" i="22" s="1"/>
  <c r="E1616" i="22" s="1"/>
  <c r="B1617" i="22"/>
  <c r="D1617" i="22" s="1"/>
  <c r="E1617" i="22" s="1"/>
  <c r="B1618" i="22"/>
  <c r="D1618" i="22" s="1"/>
  <c r="E1618" i="22" s="1"/>
  <c r="B1619" i="22"/>
  <c r="D1619" i="22" s="1"/>
  <c r="E1619" i="22" s="1"/>
  <c r="B1620" i="22"/>
  <c r="D1620" i="22" s="1"/>
  <c r="E1620" i="22" s="1"/>
  <c r="B1621" i="22"/>
  <c r="D1621" i="22" s="1"/>
  <c r="E1621" i="22" s="1"/>
  <c r="B1622" i="22"/>
  <c r="D1622" i="22" s="1"/>
  <c r="E1622" i="22" s="1"/>
  <c r="B1623" i="22"/>
  <c r="D1623" i="22" s="1"/>
  <c r="E1623" i="22" s="1"/>
  <c r="B1624" i="22"/>
  <c r="D1624" i="22" s="1"/>
  <c r="E1624" i="22" s="1"/>
  <c r="B1625" i="22"/>
  <c r="D1625" i="22" s="1"/>
  <c r="E1625" i="22" s="1"/>
  <c r="B1626" i="22"/>
  <c r="D1626" i="22" s="1"/>
  <c r="E1626" i="22" s="1"/>
  <c r="B1627" i="22"/>
  <c r="D1627" i="22" s="1"/>
  <c r="E1627" i="22" s="1"/>
  <c r="B1628" i="22"/>
  <c r="D1628" i="22" s="1"/>
  <c r="E1628" i="22" s="1"/>
  <c r="B1629" i="22"/>
  <c r="D1629" i="22" s="1"/>
  <c r="E1629" i="22" s="1"/>
  <c r="B1630" i="22"/>
  <c r="D1630" i="22" s="1"/>
  <c r="E1630" i="22" s="1"/>
  <c r="B1631" i="22"/>
  <c r="D1631" i="22" s="1"/>
  <c r="E1631" i="22" s="1"/>
  <c r="B1632" i="22"/>
  <c r="D1632" i="22" s="1"/>
  <c r="E1632" i="22" s="1"/>
  <c r="B1633" i="22"/>
  <c r="D1633" i="22" s="1"/>
  <c r="E1633" i="22" s="1"/>
  <c r="B1634" i="22"/>
  <c r="D1634" i="22" s="1"/>
  <c r="E1634" i="22" s="1"/>
  <c r="B1635" i="22"/>
  <c r="D1635" i="22" s="1"/>
  <c r="E1635" i="22" s="1"/>
  <c r="B1636" i="22"/>
  <c r="D1636" i="22" s="1"/>
  <c r="E1636" i="22" s="1"/>
  <c r="B1637" i="22"/>
  <c r="D1637" i="22" s="1"/>
  <c r="E1637" i="22" s="1"/>
  <c r="B1638" i="22"/>
  <c r="D1638" i="22" s="1"/>
  <c r="E1638" i="22" s="1"/>
  <c r="B1639" i="22"/>
  <c r="D1639" i="22" s="1"/>
  <c r="E1639" i="22" s="1"/>
  <c r="B1640" i="22"/>
  <c r="D1640" i="22" s="1"/>
  <c r="E1640" i="22" s="1"/>
  <c r="B1641" i="22"/>
  <c r="D1641" i="22" s="1"/>
  <c r="E1641" i="22" s="1"/>
  <c r="B1642" i="22"/>
  <c r="D1642" i="22" s="1"/>
  <c r="E1642" i="22" s="1"/>
  <c r="B1643" i="22"/>
  <c r="D1643" i="22" s="1"/>
  <c r="E1643" i="22" s="1"/>
  <c r="B1644" i="22"/>
  <c r="D1644" i="22" s="1"/>
  <c r="E1644" i="22" s="1"/>
  <c r="B1645" i="22"/>
  <c r="D1645" i="22" s="1"/>
  <c r="E1645" i="22" s="1"/>
  <c r="B1646" i="22"/>
  <c r="D1646" i="22" s="1"/>
  <c r="E1646" i="22" s="1"/>
  <c r="B1647" i="22"/>
  <c r="D1647" i="22" s="1"/>
  <c r="E1647" i="22" s="1"/>
  <c r="B1648" i="22"/>
  <c r="D1648" i="22" s="1"/>
  <c r="E1648" i="22" s="1"/>
  <c r="B1649" i="22"/>
  <c r="D1649" i="22" s="1"/>
  <c r="E1649" i="22" s="1"/>
  <c r="B1650" i="22"/>
  <c r="D1650" i="22" s="1"/>
  <c r="E1650" i="22" s="1"/>
  <c r="B1651" i="22"/>
  <c r="D1651" i="22" s="1"/>
  <c r="E1651" i="22" s="1"/>
  <c r="B1652" i="22"/>
  <c r="D1652" i="22" s="1"/>
  <c r="E1652" i="22" s="1"/>
  <c r="B1653" i="22"/>
  <c r="D1653" i="22" s="1"/>
  <c r="E1653" i="22" s="1"/>
  <c r="B1654" i="22"/>
  <c r="D1654" i="22" s="1"/>
  <c r="E1654" i="22" s="1"/>
  <c r="B1655" i="22"/>
  <c r="D1655" i="22" s="1"/>
  <c r="E1655" i="22" s="1"/>
  <c r="B1656" i="22"/>
  <c r="D1656" i="22" s="1"/>
  <c r="E1656" i="22" s="1"/>
  <c r="B1657" i="22"/>
  <c r="D1657" i="22" s="1"/>
  <c r="E1657" i="22" s="1"/>
  <c r="B1658" i="22"/>
  <c r="D1658" i="22" s="1"/>
  <c r="E1658" i="22" s="1"/>
  <c r="B1659" i="22"/>
  <c r="D1659" i="22" s="1"/>
  <c r="E1659" i="22" s="1"/>
  <c r="B1660" i="22"/>
  <c r="D1660" i="22" s="1"/>
  <c r="E1660" i="22" s="1"/>
  <c r="B1661" i="22"/>
  <c r="D1661" i="22" s="1"/>
  <c r="E1661" i="22" s="1"/>
  <c r="B1662" i="22"/>
  <c r="D1662" i="22" s="1"/>
  <c r="E1662" i="22" s="1"/>
  <c r="B1663" i="22"/>
  <c r="D1663" i="22" s="1"/>
  <c r="E1663" i="22" s="1"/>
  <c r="B1664" i="22"/>
  <c r="D1664" i="22" s="1"/>
  <c r="E1664" i="22" s="1"/>
  <c r="B1665" i="22"/>
  <c r="D1665" i="22" s="1"/>
  <c r="E1665" i="22" s="1"/>
  <c r="B1666" i="22"/>
  <c r="D1666" i="22" s="1"/>
  <c r="E1666" i="22" s="1"/>
  <c r="B1667" i="22"/>
  <c r="D1667" i="22" s="1"/>
  <c r="E1667" i="22" s="1"/>
  <c r="B1668" i="22"/>
  <c r="D1668" i="22" s="1"/>
  <c r="E1668" i="22" s="1"/>
  <c r="B1669" i="22"/>
  <c r="D1669" i="22" s="1"/>
  <c r="E1669" i="22" s="1"/>
  <c r="B1670" i="22"/>
  <c r="D1670" i="22" s="1"/>
  <c r="E1670" i="22" s="1"/>
  <c r="B1671" i="22"/>
  <c r="D1671" i="22" s="1"/>
  <c r="E1671" i="22" s="1"/>
  <c r="B1672" i="22"/>
  <c r="D1672" i="22" s="1"/>
  <c r="E1672" i="22" s="1"/>
  <c r="B1673" i="22"/>
  <c r="D1673" i="22" s="1"/>
  <c r="E1673" i="22" s="1"/>
  <c r="B1674" i="22"/>
  <c r="D1674" i="22" s="1"/>
  <c r="E1674" i="22" s="1"/>
  <c r="B1675" i="22"/>
  <c r="D1675" i="22" s="1"/>
  <c r="E1675" i="22" s="1"/>
  <c r="B1676" i="22"/>
  <c r="D1676" i="22" s="1"/>
  <c r="E1676" i="22" s="1"/>
  <c r="B1677" i="22"/>
  <c r="D1677" i="22" s="1"/>
  <c r="E1677" i="22" s="1"/>
  <c r="B1678" i="22"/>
  <c r="D1678" i="22" s="1"/>
  <c r="E1678" i="22" s="1"/>
  <c r="B1679" i="22"/>
  <c r="D1679" i="22" s="1"/>
  <c r="E1679" i="22" s="1"/>
  <c r="B1680" i="22"/>
  <c r="D1680" i="22" s="1"/>
  <c r="E1680" i="22" s="1"/>
  <c r="B1681" i="22"/>
  <c r="D1681" i="22" s="1"/>
  <c r="E1681" i="22" s="1"/>
  <c r="B1682" i="22"/>
  <c r="D1682" i="22" s="1"/>
  <c r="E1682" i="22" s="1"/>
  <c r="B1683" i="22"/>
  <c r="D1683" i="22" s="1"/>
  <c r="E1683" i="22" s="1"/>
  <c r="B1684" i="22"/>
  <c r="D1684" i="22" s="1"/>
  <c r="E1684" i="22" s="1"/>
  <c r="B1685" i="22"/>
  <c r="D1685" i="22" s="1"/>
  <c r="E1685" i="22" s="1"/>
  <c r="B1686" i="22"/>
  <c r="D1686" i="22" s="1"/>
  <c r="E1686" i="22" s="1"/>
  <c r="B1687" i="22"/>
  <c r="D1687" i="22" s="1"/>
  <c r="E1687" i="22" s="1"/>
  <c r="B1688" i="22"/>
  <c r="D1688" i="22" s="1"/>
  <c r="E1688" i="22" s="1"/>
  <c r="B1689" i="22"/>
  <c r="D1689" i="22" s="1"/>
  <c r="E1689" i="22" s="1"/>
  <c r="B1690" i="22"/>
  <c r="D1690" i="22" s="1"/>
  <c r="E1690" i="22" s="1"/>
  <c r="B1691" i="22"/>
  <c r="D1691" i="22" s="1"/>
  <c r="E1691" i="22" s="1"/>
  <c r="B1692" i="22"/>
  <c r="D1692" i="22" s="1"/>
  <c r="E1692" i="22" s="1"/>
  <c r="B1693" i="22"/>
  <c r="D1693" i="22" s="1"/>
  <c r="E1693" i="22" s="1"/>
  <c r="B1694" i="22"/>
  <c r="D1694" i="22" s="1"/>
  <c r="E1694" i="22" s="1"/>
  <c r="B1695" i="22"/>
  <c r="B1696" i="22"/>
  <c r="D1696" i="22" s="1"/>
  <c r="E1696" i="22" s="1"/>
  <c r="B1697" i="22"/>
  <c r="D1697" i="22" s="1"/>
  <c r="E1697" i="22" s="1"/>
  <c r="B1698" i="22"/>
  <c r="D1698" i="22" s="1"/>
  <c r="E1698" i="22" s="1"/>
  <c r="B1699" i="22"/>
  <c r="D1699" i="22" s="1"/>
  <c r="E1699" i="22" s="1"/>
  <c r="B1700" i="22"/>
  <c r="D1700" i="22" s="1"/>
  <c r="E1700" i="22" s="1"/>
  <c r="B1701" i="22"/>
  <c r="D1701" i="22" s="1"/>
  <c r="E1701" i="22" s="1"/>
  <c r="B1702" i="22"/>
  <c r="D1702" i="22" s="1"/>
  <c r="E1702" i="22" s="1"/>
  <c r="B1703" i="22"/>
  <c r="D1703" i="22" s="1"/>
  <c r="E1703" i="22" s="1"/>
  <c r="B1704" i="22"/>
  <c r="D1704" i="22" s="1"/>
  <c r="E1704" i="22" s="1"/>
  <c r="B1705" i="22"/>
  <c r="D1705" i="22" s="1"/>
  <c r="E1705" i="22" s="1"/>
  <c r="B1706" i="22"/>
  <c r="D1706" i="22" s="1"/>
  <c r="E1706" i="22" s="1"/>
  <c r="B1707" i="22"/>
  <c r="D1707" i="22" s="1"/>
  <c r="E1707" i="22" s="1"/>
  <c r="B1708" i="22"/>
  <c r="D1708" i="22" s="1"/>
  <c r="E1708" i="22" s="1"/>
  <c r="B1709" i="22"/>
  <c r="D1709" i="22" s="1"/>
  <c r="E1709" i="22" s="1"/>
  <c r="B1710" i="22"/>
  <c r="D1710" i="22" s="1"/>
  <c r="E1710" i="22" s="1"/>
  <c r="B1711" i="22"/>
  <c r="D1711" i="22" s="1"/>
  <c r="E1711" i="22" s="1"/>
  <c r="B1712" i="22"/>
  <c r="D1712" i="22" s="1"/>
  <c r="E1712" i="22" s="1"/>
  <c r="B1713" i="22"/>
  <c r="D1713" i="22" s="1"/>
  <c r="E1713" i="22" s="1"/>
  <c r="B1714" i="22"/>
  <c r="D1714" i="22" s="1"/>
  <c r="E1714" i="22" s="1"/>
  <c r="B1715" i="22"/>
  <c r="D1715" i="22" s="1"/>
  <c r="E1715" i="22" s="1"/>
  <c r="B1716" i="22"/>
  <c r="D1716" i="22" s="1"/>
  <c r="E1716" i="22" s="1"/>
  <c r="B1717" i="22"/>
  <c r="D1717" i="22" s="1"/>
  <c r="E1717" i="22" s="1"/>
  <c r="B1718" i="22"/>
  <c r="D1718" i="22" s="1"/>
  <c r="E1718" i="22" s="1"/>
  <c r="B1719" i="22"/>
  <c r="D1719" i="22" s="1"/>
  <c r="E1719" i="22" s="1"/>
  <c r="B1720" i="22"/>
  <c r="D1720" i="22" s="1"/>
  <c r="E1720" i="22" s="1"/>
  <c r="B1721" i="22"/>
  <c r="D1721" i="22" s="1"/>
  <c r="E1721" i="22" s="1"/>
  <c r="B1722" i="22"/>
  <c r="D1722" i="22" s="1"/>
  <c r="E1722" i="22" s="1"/>
  <c r="B1723" i="22"/>
  <c r="D1723" i="22" s="1"/>
  <c r="E1723" i="22" s="1"/>
  <c r="B1724" i="22"/>
  <c r="D1724" i="22" s="1"/>
  <c r="E1724" i="22" s="1"/>
  <c r="B1725" i="22"/>
  <c r="D1725" i="22" s="1"/>
  <c r="E1725" i="22" s="1"/>
  <c r="B1726" i="22"/>
  <c r="D1726" i="22" s="1"/>
  <c r="E1726" i="22" s="1"/>
  <c r="B1727" i="22"/>
  <c r="D1727" i="22" s="1"/>
  <c r="E1727" i="22" s="1"/>
  <c r="B1728" i="22"/>
  <c r="D1728" i="22" s="1"/>
  <c r="E1728" i="22" s="1"/>
  <c r="B1729" i="22"/>
  <c r="D1729" i="22" s="1"/>
  <c r="E1729" i="22" s="1"/>
  <c r="B1730" i="22"/>
  <c r="D1730" i="22" s="1"/>
  <c r="E1730" i="22" s="1"/>
  <c r="B1731" i="22"/>
  <c r="D1731" i="22" s="1"/>
  <c r="E1731" i="22" s="1"/>
  <c r="B1732" i="22"/>
  <c r="D1732" i="22" s="1"/>
  <c r="E1732" i="22" s="1"/>
  <c r="B1733" i="22"/>
  <c r="D1733" i="22" s="1"/>
  <c r="E1733" i="22" s="1"/>
  <c r="B1734" i="22"/>
  <c r="D1734" i="22" s="1"/>
  <c r="E1734" i="22" s="1"/>
  <c r="B1735" i="22"/>
  <c r="D1735" i="22" s="1"/>
  <c r="E1735" i="22" s="1"/>
  <c r="B1736" i="22"/>
  <c r="D1736" i="22" s="1"/>
  <c r="E1736" i="22" s="1"/>
  <c r="B1737" i="22"/>
  <c r="D1737" i="22" s="1"/>
  <c r="E1737" i="22" s="1"/>
  <c r="B1738" i="22"/>
  <c r="D1738" i="22" s="1"/>
  <c r="E1738" i="22" s="1"/>
  <c r="B1739" i="22"/>
  <c r="D1739" i="22" s="1"/>
  <c r="E1739" i="22" s="1"/>
  <c r="B1740" i="22"/>
  <c r="D1740" i="22" s="1"/>
  <c r="E1740" i="22" s="1"/>
  <c r="B1741" i="22"/>
  <c r="D1741" i="22" s="1"/>
  <c r="E1741" i="22" s="1"/>
  <c r="B1742" i="22"/>
  <c r="D1742" i="22" s="1"/>
  <c r="E1742" i="22" s="1"/>
  <c r="B1743" i="22"/>
  <c r="D1743" i="22" s="1"/>
  <c r="E1743" i="22" s="1"/>
  <c r="B1744" i="22"/>
  <c r="D1744" i="22" s="1"/>
  <c r="E1744" i="22" s="1"/>
  <c r="B1745" i="22"/>
  <c r="D1745" i="22" s="1"/>
  <c r="E1745" i="22" s="1"/>
  <c r="B1746" i="22"/>
  <c r="D1746" i="22" s="1"/>
  <c r="E1746" i="22" s="1"/>
  <c r="B1747" i="22"/>
  <c r="D1747" i="22" s="1"/>
  <c r="E1747" i="22" s="1"/>
  <c r="B1748" i="22"/>
  <c r="D1748" i="22" s="1"/>
  <c r="E1748" i="22" s="1"/>
  <c r="B1749" i="22"/>
  <c r="D1749" i="22" s="1"/>
  <c r="E1749" i="22" s="1"/>
  <c r="B1750" i="22"/>
  <c r="D1750" i="22" s="1"/>
  <c r="E1750" i="22" s="1"/>
  <c r="B1751" i="22"/>
  <c r="D1751" i="22" s="1"/>
  <c r="E1751" i="22" s="1"/>
  <c r="B1752" i="22"/>
  <c r="D1752" i="22" s="1"/>
  <c r="E1752" i="22" s="1"/>
  <c r="B1753" i="22"/>
  <c r="D1753" i="22" s="1"/>
  <c r="E1753" i="22" s="1"/>
  <c r="B1754" i="22"/>
  <c r="D1754" i="22" s="1"/>
  <c r="E1754" i="22" s="1"/>
  <c r="B1755" i="22"/>
  <c r="D1755" i="22" s="1"/>
  <c r="E1755" i="22" s="1"/>
  <c r="B1756" i="22"/>
  <c r="D1756" i="22" s="1"/>
  <c r="E1756" i="22" s="1"/>
  <c r="B1757" i="22"/>
  <c r="D1757" i="22" s="1"/>
  <c r="E1757" i="22" s="1"/>
  <c r="B1758" i="22"/>
  <c r="D1758" i="22" s="1"/>
  <c r="E1758" i="22" s="1"/>
  <c r="B1759" i="22"/>
  <c r="B1760" i="22"/>
  <c r="D1760" i="22" s="1"/>
  <c r="E1760" i="22" s="1"/>
  <c r="B1761" i="22"/>
  <c r="D1761" i="22" s="1"/>
  <c r="E1761" i="22" s="1"/>
  <c r="B1762" i="22"/>
  <c r="D1762" i="22" s="1"/>
  <c r="E1762" i="22" s="1"/>
  <c r="B1763" i="22"/>
  <c r="D1763" i="22" s="1"/>
  <c r="E1763" i="22" s="1"/>
  <c r="B1764" i="22"/>
  <c r="D1764" i="22" s="1"/>
  <c r="E1764" i="22" s="1"/>
  <c r="B1765" i="22"/>
  <c r="D1765" i="22" s="1"/>
  <c r="E1765" i="22" s="1"/>
  <c r="B1766" i="22"/>
  <c r="D1766" i="22" s="1"/>
  <c r="E1766" i="22" s="1"/>
  <c r="B1767" i="22"/>
  <c r="D1767" i="22" s="1"/>
  <c r="E1767" i="22" s="1"/>
  <c r="B1768" i="22"/>
  <c r="D1768" i="22" s="1"/>
  <c r="E1768" i="22" s="1"/>
  <c r="B1769" i="22"/>
  <c r="D1769" i="22" s="1"/>
  <c r="E1769" i="22" s="1"/>
  <c r="B1770" i="22"/>
  <c r="D1770" i="22" s="1"/>
  <c r="E1770" i="22" s="1"/>
  <c r="B1771" i="22"/>
  <c r="D1771" i="22" s="1"/>
  <c r="E1771" i="22" s="1"/>
  <c r="B1772" i="22"/>
  <c r="D1772" i="22" s="1"/>
  <c r="E1772" i="22" s="1"/>
  <c r="B1773" i="22"/>
  <c r="D1773" i="22" s="1"/>
  <c r="E1773" i="22" s="1"/>
  <c r="B1774" i="22"/>
  <c r="D1774" i="22" s="1"/>
  <c r="E1774" i="22" s="1"/>
  <c r="B1775" i="22"/>
  <c r="D1775" i="22" s="1"/>
  <c r="E1775" i="22" s="1"/>
  <c r="B1776" i="22"/>
  <c r="D1776" i="22" s="1"/>
  <c r="E1776" i="22" s="1"/>
  <c r="B1777" i="22"/>
  <c r="D1777" i="22" s="1"/>
  <c r="E1777" i="22" s="1"/>
  <c r="B1778" i="22"/>
  <c r="D1778" i="22" s="1"/>
  <c r="E1778" i="22" s="1"/>
  <c r="B1779" i="22"/>
  <c r="D1779" i="22" s="1"/>
  <c r="E1779" i="22" s="1"/>
  <c r="B1780" i="22"/>
  <c r="D1780" i="22" s="1"/>
  <c r="E1780" i="22" s="1"/>
  <c r="B1781" i="22"/>
  <c r="D1781" i="22" s="1"/>
  <c r="E1781" i="22" s="1"/>
  <c r="B1782" i="22"/>
  <c r="D1782" i="22" s="1"/>
  <c r="E1782" i="22" s="1"/>
  <c r="B1783" i="22"/>
  <c r="D1783" i="22" s="1"/>
  <c r="E1783" i="22" s="1"/>
  <c r="B1784" i="22"/>
  <c r="D1784" i="22" s="1"/>
  <c r="E1784" i="22" s="1"/>
  <c r="B1785" i="22"/>
  <c r="D1785" i="22" s="1"/>
  <c r="E1785" i="22" s="1"/>
  <c r="B1786" i="22"/>
  <c r="D1786" i="22" s="1"/>
  <c r="E1786" i="22" s="1"/>
  <c r="B1787" i="22"/>
  <c r="D1787" i="22" s="1"/>
  <c r="E1787" i="22" s="1"/>
  <c r="B1788" i="22"/>
  <c r="D1788" i="22" s="1"/>
  <c r="E1788" i="22" s="1"/>
  <c r="B1789" i="22"/>
  <c r="D1789" i="22" s="1"/>
  <c r="E1789" i="22" s="1"/>
  <c r="B1790" i="22"/>
  <c r="D1790" i="22" s="1"/>
  <c r="E1790" i="22" s="1"/>
  <c r="B1791" i="22"/>
  <c r="D1791" i="22" s="1"/>
  <c r="E1791" i="22" s="1"/>
  <c r="B1792" i="22"/>
  <c r="D1792" i="22" s="1"/>
  <c r="E1792" i="22" s="1"/>
  <c r="B1793" i="22"/>
  <c r="D1793" i="22" s="1"/>
  <c r="E1793" i="22" s="1"/>
  <c r="B1794" i="22"/>
  <c r="D1794" i="22" s="1"/>
  <c r="E1794" i="22" s="1"/>
  <c r="B1795" i="22"/>
  <c r="D1795" i="22" s="1"/>
  <c r="E1795" i="22" s="1"/>
  <c r="B1796" i="22"/>
  <c r="D1796" i="22" s="1"/>
  <c r="E1796" i="22" s="1"/>
  <c r="B1797" i="22"/>
  <c r="D1797" i="22" s="1"/>
  <c r="E1797" i="22" s="1"/>
  <c r="B1798" i="22"/>
  <c r="D1798" i="22" s="1"/>
  <c r="E1798" i="22" s="1"/>
  <c r="B1799" i="22"/>
  <c r="D1799" i="22" s="1"/>
  <c r="E1799" i="22" s="1"/>
  <c r="B1800" i="22"/>
  <c r="D1800" i="22" s="1"/>
  <c r="E1800" i="22" s="1"/>
  <c r="B1801" i="22"/>
  <c r="D1801" i="22" s="1"/>
  <c r="E1801" i="22" s="1"/>
  <c r="B1802" i="22"/>
  <c r="D1802" i="22" s="1"/>
  <c r="E1802" i="22" s="1"/>
  <c r="B1803" i="22"/>
  <c r="D1803" i="22" s="1"/>
  <c r="E1803" i="22" s="1"/>
  <c r="B1804" i="22"/>
  <c r="D1804" i="22" s="1"/>
  <c r="E1804" i="22" s="1"/>
  <c r="B1805" i="22"/>
  <c r="D1805" i="22" s="1"/>
  <c r="E1805" i="22" s="1"/>
  <c r="B1806" i="22"/>
  <c r="D1806" i="22" s="1"/>
  <c r="E1806" i="22" s="1"/>
  <c r="B1807" i="22"/>
  <c r="D1807" i="22" s="1"/>
  <c r="E1807" i="22" s="1"/>
  <c r="B1808" i="22"/>
  <c r="D1808" i="22" s="1"/>
  <c r="E1808" i="22" s="1"/>
  <c r="B1809" i="22"/>
  <c r="D1809" i="22" s="1"/>
  <c r="E1809" i="22" s="1"/>
  <c r="B1810" i="22"/>
  <c r="D1810" i="22" s="1"/>
  <c r="E1810" i="22" s="1"/>
  <c r="B1811" i="22"/>
  <c r="D1811" i="22" s="1"/>
  <c r="E1811" i="22" s="1"/>
  <c r="B1812" i="22"/>
  <c r="D1812" i="22" s="1"/>
  <c r="E1812" i="22" s="1"/>
  <c r="B1813" i="22"/>
  <c r="D1813" i="22" s="1"/>
  <c r="E1813" i="22" s="1"/>
  <c r="B1814" i="22"/>
  <c r="D1814" i="22" s="1"/>
  <c r="E1814" i="22" s="1"/>
  <c r="B1815" i="22"/>
  <c r="D1815" i="22" s="1"/>
  <c r="E1815" i="22" s="1"/>
  <c r="B1816" i="22"/>
  <c r="D1816" i="22" s="1"/>
  <c r="E1816" i="22" s="1"/>
  <c r="B1817" i="22"/>
  <c r="D1817" i="22" s="1"/>
  <c r="E1817" i="22" s="1"/>
  <c r="B1818" i="22"/>
  <c r="D1818" i="22" s="1"/>
  <c r="E1818" i="22" s="1"/>
  <c r="B1819" i="22"/>
  <c r="D1819" i="22" s="1"/>
  <c r="E1819" i="22" s="1"/>
  <c r="B1820" i="22"/>
  <c r="D1820" i="22" s="1"/>
  <c r="E1820" i="22" s="1"/>
  <c r="B1821" i="22"/>
  <c r="D1821" i="22" s="1"/>
  <c r="E1821" i="22" s="1"/>
  <c r="B1822" i="22"/>
  <c r="D1822" i="22" s="1"/>
  <c r="E1822" i="22" s="1"/>
  <c r="B1823" i="22"/>
  <c r="B1824" i="22"/>
  <c r="D1824" i="22" s="1"/>
  <c r="E1824" i="22" s="1"/>
  <c r="B1825" i="22"/>
  <c r="D1825" i="22" s="1"/>
  <c r="E1825" i="22" s="1"/>
  <c r="B1826" i="22"/>
  <c r="D1826" i="22" s="1"/>
  <c r="E1826" i="22" s="1"/>
  <c r="B1827" i="22"/>
  <c r="D1827" i="22" s="1"/>
  <c r="E1827" i="22" s="1"/>
  <c r="B1828" i="22"/>
  <c r="D1828" i="22" s="1"/>
  <c r="E1828" i="22" s="1"/>
  <c r="B1829" i="22"/>
  <c r="D1829" i="22" s="1"/>
  <c r="E1829" i="22" s="1"/>
  <c r="B1830" i="22"/>
  <c r="D1830" i="22" s="1"/>
  <c r="E1830" i="22" s="1"/>
  <c r="B1831" i="22"/>
  <c r="D1831" i="22" s="1"/>
  <c r="E1831" i="22" s="1"/>
  <c r="B1832" i="22"/>
  <c r="D1832" i="22" s="1"/>
  <c r="E1832" i="22" s="1"/>
  <c r="B1833" i="22"/>
  <c r="D1833" i="22" s="1"/>
  <c r="E1833" i="22" s="1"/>
  <c r="B1834" i="22"/>
  <c r="D1834" i="22" s="1"/>
  <c r="E1834" i="22" s="1"/>
  <c r="B1835" i="22"/>
  <c r="D1835" i="22" s="1"/>
  <c r="E1835" i="22" s="1"/>
  <c r="B1836" i="22"/>
  <c r="D1836" i="22" s="1"/>
  <c r="E1836" i="22" s="1"/>
  <c r="B1837" i="22"/>
  <c r="D1837" i="22" s="1"/>
  <c r="E1837" i="22" s="1"/>
  <c r="B1838" i="22"/>
  <c r="D1838" i="22" s="1"/>
  <c r="E1838" i="22" s="1"/>
  <c r="B1839" i="22"/>
  <c r="D1839" i="22" s="1"/>
  <c r="E1839" i="22" s="1"/>
  <c r="B1840" i="22"/>
  <c r="D1840" i="22" s="1"/>
  <c r="E1840" i="22" s="1"/>
  <c r="B1841" i="22"/>
  <c r="D1841" i="22" s="1"/>
  <c r="E1841" i="22" s="1"/>
  <c r="B1842" i="22"/>
  <c r="D1842" i="22" s="1"/>
  <c r="E1842" i="22" s="1"/>
  <c r="B1843" i="22"/>
  <c r="D1843" i="22" s="1"/>
  <c r="E1843" i="22" s="1"/>
  <c r="B1844" i="22"/>
  <c r="D1844" i="22" s="1"/>
  <c r="E1844" i="22" s="1"/>
  <c r="B1845" i="22"/>
  <c r="D1845" i="22" s="1"/>
  <c r="E1845" i="22" s="1"/>
  <c r="B1846" i="22"/>
  <c r="D1846" i="22" s="1"/>
  <c r="E1846" i="22" s="1"/>
  <c r="B1847" i="22"/>
  <c r="D1847" i="22" s="1"/>
  <c r="E1847" i="22" s="1"/>
  <c r="B1848" i="22"/>
  <c r="D1848" i="22" s="1"/>
  <c r="E1848" i="22" s="1"/>
  <c r="B1849" i="22"/>
  <c r="D1849" i="22" s="1"/>
  <c r="E1849" i="22" s="1"/>
  <c r="B1850" i="22"/>
  <c r="D1850" i="22" s="1"/>
  <c r="E1850" i="22" s="1"/>
  <c r="B1851" i="22"/>
  <c r="D1851" i="22" s="1"/>
  <c r="E1851" i="22" s="1"/>
  <c r="B1852" i="22"/>
  <c r="D1852" i="22" s="1"/>
  <c r="E1852" i="22" s="1"/>
  <c r="B1853" i="22"/>
  <c r="D1853" i="22" s="1"/>
  <c r="E1853" i="22" s="1"/>
  <c r="B1854" i="22"/>
  <c r="D1854" i="22" s="1"/>
  <c r="E1854" i="22" s="1"/>
  <c r="B1855" i="22"/>
  <c r="D1855" i="22" s="1"/>
  <c r="E1855" i="22" s="1"/>
  <c r="B1856" i="22"/>
  <c r="D1856" i="22" s="1"/>
  <c r="E1856" i="22" s="1"/>
  <c r="B1857" i="22"/>
  <c r="D1857" i="22" s="1"/>
  <c r="E1857" i="22" s="1"/>
  <c r="B1858" i="22"/>
  <c r="D1858" i="22" s="1"/>
  <c r="E1858" i="22" s="1"/>
  <c r="B1859" i="22"/>
  <c r="D1859" i="22" s="1"/>
  <c r="E1859" i="22" s="1"/>
  <c r="B1860" i="22"/>
  <c r="D1860" i="22" s="1"/>
  <c r="E1860" i="22" s="1"/>
  <c r="B1861" i="22"/>
  <c r="D1861" i="22" s="1"/>
  <c r="E1861" i="22" s="1"/>
  <c r="B1862" i="22"/>
  <c r="D1862" i="22" s="1"/>
  <c r="E1862" i="22" s="1"/>
  <c r="B1863" i="22"/>
  <c r="D1863" i="22" s="1"/>
  <c r="E1863" i="22" s="1"/>
  <c r="B1864" i="22"/>
  <c r="D1864" i="22" s="1"/>
  <c r="E1864" i="22" s="1"/>
  <c r="B1865" i="22"/>
  <c r="D1865" i="22" s="1"/>
  <c r="E1865" i="22" s="1"/>
  <c r="B1866" i="22"/>
  <c r="D1866" i="22" s="1"/>
  <c r="E1866" i="22" s="1"/>
  <c r="B1867" i="22"/>
  <c r="D1867" i="22" s="1"/>
  <c r="E1867" i="22" s="1"/>
  <c r="B1868" i="22"/>
  <c r="D1868" i="22" s="1"/>
  <c r="E1868" i="22" s="1"/>
  <c r="B1869" i="22"/>
  <c r="D1869" i="22" s="1"/>
  <c r="E1869" i="22" s="1"/>
  <c r="B1870" i="22"/>
  <c r="D1870" i="22" s="1"/>
  <c r="E1870" i="22" s="1"/>
  <c r="B1871" i="22"/>
  <c r="D1871" i="22" s="1"/>
  <c r="E1871" i="22" s="1"/>
  <c r="B1872" i="22"/>
  <c r="D1872" i="22" s="1"/>
  <c r="E1872" i="22" s="1"/>
  <c r="B1873" i="22"/>
  <c r="D1873" i="22" s="1"/>
  <c r="E1873" i="22" s="1"/>
  <c r="B1874" i="22"/>
  <c r="D1874" i="22" s="1"/>
  <c r="E1874" i="22" s="1"/>
  <c r="B1875" i="22"/>
  <c r="D1875" i="22" s="1"/>
  <c r="E1875" i="22" s="1"/>
  <c r="B1876" i="22"/>
  <c r="D1876" i="22" s="1"/>
  <c r="E1876" i="22" s="1"/>
  <c r="B1877" i="22"/>
  <c r="D1877" i="22" s="1"/>
  <c r="E1877" i="22" s="1"/>
  <c r="B1878" i="22"/>
  <c r="D1878" i="22" s="1"/>
  <c r="E1878" i="22" s="1"/>
  <c r="B1879" i="22"/>
  <c r="D1879" i="22" s="1"/>
  <c r="E1879" i="22" s="1"/>
  <c r="B1880" i="22"/>
  <c r="D1880" i="22" s="1"/>
  <c r="E1880" i="22" s="1"/>
  <c r="B1881" i="22"/>
  <c r="D1881" i="22" s="1"/>
  <c r="E1881" i="22" s="1"/>
  <c r="B1882" i="22"/>
  <c r="D1882" i="22" s="1"/>
  <c r="E1882" i="22" s="1"/>
  <c r="B1883" i="22"/>
  <c r="D1883" i="22" s="1"/>
  <c r="E1883" i="22" s="1"/>
  <c r="B1884" i="22"/>
  <c r="D1884" i="22" s="1"/>
  <c r="E1884" i="22" s="1"/>
  <c r="B1885" i="22"/>
  <c r="D1885" i="22" s="1"/>
  <c r="E1885" i="22" s="1"/>
  <c r="B1886" i="22"/>
  <c r="D1886" i="22" s="1"/>
  <c r="E1886" i="22" s="1"/>
  <c r="B1887" i="22"/>
  <c r="B1888" i="22"/>
  <c r="D1888" i="22" s="1"/>
  <c r="E1888" i="22" s="1"/>
  <c r="B1889" i="22"/>
  <c r="D1889" i="22" s="1"/>
  <c r="E1889" i="22" s="1"/>
  <c r="B1890" i="22"/>
  <c r="D1890" i="22" s="1"/>
  <c r="E1890" i="22" s="1"/>
  <c r="B1891" i="22"/>
  <c r="D1891" i="22" s="1"/>
  <c r="E1891" i="22" s="1"/>
  <c r="B1892" i="22"/>
  <c r="D1892" i="22" s="1"/>
  <c r="E1892" i="22" s="1"/>
  <c r="B1893" i="22"/>
  <c r="D1893" i="22" s="1"/>
  <c r="E1893" i="22" s="1"/>
  <c r="B1894" i="22"/>
  <c r="D1894" i="22" s="1"/>
  <c r="E1894" i="22" s="1"/>
  <c r="B1895" i="22"/>
  <c r="D1895" i="22" s="1"/>
  <c r="E1895" i="22" s="1"/>
  <c r="B1896" i="22"/>
  <c r="D1896" i="22" s="1"/>
  <c r="E1896" i="22" s="1"/>
  <c r="B1897" i="22"/>
  <c r="D1897" i="22" s="1"/>
  <c r="E1897" i="22" s="1"/>
  <c r="B1898" i="22"/>
  <c r="D1898" i="22" s="1"/>
  <c r="E1898" i="22" s="1"/>
  <c r="B1899" i="22"/>
  <c r="D1899" i="22" s="1"/>
  <c r="E1899" i="22" s="1"/>
  <c r="B1900" i="22"/>
  <c r="D1900" i="22" s="1"/>
  <c r="E1900" i="22" s="1"/>
  <c r="B1901" i="22"/>
  <c r="D1901" i="22" s="1"/>
  <c r="E1901" i="22" s="1"/>
  <c r="B1902" i="22"/>
  <c r="D1902" i="22" s="1"/>
  <c r="E1902" i="22" s="1"/>
  <c r="B1903" i="22"/>
  <c r="D1903" i="22" s="1"/>
  <c r="E1903" i="22" s="1"/>
  <c r="B1904" i="22"/>
  <c r="D1904" i="22" s="1"/>
  <c r="E1904" i="22" s="1"/>
  <c r="B1905" i="22"/>
  <c r="D1905" i="22" s="1"/>
  <c r="E1905" i="22" s="1"/>
  <c r="B1906" i="22"/>
  <c r="D1906" i="22" s="1"/>
  <c r="E1906" i="22" s="1"/>
  <c r="B1907" i="22"/>
  <c r="D1907" i="22" s="1"/>
  <c r="E1907" i="22" s="1"/>
  <c r="B1908" i="22"/>
  <c r="D1908" i="22" s="1"/>
  <c r="E1908" i="22" s="1"/>
  <c r="B1909" i="22"/>
  <c r="D1909" i="22" s="1"/>
  <c r="E1909" i="22" s="1"/>
  <c r="B1910" i="22"/>
  <c r="D1910" i="22" s="1"/>
  <c r="E1910" i="22" s="1"/>
  <c r="B1911" i="22"/>
  <c r="D1911" i="22" s="1"/>
  <c r="E1911" i="22" s="1"/>
  <c r="B1912" i="22"/>
  <c r="D1912" i="22" s="1"/>
  <c r="E1912" i="22" s="1"/>
  <c r="B1913" i="22"/>
  <c r="D1913" i="22" s="1"/>
  <c r="E1913" i="22" s="1"/>
  <c r="B1914" i="22"/>
  <c r="D1914" i="22" s="1"/>
  <c r="E1914" i="22" s="1"/>
  <c r="B1915" i="22"/>
  <c r="D1915" i="22" s="1"/>
  <c r="E1915" i="22" s="1"/>
  <c r="B1916" i="22"/>
  <c r="D1916" i="22" s="1"/>
  <c r="E1916" i="22" s="1"/>
  <c r="B1917" i="22"/>
  <c r="D1917" i="22" s="1"/>
  <c r="E1917" i="22" s="1"/>
  <c r="B1918" i="22"/>
  <c r="D1918" i="22" s="1"/>
  <c r="E1918" i="22" s="1"/>
  <c r="B1919" i="22"/>
  <c r="D1919" i="22" s="1"/>
  <c r="E1919" i="22" s="1"/>
  <c r="B1920" i="22"/>
  <c r="D1920" i="22" s="1"/>
  <c r="E1920" i="22" s="1"/>
  <c r="B1921" i="22"/>
  <c r="D1921" i="22" s="1"/>
  <c r="E1921" i="22" s="1"/>
  <c r="B1922" i="22"/>
  <c r="D1922" i="22" s="1"/>
  <c r="E1922" i="22" s="1"/>
  <c r="B1923" i="22"/>
  <c r="D1923" i="22" s="1"/>
  <c r="E1923" i="22" s="1"/>
  <c r="B1924" i="22"/>
  <c r="D1924" i="22" s="1"/>
  <c r="E1924" i="22" s="1"/>
  <c r="B1925" i="22"/>
  <c r="D1925" i="22" s="1"/>
  <c r="E1925" i="22" s="1"/>
  <c r="B1926" i="22"/>
  <c r="D1926" i="22" s="1"/>
  <c r="E1926" i="22" s="1"/>
  <c r="B1927" i="22"/>
  <c r="D1927" i="22" s="1"/>
  <c r="E1927" i="22" s="1"/>
  <c r="B1928" i="22"/>
  <c r="D1928" i="22" s="1"/>
  <c r="E1928" i="22" s="1"/>
  <c r="B1929" i="22"/>
  <c r="D1929" i="22" s="1"/>
  <c r="E1929" i="22" s="1"/>
  <c r="B1930" i="22"/>
  <c r="D1930" i="22" s="1"/>
  <c r="E1930" i="22" s="1"/>
  <c r="B1931" i="22"/>
  <c r="D1931" i="22" s="1"/>
  <c r="E1931" i="22" s="1"/>
  <c r="B1932" i="22"/>
  <c r="D1932" i="22" s="1"/>
  <c r="E1932" i="22" s="1"/>
  <c r="B1933" i="22"/>
  <c r="D1933" i="22" s="1"/>
  <c r="E1933" i="22" s="1"/>
  <c r="B1934" i="22"/>
  <c r="D1934" i="22" s="1"/>
  <c r="E1934" i="22" s="1"/>
  <c r="B1935" i="22"/>
  <c r="D1935" i="22" s="1"/>
  <c r="E1935" i="22" s="1"/>
  <c r="B1936" i="22"/>
  <c r="D1936" i="22" s="1"/>
  <c r="E1936" i="22" s="1"/>
  <c r="B1937" i="22"/>
  <c r="D1937" i="22" s="1"/>
  <c r="E1937" i="22" s="1"/>
  <c r="B1938" i="22"/>
  <c r="D1938" i="22" s="1"/>
  <c r="E1938" i="22" s="1"/>
  <c r="B1939" i="22"/>
  <c r="D1939" i="22" s="1"/>
  <c r="E1939" i="22" s="1"/>
  <c r="B1940" i="22"/>
  <c r="D1940" i="22" s="1"/>
  <c r="E1940" i="22" s="1"/>
  <c r="B1941" i="22"/>
  <c r="D1941" i="22" s="1"/>
  <c r="E1941" i="22" s="1"/>
  <c r="B1942" i="22"/>
  <c r="D1942" i="22" s="1"/>
  <c r="E1942" i="22" s="1"/>
  <c r="B1943" i="22"/>
  <c r="B1944" i="22"/>
  <c r="D1944" i="22" s="1"/>
  <c r="E1944" i="22" s="1"/>
  <c r="B1945" i="22"/>
  <c r="D1945" i="22" s="1"/>
  <c r="E1945" i="22" s="1"/>
  <c r="B1946" i="22"/>
  <c r="D1946" i="22" s="1"/>
  <c r="E1946" i="22" s="1"/>
  <c r="B1947" i="22"/>
  <c r="D1947" i="22" s="1"/>
  <c r="E1947" i="22" s="1"/>
  <c r="B1948" i="22"/>
  <c r="D1948" i="22" s="1"/>
  <c r="E1948" i="22" s="1"/>
  <c r="B1949" i="22"/>
  <c r="D1949" i="22" s="1"/>
  <c r="E1949" i="22" s="1"/>
  <c r="B1950" i="22"/>
  <c r="D1950" i="22" s="1"/>
  <c r="E1950" i="22" s="1"/>
  <c r="B1951" i="22"/>
  <c r="D1951" i="22" s="1"/>
  <c r="E1951" i="22" s="1"/>
  <c r="B1952" i="22"/>
  <c r="D1952" i="22" s="1"/>
  <c r="E1952" i="22" s="1"/>
  <c r="B1953" i="22"/>
  <c r="D1953" i="22" s="1"/>
  <c r="E1953" i="22" s="1"/>
  <c r="B1954" i="22"/>
  <c r="D1954" i="22" s="1"/>
  <c r="E1954" i="22" s="1"/>
  <c r="B1955" i="22"/>
  <c r="D1955" i="22" s="1"/>
  <c r="E1955" i="22" s="1"/>
  <c r="B1956" i="22"/>
  <c r="D1956" i="22" s="1"/>
  <c r="E1956" i="22" s="1"/>
  <c r="B1957" i="22"/>
  <c r="D1957" i="22" s="1"/>
  <c r="E1957" i="22" s="1"/>
  <c r="B1958" i="22"/>
  <c r="D1958" i="22" s="1"/>
  <c r="E1958" i="22" s="1"/>
  <c r="B1959" i="22"/>
  <c r="D1959" i="22" s="1"/>
  <c r="E1959" i="22" s="1"/>
  <c r="B1960" i="22"/>
  <c r="D1960" i="22" s="1"/>
  <c r="E1960" i="22" s="1"/>
  <c r="B1961" i="22"/>
  <c r="D1961" i="22" s="1"/>
  <c r="E1961" i="22" s="1"/>
  <c r="B1962" i="22"/>
  <c r="D1962" i="22" s="1"/>
  <c r="E1962" i="22" s="1"/>
  <c r="B1963" i="22"/>
  <c r="D1963" i="22" s="1"/>
  <c r="E1963" i="22" s="1"/>
  <c r="B1964" i="22"/>
  <c r="D1964" i="22" s="1"/>
  <c r="E1964" i="22" s="1"/>
  <c r="B1965" i="22"/>
  <c r="D1965" i="22" s="1"/>
  <c r="E1965" i="22" s="1"/>
  <c r="B1966" i="22"/>
  <c r="D1966" i="22" s="1"/>
  <c r="E1966" i="22" s="1"/>
  <c r="B1967" i="22"/>
  <c r="D1967" i="22" s="1"/>
  <c r="E1967" i="22" s="1"/>
  <c r="B1968" i="22"/>
  <c r="D1968" i="22" s="1"/>
  <c r="E1968" i="22" s="1"/>
  <c r="B1969" i="22"/>
  <c r="D1969" i="22" s="1"/>
  <c r="E1969" i="22" s="1"/>
  <c r="B1970" i="22"/>
  <c r="D1970" i="22" s="1"/>
  <c r="E1970" i="22" s="1"/>
  <c r="B1971" i="22"/>
  <c r="D1971" i="22" s="1"/>
  <c r="E1971" i="22" s="1"/>
  <c r="B1972" i="22"/>
  <c r="D1972" i="22" s="1"/>
  <c r="E1972" i="22" s="1"/>
  <c r="B1973" i="22"/>
  <c r="D1973" i="22" s="1"/>
  <c r="E1973" i="22" s="1"/>
  <c r="B1974" i="22"/>
  <c r="D1974" i="22" s="1"/>
  <c r="E1974" i="22" s="1"/>
  <c r="B1975" i="22"/>
  <c r="D1975" i="22" s="1"/>
  <c r="E1975" i="22" s="1"/>
  <c r="B1976" i="22"/>
  <c r="D1976" i="22" s="1"/>
  <c r="E1976" i="22" s="1"/>
  <c r="B1977" i="22"/>
  <c r="D1977" i="22" s="1"/>
  <c r="E1977" i="22" s="1"/>
  <c r="B1978" i="22"/>
  <c r="D1978" i="22" s="1"/>
  <c r="E1978" i="22" s="1"/>
  <c r="B1979" i="22"/>
  <c r="D1979" i="22" s="1"/>
  <c r="E1979" i="22" s="1"/>
  <c r="B1980" i="22"/>
  <c r="D1980" i="22" s="1"/>
  <c r="E1980" i="22" s="1"/>
  <c r="B1981" i="22"/>
  <c r="D1981" i="22" s="1"/>
  <c r="E1981" i="22" s="1"/>
  <c r="B1982" i="22"/>
  <c r="D1982" i="22" s="1"/>
  <c r="E1982" i="22" s="1"/>
  <c r="B1983" i="22"/>
  <c r="D1983" i="22" s="1"/>
  <c r="E1983" i="22" s="1"/>
  <c r="B1984" i="22"/>
  <c r="D1984" i="22" s="1"/>
  <c r="E1984" i="22" s="1"/>
  <c r="B1985" i="22"/>
  <c r="D1985" i="22" s="1"/>
  <c r="E1985" i="22" s="1"/>
  <c r="B1986" i="22"/>
  <c r="D1986" i="22" s="1"/>
  <c r="E1986" i="22" s="1"/>
  <c r="B1987" i="22"/>
  <c r="D1987" i="22" s="1"/>
  <c r="E1987" i="22" s="1"/>
  <c r="B1988" i="22"/>
  <c r="D1988" i="22" s="1"/>
  <c r="E1988" i="22" s="1"/>
  <c r="B1989" i="22"/>
  <c r="D1989" i="22" s="1"/>
  <c r="E1989" i="22" s="1"/>
  <c r="B1990" i="22"/>
  <c r="D1990" i="22" s="1"/>
  <c r="E1990" i="22" s="1"/>
  <c r="B1991" i="22"/>
  <c r="D1991" i="22" s="1"/>
  <c r="E1991" i="22" s="1"/>
  <c r="B1992" i="22"/>
  <c r="D1992" i="22" s="1"/>
  <c r="E1992" i="22" s="1"/>
  <c r="B1993" i="22"/>
  <c r="D1993" i="22" s="1"/>
  <c r="E1993" i="22" s="1"/>
  <c r="B1994" i="22"/>
  <c r="D1994" i="22" s="1"/>
  <c r="E1994" i="22" s="1"/>
  <c r="B1995" i="22"/>
  <c r="D1995" i="22" s="1"/>
  <c r="E1995" i="22" s="1"/>
  <c r="B1996" i="22"/>
  <c r="D1996" i="22" s="1"/>
  <c r="E1996" i="22" s="1"/>
  <c r="B1997" i="22"/>
  <c r="D1997" i="22" s="1"/>
  <c r="E1997" i="22" s="1"/>
  <c r="B1998" i="22"/>
  <c r="D1998" i="22" s="1"/>
  <c r="E1998" i="22" s="1"/>
  <c r="B1999" i="22"/>
  <c r="D1999" i="22" s="1"/>
  <c r="E1999" i="22" s="1"/>
  <c r="B2000" i="22"/>
  <c r="D2000" i="22" s="1"/>
  <c r="E2000" i="22" s="1"/>
  <c r="B2001" i="22"/>
  <c r="D2001" i="22" s="1"/>
  <c r="E2001" i="22" s="1"/>
  <c r="B2002" i="22"/>
  <c r="D2002" i="22" s="1"/>
  <c r="E2002" i="22" s="1"/>
  <c r="B2003" i="22"/>
  <c r="D2003" i="22" s="1"/>
  <c r="E2003" i="22" s="1"/>
  <c r="B2004" i="22"/>
  <c r="D2004" i="22" s="1"/>
  <c r="E2004" i="22" s="1"/>
  <c r="B2005" i="22"/>
  <c r="D2005" i="22" s="1"/>
  <c r="E2005" i="22" s="1"/>
  <c r="B2006" i="22"/>
  <c r="D2006" i="22" s="1"/>
  <c r="E2006" i="22" s="1"/>
  <c r="B2007" i="22"/>
  <c r="D2007" i="22" s="1"/>
  <c r="E2007" i="22" s="1"/>
  <c r="B2008" i="22"/>
  <c r="D2008" i="22" s="1"/>
  <c r="E2008" i="22" s="1"/>
  <c r="B2009" i="22"/>
  <c r="D2009" i="22" s="1"/>
  <c r="E2009" i="22" s="1"/>
  <c r="B2010" i="22"/>
  <c r="D2010" i="22" s="1"/>
  <c r="E2010" i="22" s="1"/>
  <c r="B2011" i="22"/>
  <c r="D2011" i="22" s="1"/>
  <c r="E2011" i="22" s="1"/>
  <c r="B2012" i="22"/>
  <c r="D2012" i="22" s="1"/>
  <c r="E2012" i="22" s="1"/>
  <c r="B2013" i="22"/>
  <c r="D2013" i="22" s="1"/>
  <c r="E2013" i="22" s="1"/>
  <c r="B2014" i="22"/>
  <c r="D2014" i="22" s="1"/>
  <c r="E2014" i="22" s="1"/>
  <c r="B2015" i="22"/>
  <c r="B2016" i="22"/>
  <c r="D2016" i="22" s="1"/>
  <c r="E2016" i="22" s="1"/>
  <c r="B2017" i="22"/>
  <c r="D2017" i="22" s="1"/>
  <c r="E2017" i="22" s="1"/>
  <c r="B2018" i="22"/>
  <c r="D2018" i="22" s="1"/>
  <c r="E2018" i="22" s="1"/>
  <c r="B2019" i="22"/>
  <c r="D2019" i="22" s="1"/>
  <c r="E2019" i="22" s="1"/>
  <c r="B2020" i="22"/>
  <c r="D2020" i="22" s="1"/>
  <c r="E2020" i="22" s="1"/>
  <c r="B2021" i="22"/>
  <c r="D2021" i="22" s="1"/>
  <c r="E2021" i="22" s="1"/>
  <c r="B2022" i="22"/>
  <c r="D2022" i="22" s="1"/>
  <c r="E2022" i="22" s="1"/>
  <c r="B2023" i="22"/>
  <c r="D2023" i="22" s="1"/>
  <c r="E2023" i="22" s="1"/>
  <c r="B2024" i="22"/>
  <c r="D2024" i="22" s="1"/>
  <c r="E2024" i="22" s="1"/>
  <c r="B2025" i="22"/>
  <c r="D2025" i="22" s="1"/>
  <c r="E2025" i="22" s="1"/>
  <c r="B2026" i="22"/>
  <c r="D2026" i="22" s="1"/>
  <c r="E2026" i="22" s="1"/>
  <c r="B2027" i="22"/>
  <c r="D2027" i="22" s="1"/>
  <c r="E2027" i="22" s="1"/>
  <c r="B2028" i="22"/>
  <c r="D2028" i="22" s="1"/>
  <c r="E2028" i="22" s="1"/>
  <c r="B2029" i="22"/>
  <c r="D2029" i="22" s="1"/>
  <c r="E2029" i="22" s="1"/>
  <c r="B2030" i="22"/>
  <c r="D2030" i="22" s="1"/>
  <c r="E2030" i="22" s="1"/>
  <c r="B2031" i="22"/>
  <c r="D2031" i="22" s="1"/>
  <c r="E2031" i="22" s="1"/>
  <c r="B2032" i="22"/>
  <c r="D2032" i="22" s="1"/>
  <c r="E2032" i="22" s="1"/>
  <c r="B2033" i="22"/>
  <c r="D2033" i="22" s="1"/>
  <c r="E2033" i="22" s="1"/>
  <c r="B2034" i="22"/>
  <c r="D2034" i="22" s="1"/>
  <c r="E2034" i="22" s="1"/>
  <c r="B2035" i="22"/>
  <c r="D2035" i="22" s="1"/>
  <c r="E2035" i="22" s="1"/>
  <c r="B2036" i="22"/>
  <c r="D2036" i="22" s="1"/>
  <c r="E2036" i="22" s="1"/>
  <c r="B2037" i="22"/>
  <c r="D2037" i="22" s="1"/>
  <c r="E2037" i="22" s="1"/>
  <c r="B2038" i="22"/>
  <c r="D2038" i="22" s="1"/>
  <c r="E2038" i="22" s="1"/>
  <c r="B2039" i="22"/>
  <c r="D2039" i="22" s="1"/>
  <c r="E2039" i="22" s="1"/>
  <c r="B2040" i="22"/>
  <c r="D2040" i="22" s="1"/>
  <c r="E2040" i="22" s="1"/>
  <c r="B2041" i="22"/>
  <c r="D2041" i="22" s="1"/>
  <c r="E2041" i="22" s="1"/>
  <c r="B2042" i="22"/>
  <c r="D2042" i="22" s="1"/>
  <c r="E2042" i="22" s="1"/>
  <c r="B2043" i="22"/>
  <c r="D2043" i="22" s="1"/>
  <c r="E2043" i="22" s="1"/>
  <c r="B2044" i="22"/>
  <c r="D2044" i="22" s="1"/>
  <c r="E2044" i="22" s="1"/>
  <c r="B2045" i="22"/>
  <c r="D2045" i="22" s="1"/>
  <c r="E2045" i="22" s="1"/>
  <c r="B2046" i="22"/>
  <c r="D2046" i="22" s="1"/>
  <c r="E2046" i="22" s="1"/>
  <c r="B2047" i="22"/>
  <c r="D2047" i="22" s="1"/>
  <c r="E2047" i="22" s="1"/>
  <c r="B2048" i="22"/>
  <c r="D2048" i="22" s="1"/>
  <c r="E2048" i="22" s="1"/>
  <c r="B2049" i="22"/>
  <c r="D2049" i="22" s="1"/>
  <c r="E2049" i="22" s="1"/>
  <c r="B2050" i="22"/>
  <c r="D2050" i="22" s="1"/>
  <c r="E2050" i="22" s="1"/>
  <c r="B2051" i="22"/>
  <c r="D2051" i="22" s="1"/>
  <c r="E2051" i="22" s="1"/>
  <c r="B2052" i="22"/>
  <c r="D2052" i="22" s="1"/>
  <c r="E2052" i="22" s="1"/>
  <c r="B2053" i="22"/>
  <c r="D2053" i="22" s="1"/>
  <c r="E2053" i="22" s="1"/>
  <c r="B2054" i="22"/>
  <c r="D2054" i="22" s="1"/>
  <c r="E2054" i="22" s="1"/>
  <c r="B2055" i="22"/>
  <c r="D2055" i="22" s="1"/>
  <c r="E2055" i="22" s="1"/>
  <c r="B2056" i="22"/>
  <c r="D2056" i="22" s="1"/>
  <c r="E2056" i="22" s="1"/>
  <c r="B2057" i="22"/>
  <c r="D2057" i="22" s="1"/>
  <c r="E2057" i="22" s="1"/>
  <c r="B2058" i="22"/>
  <c r="D2058" i="22" s="1"/>
  <c r="E2058" i="22" s="1"/>
  <c r="B2059" i="22"/>
  <c r="D2059" i="22" s="1"/>
  <c r="E2059" i="22" s="1"/>
  <c r="B2060" i="22"/>
  <c r="D2060" i="22" s="1"/>
  <c r="E2060" i="22" s="1"/>
  <c r="B2061" i="22"/>
  <c r="D2061" i="22" s="1"/>
  <c r="E2061" i="22" s="1"/>
  <c r="B2062" i="22"/>
  <c r="D2062" i="22" s="1"/>
  <c r="E2062" i="22" s="1"/>
  <c r="B2063" i="22"/>
  <c r="D2063" i="22" s="1"/>
  <c r="E2063" i="22" s="1"/>
  <c r="B2064" i="22"/>
  <c r="D2064" i="22" s="1"/>
  <c r="E2064" i="22" s="1"/>
  <c r="B2065" i="22"/>
  <c r="D2065" i="22" s="1"/>
  <c r="E2065" i="22" s="1"/>
  <c r="B2066" i="22"/>
  <c r="D2066" i="22" s="1"/>
  <c r="E2066" i="22" s="1"/>
  <c r="B2067" i="22"/>
  <c r="D2067" i="22" s="1"/>
  <c r="E2067" i="22" s="1"/>
  <c r="B2068" i="22"/>
  <c r="D2068" i="22" s="1"/>
  <c r="E2068" i="22" s="1"/>
  <c r="C2068" i="22"/>
  <c r="B2069" i="22"/>
  <c r="C2069" i="22"/>
  <c r="B2070" i="22"/>
  <c r="C2070" i="22"/>
  <c r="B2071" i="22"/>
  <c r="C2071" i="22"/>
  <c r="D2071" i="22" s="1"/>
  <c r="E2071" i="22" s="1"/>
  <c r="B2072" i="22"/>
  <c r="D2072" i="22" s="1"/>
  <c r="E2072" i="22" s="1"/>
  <c r="C2072" i="22"/>
  <c r="B2073" i="22"/>
  <c r="C2073" i="22"/>
  <c r="B2074" i="22"/>
  <c r="C2074" i="22"/>
  <c r="B2075" i="22"/>
  <c r="C2075" i="22"/>
  <c r="B2076" i="22"/>
  <c r="D2076" i="22" s="1"/>
  <c r="E2076" i="22" s="1"/>
  <c r="C2076" i="22"/>
  <c r="B2077" i="22"/>
  <c r="D2077" i="22" s="1"/>
  <c r="E2077" i="22" s="1"/>
  <c r="C2077" i="22"/>
  <c r="B2078" i="22"/>
  <c r="C2078" i="22"/>
  <c r="B2079" i="22"/>
  <c r="C2079" i="22"/>
  <c r="D2079" i="22" s="1"/>
  <c r="E2079" i="22" s="1"/>
  <c r="B2080" i="22"/>
  <c r="D2080" i="22" s="1"/>
  <c r="E2080" i="22" s="1"/>
  <c r="C2080" i="22"/>
  <c r="B2081" i="22"/>
  <c r="C2081" i="22"/>
  <c r="B2082" i="22"/>
  <c r="C2082" i="22"/>
  <c r="B2083" i="22"/>
  <c r="C2083" i="22"/>
  <c r="B2084" i="22"/>
  <c r="D2084" i="22" s="1"/>
  <c r="E2084" i="22" s="1"/>
  <c r="C2084" i="22"/>
  <c r="B2085" i="22"/>
  <c r="D2085" i="22" s="1"/>
  <c r="E2085" i="22" s="1"/>
  <c r="C2085" i="22"/>
  <c r="B2086" i="22"/>
  <c r="C2086" i="22"/>
  <c r="B2087" i="22"/>
  <c r="C2087" i="22"/>
  <c r="B2088" i="22"/>
  <c r="D2088" i="22" s="1"/>
  <c r="E2088" i="22" s="1"/>
  <c r="C2088" i="22"/>
  <c r="B2089" i="22"/>
  <c r="C2089" i="22"/>
  <c r="B2090" i="22"/>
  <c r="C2090" i="22"/>
  <c r="B2091" i="22"/>
  <c r="C2091" i="22"/>
  <c r="B2092" i="22"/>
  <c r="D2092" i="22" s="1"/>
  <c r="E2092" i="22" s="1"/>
  <c r="C2092" i="22"/>
  <c r="B2093" i="22"/>
  <c r="C2093" i="22"/>
  <c r="B2094" i="22"/>
  <c r="C2094" i="22"/>
  <c r="B2095" i="22"/>
  <c r="C2095" i="22"/>
  <c r="B2096" i="22"/>
  <c r="D2096" i="22" s="1"/>
  <c r="E2096" i="22" s="1"/>
  <c r="C2096" i="22"/>
  <c r="B2097" i="22"/>
  <c r="C2097" i="22"/>
  <c r="B2098" i="22"/>
  <c r="C2098" i="22"/>
  <c r="B2099" i="22"/>
  <c r="C2099" i="22"/>
  <c r="B2100" i="22"/>
  <c r="D2100" i="22" s="1"/>
  <c r="E2100" i="22" s="1"/>
  <c r="C2100" i="22"/>
  <c r="B2101" i="22"/>
  <c r="D2101" i="22" s="1"/>
  <c r="E2101" i="22" s="1"/>
  <c r="C2101" i="22"/>
  <c r="B2102" i="22"/>
  <c r="C2102" i="22"/>
  <c r="B2103" i="22"/>
  <c r="C2103" i="22"/>
  <c r="D2103" i="22" s="1"/>
  <c r="E2103" i="22" s="1"/>
  <c r="B2104" i="22"/>
  <c r="D2104" i="22" s="1"/>
  <c r="E2104" i="22" s="1"/>
  <c r="C2104" i="22"/>
  <c r="B2105" i="22"/>
  <c r="C2105" i="22"/>
  <c r="B2106" i="22"/>
  <c r="C2106" i="22"/>
  <c r="B2107" i="22"/>
  <c r="C2107" i="22"/>
  <c r="B2108" i="22"/>
  <c r="D2108" i="22" s="1"/>
  <c r="E2108" i="22" s="1"/>
  <c r="C2108" i="22"/>
  <c r="B2109" i="22"/>
  <c r="D2109" i="22" s="1"/>
  <c r="E2109" i="22" s="1"/>
  <c r="C2109" i="22"/>
  <c r="B2110" i="22"/>
  <c r="C2110" i="22"/>
  <c r="B2111" i="22"/>
  <c r="C2111" i="22"/>
  <c r="D2111" i="22" s="1"/>
  <c r="E2111" i="22" s="1"/>
  <c r="B2112" i="22"/>
  <c r="D2112" i="22" s="1"/>
  <c r="E2112" i="22" s="1"/>
  <c r="C2112" i="22"/>
  <c r="B2113" i="22"/>
  <c r="C2113" i="22"/>
  <c r="B2114" i="22"/>
  <c r="C2114" i="22"/>
  <c r="B2115" i="22"/>
  <c r="C2115" i="22"/>
  <c r="B2116" i="22"/>
  <c r="D2116" i="22" s="1"/>
  <c r="E2116" i="22" s="1"/>
  <c r="C2116" i="22"/>
  <c r="B2117" i="22"/>
  <c r="D2117" i="22" s="1"/>
  <c r="E2117" i="22" s="1"/>
  <c r="C2117" i="22"/>
  <c r="B2118" i="22"/>
  <c r="C2118" i="22"/>
  <c r="B2119" i="22"/>
  <c r="C2119" i="22"/>
  <c r="B2120" i="22"/>
  <c r="D2120" i="22" s="1"/>
  <c r="E2120" i="22" s="1"/>
  <c r="C2120" i="22"/>
  <c r="B2121" i="22"/>
  <c r="C2121" i="22"/>
  <c r="B2122" i="22"/>
  <c r="C2122" i="22"/>
  <c r="B2123" i="22"/>
  <c r="C2123" i="22"/>
  <c r="B2124" i="22"/>
  <c r="D2124" i="22" s="1"/>
  <c r="E2124" i="22" s="1"/>
  <c r="C2124" i="22"/>
  <c r="B2125" i="22"/>
  <c r="C2125" i="22"/>
  <c r="B2126" i="22"/>
  <c r="C2126" i="22"/>
  <c r="B2127" i="22"/>
  <c r="C2127" i="22"/>
  <c r="B2128" i="22"/>
  <c r="D2128" i="22" s="1"/>
  <c r="E2128" i="22" s="1"/>
  <c r="C2128" i="22"/>
  <c r="B2129" i="22"/>
  <c r="C2129" i="22"/>
  <c r="B2130" i="22"/>
  <c r="C2130" i="22"/>
  <c r="B2131" i="22"/>
  <c r="C2131" i="22"/>
  <c r="B2132" i="22"/>
  <c r="D2132" i="22" s="1"/>
  <c r="E2132" i="22" s="1"/>
  <c r="C2132" i="22"/>
  <c r="B2133" i="22"/>
  <c r="D2133" i="22" s="1"/>
  <c r="E2133" i="22" s="1"/>
  <c r="C2133" i="22"/>
  <c r="B2134" i="22"/>
  <c r="C2134" i="22"/>
  <c r="B2135" i="22"/>
  <c r="C2135" i="22"/>
  <c r="D2135" i="22" s="1"/>
  <c r="E2135" i="22" s="1"/>
  <c r="B2136" i="22"/>
  <c r="D2136" i="22" s="1"/>
  <c r="E2136" i="22" s="1"/>
  <c r="C2136" i="22"/>
  <c r="B2137" i="22"/>
  <c r="C2137" i="22"/>
  <c r="B2138" i="22"/>
  <c r="C2138" i="22"/>
  <c r="B2139" i="22"/>
  <c r="C2139" i="22"/>
  <c r="B2140" i="22"/>
  <c r="D2140" i="22" s="1"/>
  <c r="E2140" i="22" s="1"/>
  <c r="C2140" i="22"/>
  <c r="B2141" i="22"/>
  <c r="D2141" i="22" s="1"/>
  <c r="E2141" i="22" s="1"/>
  <c r="C2141" i="22"/>
  <c r="B2142" i="22"/>
  <c r="C2142" i="22"/>
  <c r="B2143" i="22"/>
  <c r="C2143" i="22"/>
  <c r="D2143" i="22" s="1"/>
  <c r="E2143" i="22" s="1"/>
  <c r="B2144" i="22"/>
  <c r="D2144" i="22" s="1"/>
  <c r="E2144" i="22" s="1"/>
  <c r="C2144" i="22"/>
  <c r="B2145" i="22"/>
  <c r="C2145" i="22"/>
  <c r="B2146" i="22"/>
  <c r="C2146" i="22"/>
  <c r="B2147" i="22"/>
  <c r="C2147" i="22"/>
  <c r="B2148" i="22"/>
  <c r="D2148" i="22" s="1"/>
  <c r="E2148" i="22" s="1"/>
  <c r="C2148" i="22"/>
  <c r="B2149" i="22"/>
  <c r="D2149" i="22" s="1"/>
  <c r="E2149" i="22" s="1"/>
  <c r="C2149" i="22"/>
  <c r="B2150" i="22"/>
  <c r="C2150" i="22"/>
  <c r="B2151" i="22"/>
  <c r="C2151" i="22"/>
  <c r="B2152" i="22"/>
  <c r="D2152" i="22" s="1"/>
  <c r="E2152" i="22" s="1"/>
  <c r="C2152" i="22"/>
  <c r="B2153" i="22"/>
  <c r="D2153" i="22" s="1"/>
  <c r="E2153" i="22" s="1"/>
  <c r="C2153" i="22"/>
  <c r="B2154" i="22"/>
  <c r="C2154" i="22"/>
  <c r="B2155" i="22"/>
  <c r="C2155" i="22"/>
  <c r="B2156" i="22"/>
  <c r="D2156" i="22" s="1"/>
  <c r="E2156" i="22" s="1"/>
  <c r="C2156" i="22"/>
  <c r="B2157" i="22"/>
  <c r="D2157" i="22" s="1"/>
  <c r="E2157" i="22" s="1"/>
  <c r="C2157" i="22"/>
  <c r="B2158" i="22"/>
  <c r="C2158" i="22"/>
  <c r="B2159" i="22"/>
  <c r="C2159" i="22"/>
  <c r="B2160" i="22"/>
  <c r="D2160" i="22" s="1"/>
  <c r="E2160" i="22" s="1"/>
  <c r="C2160" i="22"/>
  <c r="B2161" i="22"/>
  <c r="D2161" i="22" s="1"/>
  <c r="E2161" i="22" s="1"/>
  <c r="C2161" i="22"/>
  <c r="B2162" i="22"/>
  <c r="C2162" i="22"/>
  <c r="B2163" i="22"/>
  <c r="C2163" i="22"/>
  <c r="B2164" i="22"/>
  <c r="D2164" i="22" s="1"/>
  <c r="E2164" i="22" s="1"/>
  <c r="C2164" i="22"/>
  <c r="B2165" i="22"/>
  <c r="D2165" i="22" s="1"/>
  <c r="E2165" i="22" s="1"/>
  <c r="C2165" i="22"/>
  <c r="B2166" i="22"/>
  <c r="C2166" i="22"/>
  <c r="B2167" i="22"/>
  <c r="C2167" i="22"/>
  <c r="B2168" i="22"/>
  <c r="D2168" i="22" s="1"/>
  <c r="E2168" i="22" s="1"/>
  <c r="C2168" i="22"/>
  <c r="B2169" i="22"/>
  <c r="D2169" i="22" s="1"/>
  <c r="E2169" i="22" s="1"/>
  <c r="C2169" i="22"/>
  <c r="B2170" i="22"/>
  <c r="C2170" i="22"/>
  <c r="B2171" i="22"/>
  <c r="C2171" i="22"/>
  <c r="B2172" i="22"/>
  <c r="D2172" i="22" s="1"/>
  <c r="E2172" i="22" s="1"/>
  <c r="C2172" i="22"/>
  <c r="B2173" i="22"/>
  <c r="D2173" i="22" s="1"/>
  <c r="E2173" i="22" s="1"/>
  <c r="C2173" i="22"/>
  <c r="B2174" i="22"/>
  <c r="C2174" i="22"/>
  <c r="B2175" i="22"/>
  <c r="C2175" i="22"/>
  <c r="B2176" i="22"/>
  <c r="D2176" i="22" s="1"/>
  <c r="E2176" i="22" s="1"/>
  <c r="C2176" i="22"/>
  <c r="B2177" i="22"/>
  <c r="D2177" i="22" s="1"/>
  <c r="E2177" i="22" s="1"/>
  <c r="C2177" i="22"/>
  <c r="B2178" i="22"/>
  <c r="C2178" i="22"/>
  <c r="B2179" i="22"/>
  <c r="C2179" i="22"/>
  <c r="B2180" i="22"/>
  <c r="D2180" i="22" s="1"/>
  <c r="E2180" i="22" s="1"/>
  <c r="C2180" i="22"/>
  <c r="B2181" i="22"/>
  <c r="D2181" i="22" s="1"/>
  <c r="E2181" i="22" s="1"/>
  <c r="C2181" i="22"/>
  <c r="B2182" i="22"/>
  <c r="C2182" i="22"/>
  <c r="B2183" i="22"/>
  <c r="C2183" i="22"/>
  <c r="B2184" i="22"/>
  <c r="D2184" i="22" s="1"/>
  <c r="E2184" i="22" s="1"/>
  <c r="C2184" i="22"/>
  <c r="B2185" i="22"/>
  <c r="D2185" i="22" s="1"/>
  <c r="E2185" i="22" s="1"/>
  <c r="C2185" i="22"/>
  <c r="B2186" i="22"/>
  <c r="C2186" i="22"/>
  <c r="B2187" i="22"/>
  <c r="C2187" i="22"/>
  <c r="B2188" i="22"/>
  <c r="D2188" i="22" s="1"/>
  <c r="E2188" i="22" s="1"/>
  <c r="C2188" i="22"/>
  <c r="B2189" i="22"/>
  <c r="D2189" i="22" s="1"/>
  <c r="E2189" i="22" s="1"/>
  <c r="C2189" i="22"/>
  <c r="B2190" i="22"/>
  <c r="C2190" i="22"/>
  <c r="B2191" i="22"/>
  <c r="C2191" i="22"/>
  <c r="B2192" i="22"/>
  <c r="D2192" i="22" s="1"/>
  <c r="E2192" i="22" s="1"/>
  <c r="C2192" i="22"/>
  <c r="B2193" i="22"/>
  <c r="D2193" i="22" s="1"/>
  <c r="E2193" i="22" s="1"/>
  <c r="C2193" i="22"/>
  <c r="B2194" i="22"/>
  <c r="C2194" i="22"/>
  <c r="B2195" i="22"/>
  <c r="C2195" i="22"/>
  <c r="B2196" i="22"/>
  <c r="D2196" i="22" s="1"/>
  <c r="E2196" i="22" s="1"/>
  <c r="C2196" i="22"/>
  <c r="B2197" i="22"/>
  <c r="D2197" i="22" s="1"/>
  <c r="E2197" i="22" s="1"/>
  <c r="C2197" i="22"/>
  <c r="B2198" i="22"/>
  <c r="C2198" i="22"/>
  <c r="B2199" i="22"/>
  <c r="C2199" i="22"/>
  <c r="D2199" i="22" s="1"/>
  <c r="E2199" i="22" s="1"/>
  <c r="B2200" i="22"/>
  <c r="D2200" i="22" s="1"/>
  <c r="E2200" i="22" s="1"/>
  <c r="C2200" i="22"/>
  <c r="B2201" i="22"/>
  <c r="D2201" i="22" s="1"/>
  <c r="E2201" i="22" s="1"/>
  <c r="C2201" i="22"/>
  <c r="B2202" i="22"/>
  <c r="D2202" i="22" s="1"/>
  <c r="E2202" i="22" s="1"/>
  <c r="C2202" i="22"/>
  <c r="B2203" i="22"/>
  <c r="C2203" i="22"/>
  <c r="B2204" i="22"/>
  <c r="D2204" i="22" s="1"/>
  <c r="E2204" i="22" s="1"/>
  <c r="C2204" i="22"/>
  <c r="B2205" i="22"/>
  <c r="D2205" i="22" s="1"/>
  <c r="E2205" i="22" s="1"/>
  <c r="C2205" i="22"/>
  <c r="B2206" i="22"/>
  <c r="C2206" i="22"/>
  <c r="B2207" i="22"/>
  <c r="C2207" i="22"/>
  <c r="B2208" i="22"/>
  <c r="D2208" i="22" s="1"/>
  <c r="E2208" i="22" s="1"/>
  <c r="C2208" i="22"/>
  <c r="B2209" i="22"/>
  <c r="D2209" i="22" s="1"/>
  <c r="E2209" i="22" s="1"/>
  <c r="C2209" i="22"/>
  <c r="B2210" i="22"/>
  <c r="C2210" i="22"/>
  <c r="B2211" i="22"/>
  <c r="C2211" i="22"/>
  <c r="B2212" i="22"/>
  <c r="D2212" i="22" s="1"/>
  <c r="E2212" i="22" s="1"/>
  <c r="C2212" i="22"/>
  <c r="B2213" i="22"/>
  <c r="D2213" i="22" s="1"/>
  <c r="E2213" i="22" s="1"/>
  <c r="C2213" i="22"/>
  <c r="B2214" i="22"/>
  <c r="C2214" i="22"/>
  <c r="B2215" i="22"/>
  <c r="C2215" i="22"/>
  <c r="B2216" i="22"/>
  <c r="D2216" i="22" s="1"/>
  <c r="E2216" i="22" s="1"/>
  <c r="C2216" i="22"/>
  <c r="B2217" i="22"/>
  <c r="D2217" i="22" s="1"/>
  <c r="E2217" i="22" s="1"/>
  <c r="C2217" i="22"/>
  <c r="B2218" i="22"/>
  <c r="C2218" i="22"/>
  <c r="B2219" i="22"/>
  <c r="C2219" i="22"/>
  <c r="B2220" i="22"/>
  <c r="D2220" i="22" s="1"/>
  <c r="E2220" i="22" s="1"/>
  <c r="C2220" i="22"/>
  <c r="B2221" i="22"/>
  <c r="D2221" i="22" s="1"/>
  <c r="E2221" i="22" s="1"/>
  <c r="C2221" i="22"/>
  <c r="B2222" i="22"/>
  <c r="C2222" i="22"/>
  <c r="B2223" i="22"/>
  <c r="C2223" i="22"/>
  <c r="B2224" i="22"/>
  <c r="D2224" i="22" s="1"/>
  <c r="E2224" i="22" s="1"/>
  <c r="C2224" i="22"/>
  <c r="B2225" i="22"/>
  <c r="D2225" i="22" s="1"/>
  <c r="E2225" i="22" s="1"/>
  <c r="C2225" i="22"/>
  <c r="B2226" i="22"/>
  <c r="C2226" i="22"/>
  <c r="B2227" i="22"/>
  <c r="C2227" i="22"/>
  <c r="B2228" i="22"/>
  <c r="D2228" i="22" s="1"/>
  <c r="E2228" i="22" s="1"/>
  <c r="C2228" i="22"/>
  <c r="B2229" i="22"/>
  <c r="D2229" i="22" s="1"/>
  <c r="E2229" i="22" s="1"/>
  <c r="C2229" i="22"/>
  <c r="B2230" i="22"/>
  <c r="D2230" i="22" s="1"/>
  <c r="E2230" i="22" s="1"/>
  <c r="C2230" i="22"/>
  <c r="B2231" i="22"/>
  <c r="C2231" i="22"/>
  <c r="D2231" i="22" s="1"/>
  <c r="E2231" i="22" s="1"/>
  <c r="B2232" i="22"/>
  <c r="D2232" i="22" s="1"/>
  <c r="E2232" i="22" s="1"/>
  <c r="C2232" i="22"/>
  <c r="B2233" i="22"/>
  <c r="D2233" i="22" s="1"/>
  <c r="E2233" i="22" s="1"/>
  <c r="C2233" i="22"/>
  <c r="B2234" i="22"/>
  <c r="D2234" i="22" s="1"/>
  <c r="E2234" i="22" s="1"/>
  <c r="C2234" i="22"/>
  <c r="B2235" i="22"/>
  <c r="C2235" i="22"/>
  <c r="B2236" i="22"/>
  <c r="D2236" i="22" s="1"/>
  <c r="E2236" i="22" s="1"/>
  <c r="C2236" i="22"/>
  <c r="B2237" i="22"/>
  <c r="D2237" i="22" s="1"/>
  <c r="E2237" i="22" s="1"/>
  <c r="C2237" i="22"/>
  <c r="B2238" i="22"/>
  <c r="D2238" i="22" s="1"/>
  <c r="E2238" i="22" s="1"/>
  <c r="C2238" i="22"/>
  <c r="B2239" i="22"/>
  <c r="C2239" i="22"/>
  <c r="B2240" i="22"/>
  <c r="D2240" i="22" s="1"/>
  <c r="E2240" i="22" s="1"/>
  <c r="C2240" i="22"/>
  <c r="B2241" i="22"/>
  <c r="D2241" i="22" s="1"/>
  <c r="E2241" i="22" s="1"/>
  <c r="C2241" i="22"/>
  <c r="B2242" i="22"/>
  <c r="D2242" i="22" s="1"/>
  <c r="E2242" i="22" s="1"/>
  <c r="C2242" i="22"/>
  <c r="B2243" i="22"/>
  <c r="C2243" i="22"/>
  <c r="B2244" i="22"/>
  <c r="D2244" i="22" s="1"/>
  <c r="E2244" i="22" s="1"/>
  <c r="C2244" i="22"/>
  <c r="B2245" i="22"/>
  <c r="D2245" i="22" s="1"/>
  <c r="E2245" i="22" s="1"/>
  <c r="C2245" i="22"/>
  <c r="B2246" i="22"/>
  <c r="D2246" i="22" s="1"/>
  <c r="E2246" i="22" s="1"/>
  <c r="C2246" i="22"/>
  <c r="B2247" i="22"/>
  <c r="C2247" i="22"/>
  <c r="B2248" i="22"/>
  <c r="D2248" i="22" s="1"/>
  <c r="E2248" i="22" s="1"/>
  <c r="C2248" i="22"/>
  <c r="B2249" i="22"/>
  <c r="D2249" i="22" s="1"/>
  <c r="E2249" i="22" s="1"/>
  <c r="C2249" i="22"/>
  <c r="B2250" i="22"/>
  <c r="D2250" i="22" s="1"/>
  <c r="E2250" i="22" s="1"/>
  <c r="C2250" i="22"/>
  <c r="B2251" i="22"/>
  <c r="C2251" i="22"/>
  <c r="B2252" i="22"/>
  <c r="D2252" i="22" s="1"/>
  <c r="E2252" i="22" s="1"/>
  <c r="C2252" i="22"/>
  <c r="B2253" i="22"/>
  <c r="D2253" i="22" s="1"/>
  <c r="E2253" i="22" s="1"/>
  <c r="C2253" i="22"/>
  <c r="B2254" i="22"/>
  <c r="D2254" i="22" s="1"/>
  <c r="E2254" i="22" s="1"/>
  <c r="C2254" i="22"/>
  <c r="B2255" i="22"/>
  <c r="C2255" i="22"/>
  <c r="B2256" i="22"/>
  <c r="D2256" i="22" s="1"/>
  <c r="E2256" i="22" s="1"/>
  <c r="C2256" i="22"/>
  <c r="B2257" i="22"/>
  <c r="D2257" i="22" s="1"/>
  <c r="E2257" i="22" s="1"/>
  <c r="C2257" i="22"/>
  <c r="B2258" i="22"/>
  <c r="D2258" i="22" s="1"/>
  <c r="E2258" i="22" s="1"/>
  <c r="C2258" i="22"/>
  <c r="B2259" i="22"/>
  <c r="C2259" i="22"/>
  <c r="B2260" i="22"/>
  <c r="D2260" i="22" s="1"/>
  <c r="E2260" i="22" s="1"/>
  <c r="C2260" i="22"/>
  <c r="B2261" i="22"/>
  <c r="D2261" i="22" s="1"/>
  <c r="E2261" i="22" s="1"/>
  <c r="C2261" i="22"/>
  <c r="B2262" i="22"/>
  <c r="D2262" i="22" s="1"/>
  <c r="E2262" i="22" s="1"/>
  <c r="C2262" i="22"/>
  <c r="B2263" i="22"/>
  <c r="C2263" i="22"/>
  <c r="D2263" i="22" s="1"/>
  <c r="E2263" i="22" s="1"/>
  <c r="B2264" i="22"/>
  <c r="D2264" i="22" s="1"/>
  <c r="E2264" i="22" s="1"/>
  <c r="C2264" i="22"/>
  <c r="B2265" i="22"/>
  <c r="D2265" i="22" s="1"/>
  <c r="E2265" i="22" s="1"/>
  <c r="C2265" i="22"/>
  <c r="B2266" i="22"/>
  <c r="D2266" i="22" s="1"/>
  <c r="E2266" i="22" s="1"/>
  <c r="C2266" i="22"/>
  <c r="B2267" i="22"/>
  <c r="C2267" i="22"/>
  <c r="B2268" i="22"/>
  <c r="D2268" i="22" s="1"/>
  <c r="E2268" i="22" s="1"/>
  <c r="C2268" i="22"/>
  <c r="B2269" i="22"/>
  <c r="D2269" i="22" s="1"/>
  <c r="E2269" i="22" s="1"/>
  <c r="C2269" i="22"/>
  <c r="B2270" i="22"/>
  <c r="D2270" i="22" s="1"/>
  <c r="E2270" i="22" s="1"/>
  <c r="C2270" i="22"/>
  <c r="B2271" i="22"/>
  <c r="C2271" i="22"/>
  <c r="B2272" i="22"/>
  <c r="D2272" i="22" s="1"/>
  <c r="E2272" i="22" s="1"/>
  <c r="C2272" i="22"/>
  <c r="B2273" i="22"/>
  <c r="D2273" i="22" s="1"/>
  <c r="E2273" i="22" s="1"/>
  <c r="C2273" i="22"/>
  <c r="B2274" i="22"/>
  <c r="D2274" i="22" s="1"/>
  <c r="E2274" i="22" s="1"/>
  <c r="C2274" i="22"/>
  <c r="B2275" i="22"/>
  <c r="C2275" i="22"/>
  <c r="B2276" i="22"/>
  <c r="D2276" i="22" s="1"/>
  <c r="E2276" i="22" s="1"/>
  <c r="C2276" i="22"/>
  <c r="B2277" i="22"/>
  <c r="D2277" i="22" s="1"/>
  <c r="E2277" i="22" s="1"/>
  <c r="C2277" i="22"/>
  <c r="B2278" i="22"/>
  <c r="D2278" i="22" s="1"/>
  <c r="E2278" i="22" s="1"/>
  <c r="C2278" i="22"/>
  <c r="B2279" i="22"/>
  <c r="C2279" i="22"/>
  <c r="B2280" i="22"/>
  <c r="D2280" i="22" s="1"/>
  <c r="E2280" i="22" s="1"/>
  <c r="C2280" i="22"/>
  <c r="B2281" i="22"/>
  <c r="D2281" i="22" s="1"/>
  <c r="E2281" i="22" s="1"/>
  <c r="C2281" i="22"/>
  <c r="B2282" i="22"/>
  <c r="D2282" i="22" s="1"/>
  <c r="E2282" i="22" s="1"/>
  <c r="C2282" i="22"/>
  <c r="B2283" i="22"/>
  <c r="C2283" i="22"/>
  <c r="B2284" i="22"/>
  <c r="D2284" i="22" s="1"/>
  <c r="E2284" i="22" s="1"/>
  <c r="C2284" i="22"/>
  <c r="B2285" i="22"/>
  <c r="D2285" i="22" s="1"/>
  <c r="E2285" i="22" s="1"/>
  <c r="C2285" i="22"/>
  <c r="B2286" i="22"/>
  <c r="D2286" i="22" s="1"/>
  <c r="E2286" i="22" s="1"/>
  <c r="C2286" i="22"/>
  <c r="B2287" i="22"/>
  <c r="C2287" i="22"/>
  <c r="B2288" i="22"/>
  <c r="D2288" i="22" s="1"/>
  <c r="E2288" i="22" s="1"/>
  <c r="C2288" i="22"/>
  <c r="B2289" i="22"/>
  <c r="D2289" i="22" s="1"/>
  <c r="E2289" i="22" s="1"/>
  <c r="C2289" i="22"/>
  <c r="B2290" i="22"/>
  <c r="D2290" i="22" s="1"/>
  <c r="E2290" i="22" s="1"/>
  <c r="C2290" i="22"/>
  <c r="B2291" i="22"/>
  <c r="C2291" i="22"/>
  <c r="B2292" i="22"/>
  <c r="D2292" i="22" s="1"/>
  <c r="E2292" i="22" s="1"/>
  <c r="C2292" i="22"/>
  <c r="B2293" i="22"/>
  <c r="D2293" i="22" s="1"/>
  <c r="E2293" i="22" s="1"/>
  <c r="C2293" i="22"/>
  <c r="B2294" i="22"/>
  <c r="D2294" i="22" s="1"/>
  <c r="E2294" i="22" s="1"/>
  <c r="C2294" i="22"/>
  <c r="B2295" i="22"/>
  <c r="C2295" i="22"/>
  <c r="D2295" i="22" s="1"/>
  <c r="E2295" i="22" s="1"/>
  <c r="B2296" i="22"/>
  <c r="D2296" i="22" s="1"/>
  <c r="E2296" i="22" s="1"/>
  <c r="C2296" i="22"/>
  <c r="B2297" i="22"/>
  <c r="D2297" i="22" s="1"/>
  <c r="E2297" i="22" s="1"/>
  <c r="C2297" i="22"/>
  <c r="B2298" i="22"/>
  <c r="D2298" i="22" s="1"/>
  <c r="E2298" i="22" s="1"/>
  <c r="C2298" i="22"/>
  <c r="B2299" i="22"/>
  <c r="C2299" i="22"/>
  <c r="B2300" i="22"/>
  <c r="D2300" i="22" s="1"/>
  <c r="E2300" i="22" s="1"/>
  <c r="C2300" i="22"/>
  <c r="B2301" i="22"/>
  <c r="D2301" i="22" s="1"/>
  <c r="E2301" i="22" s="1"/>
  <c r="C2301" i="22"/>
  <c r="B2302" i="22"/>
  <c r="D2302" i="22" s="1"/>
  <c r="E2302" i="22" s="1"/>
  <c r="C2302" i="22"/>
  <c r="B2303" i="22"/>
  <c r="C2303" i="22"/>
  <c r="B2304" i="22"/>
  <c r="D2304" i="22" s="1"/>
  <c r="E2304" i="22" s="1"/>
  <c r="C2304" i="22"/>
  <c r="B2305" i="22"/>
  <c r="D2305" i="22" s="1"/>
  <c r="E2305" i="22" s="1"/>
  <c r="C2305" i="22"/>
  <c r="B2306" i="22"/>
  <c r="D2306" i="22" s="1"/>
  <c r="E2306" i="22" s="1"/>
  <c r="C2306" i="22"/>
  <c r="B2307" i="22"/>
  <c r="C2307" i="22"/>
  <c r="B2308" i="22"/>
  <c r="D2308" i="22" s="1"/>
  <c r="E2308" i="22" s="1"/>
  <c r="C2308" i="22"/>
  <c r="B2309" i="22"/>
  <c r="D2309" i="22" s="1"/>
  <c r="E2309" i="22" s="1"/>
  <c r="C2309" i="22"/>
  <c r="B2310" i="22"/>
  <c r="D2310" i="22" s="1"/>
  <c r="E2310" i="22" s="1"/>
  <c r="C2310" i="22"/>
  <c r="B2311" i="22"/>
  <c r="C2311" i="22"/>
  <c r="B2312" i="22"/>
  <c r="D2312" i="22" s="1"/>
  <c r="E2312" i="22" s="1"/>
  <c r="C2312" i="22"/>
  <c r="B2313" i="22"/>
  <c r="D2313" i="22" s="1"/>
  <c r="E2313" i="22" s="1"/>
  <c r="C2313" i="22"/>
  <c r="B2314" i="22"/>
  <c r="D2314" i="22" s="1"/>
  <c r="E2314" i="22" s="1"/>
  <c r="C2314" i="22"/>
  <c r="B2315" i="22"/>
  <c r="C2315" i="22"/>
  <c r="B2316" i="22"/>
  <c r="D2316" i="22" s="1"/>
  <c r="E2316" i="22" s="1"/>
  <c r="C2316" i="22"/>
  <c r="B2317" i="22"/>
  <c r="D2317" i="22" s="1"/>
  <c r="E2317" i="22" s="1"/>
  <c r="C2317" i="22"/>
  <c r="B2318" i="22"/>
  <c r="D2318" i="22" s="1"/>
  <c r="E2318" i="22" s="1"/>
  <c r="C2318" i="22"/>
  <c r="B2319" i="22"/>
  <c r="C2319" i="22"/>
  <c r="B2320" i="22"/>
  <c r="D2320" i="22" s="1"/>
  <c r="E2320" i="22" s="1"/>
  <c r="C2320" i="22"/>
  <c r="B2321" i="22"/>
  <c r="D2321" i="22" s="1"/>
  <c r="E2321" i="22" s="1"/>
  <c r="C2321" i="22"/>
  <c r="B2322" i="22"/>
  <c r="D2322" i="22" s="1"/>
  <c r="E2322" i="22" s="1"/>
  <c r="C2322" i="22"/>
  <c r="B2323" i="22"/>
  <c r="C2323" i="22"/>
  <c r="E36" i="12"/>
  <c r="D2319" i="22" l="1"/>
  <c r="E2319" i="22" s="1"/>
  <c r="D2311" i="22"/>
  <c r="E2311" i="22" s="1"/>
  <c r="D2303" i="22"/>
  <c r="E2303" i="22" s="1"/>
  <c r="D2287" i="22"/>
  <c r="E2287" i="22" s="1"/>
  <c r="D2279" i="22"/>
  <c r="E2279" i="22" s="1"/>
  <c r="D2271" i="22"/>
  <c r="E2271" i="22" s="1"/>
  <c r="D2255" i="22"/>
  <c r="E2255" i="22" s="1"/>
  <c r="D2247" i="22"/>
  <c r="E2247" i="22" s="1"/>
  <c r="D2239" i="22"/>
  <c r="E2239" i="22" s="1"/>
  <c r="D2223" i="22"/>
  <c r="E2223" i="22" s="1"/>
  <c r="D2215" i="22"/>
  <c r="E2215" i="22" s="1"/>
  <c r="D2207" i="22"/>
  <c r="E2207" i="22" s="1"/>
  <c r="D2191" i="22"/>
  <c r="E2191" i="22" s="1"/>
  <c r="D2183" i="22"/>
  <c r="E2183" i="22" s="1"/>
  <c r="D2167" i="22"/>
  <c r="E2167" i="22" s="1"/>
  <c r="D2226" i="22"/>
  <c r="E2226" i="22" s="1"/>
  <c r="D2222" i="22"/>
  <c r="E2222" i="22" s="1"/>
  <c r="D2218" i="22"/>
  <c r="E2218" i="22" s="1"/>
  <c r="D2214" i="22"/>
  <c r="E2214" i="22" s="1"/>
  <c r="D2210" i="22"/>
  <c r="E2210" i="22" s="1"/>
  <c r="D2206" i="22"/>
  <c r="E2206" i="22" s="1"/>
  <c r="D2198" i="22"/>
  <c r="E2198" i="22" s="1"/>
  <c r="D2194" i="22"/>
  <c r="E2194" i="22" s="1"/>
  <c r="D2190" i="22"/>
  <c r="E2190" i="22" s="1"/>
  <c r="D2186" i="22"/>
  <c r="E2186" i="22" s="1"/>
  <c r="D2182" i="22"/>
  <c r="E2182" i="22" s="1"/>
  <c r="D2178" i="22"/>
  <c r="E2178" i="22" s="1"/>
  <c r="D2174" i="22"/>
  <c r="E2174" i="22" s="1"/>
  <c r="D2170" i="22"/>
  <c r="E2170" i="22" s="1"/>
  <c r="D2166" i="22"/>
  <c r="E2166" i="22" s="1"/>
  <c r="D2162" i="22"/>
  <c r="E2162" i="22" s="1"/>
  <c r="D2158" i="22"/>
  <c r="E2158" i="22" s="1"/>
  <c r="D2154" i="22"/>
  <c r="E2154" i="22" s="1"/>
  <c r="D2150" i="22"/>
  <c r="E2150" i="22" s="1"/>
  <c r="D2146" i="22"/>
  <c r="E2146" i="22" s="1"/>
  <c r="D2142" i="22"/>
  <c r="E2142" i="22" s="1"/>
  <c r="D2138" i="22"/>
  <c r="E2138" i="22" s="1"/>
  <c r="D2134" i="22"/>
  <c r="E2134" i="22" s="1"/>
  <c r="D2130" i="22"/>
  <c r="E2130" i="22" s="1"/>
  <c r="D2126" i="22"/>
  <c r="E2126" i="22" s="1"/>
  <c r="D2122" i="22"/>
  <c r="E2122" i="22" s="1"/>
  <c r="D2118" i="22"/>
  <c r="E2118" i="22" s="1"/>
  <c r="D2114" i="22"/>
  <c r="E2114" i="22" s="1"/>
  <c r="D2110" i="22"/>
  <c r="E2110" i="22" s="1"/>
  <c r="D2106" i="22"/>
  <c r="E2106" i="22" s="1"/>
  <c r="D2102" i="22"/>
  <c r="E2102" i="22" s="1"/>
  <c r="D2098" i="22"/>
  <c r="E2098" i="22" s="1"/>
  <c r="D2094" i="22"/>
  <c r="E2094" i="22" s="1"/>
  <c r="D2090" i="22"/>
  <c r="E2090" i="22" s="1"/>
  <c r="D2086" i="22"/>
  <c r="E2086" i="22" s="1"/>
  <c r="D2082" i="22"/>
  <c r="E2082" i="22" s="1"/>
  <c r="D2078" i="22"/>
  <c r="E2078" i="22" s="1"/>
  <c r="D2074" i="22"/>
  <c r="E2074" i="22" s="1"/>
  <c r="D2070" i="22"/>
  <c r="E2070" i="22" s="1"/>
  <c r="D2125" i="22"/>
  <c r="E2125" i="22" s="1"/>
  <c r="D2093" i="22"/>
  <c r="E2093" i="22" s="1"/>
  <c r="D2069" i="22"/>
  <c r="E2069" i="22" s="1"/>
  <c r="D2315" i="22"/>
  <c r="E2315" i="22" s="1"/>
  <c r="D2307" i="22"/>
  <c r="E2307" i="22" s="1"/>
  <c r="D2299" i="22"/>
  <c r="E2299" i="22" s="1"/>
  <c r="D2291" i="22"/>
  <c r="E2291" i="22" s="1"/>
  <c r="D2283" i="22"/>
  <c r="E2283" i="22" s="1"/>
  <c r="D2275" i="22"/>
  <c r="E2275" i="22" s="1"/>
  <c r="D2267" i="22"/>
  <c r="E2267" i="22" s="1"/>
  <c r="D2259" i="22"/>
  <c r="E2259" i="22" s="1"/>
  <c r="D2251" i="22"/>
  <c r="E2251" i="22" s="1"/>
  <c r="D2243" i="22"/>
  <c r="E2243" i="22" s="1"/>
  <c r="D2235" i="22"/>
  <c r="E2235" i="22" s="1"/>
  <c r="D2227" i="22"/>
  <c r="E2227" i="22" s="1"/>
  <c r="D2219" i="22"/>
  <c r="E2219" i="22" s="1"/>
  <c r="D2211" i="22"/>
  <c r="E2211" i="22" s="1"/>
  <c r="D2203" i="22"/>
  <c r="E2203" i="22" s="1"/>
  <c r="D2195" i="22"/>
  <c r="E2195" i="22" s="1"/>
  <c r="D2187" i="22"/>
  <c r="E2187" i="22" s="1"/>
  <c r="D2179" i="22"/>
  <c r="E2179" i="22" s="1"/>
  <c r="D2175" i="22"/>
  <c r="E2175" i="22" s="1"/>
  <c r="D2171" i="22"/>
  <c r="E2171" i="22" s="1"/>
  <c r="D2163" i="22"/>
  <c r="E2163" i="22" s="1"/>
  <c r="D2159" i="22"/>
  <c r="E2159" i="22" s="1"/>
  <c r="D2155" i="22"/>
  <c r="E2155" i="22" s="1"/>
  <c r="D2151" i="22"/>
  <c r="E2151" i="22" s="1"/>
  <c r="D2147" i="22"/>
  <c r="E2147" i="22" s="1"/>
  <c r="D2139" i="22"/>
  <c r="E2139" i="22" s="1"/>
  <c r="D2131" i="22"/>
  <c r="E2131" i="22" s="1"/>
  <c r="D2127" i="22"/>
  <c r="E2127" i="22" s="1"/>
  <c r="D2123" i="22"/>
  <c r="E2123" i="22" s="1"/>
  <c r="D2119" i="22"/>
  <c r="E2119" i="22" s="1"/>
  <c r="D2115" i="22"/>
  <c r="E2115" i="22" s="1"/>
  <c r="D2107" i="22"/>
  <c r="E2107" i="22" s="1"/>
  <c r="D2099" i="22"/>
  <c r="E2099" i="22" s="1"/>
  <c r="D2095" i="22"/>
  <c r="E2095" i="22" s="1"/>
  <c r="D2091" i="22"/>
  <c r="E2091" i="22" s="1"/>
  <c r="D2087" i="22"/>
  <c r="E2087" i="22" s="1"/>
  <c r="D2083" i="22"/>
  <c r="E2083" i="22" s="1"/>
  <c r="D2075" i="22"/>
  <c r="E2075" i="22" s="1"/>
  <c r="D2323" i="22"/>
  <c r="E2323" i="22" s="1"/>
  <c r="D2145" i="22"/>
  <c r="E2145" i="22" s="1"/>
  <c r="D2137" i="22"/>
  <c r="E2137" i="22" s="1"/>
  <c r="D2129" i="22"/>
  <c r="E2129" i="22" s="1"/>
  <c r="D2121" i="22"/>
  <c r="E2121" i="22" s="1"/>
  <c r="D2113" i="22"/>
  <c r="E2113" i="22" s="1"/>
  <c r="D2105" i="22"/>
  <c r="E2105" i="22" s="1"/>
  <c r="D2097" i="22"/>
  <c r="E2097" i="22" s="1"/>
  <c r="D2089" i="22"/>
  <c r="E2089" i="22" s="1"/>
  <c r="D2081" i="22"/>
  <c r="E2081" i="22" s="1"/>
  <c r="D2073" i="22"/>
  <c r="E2073" i="22" s="1"/>
  <c r="D33" i="13"/>
  <c r="E11" i="12" l="1"/>
  <c r="D29" i="13" l="1"/>
  <c r="G23" i="13" l="1"/>
  <c r="B17" i="13"/>
  <c r="B18" i="13"/>
  <c r="C17" i="13"/>
  <c r="B21" i="13"/>
  <c r="B19" i="13"/>
  <c r="F23" i="13"/>
  <c r="C18" i="13"/>
  <c r="B20" i="13"/>
  <c r="F20" i="13"/>
  <c r="F17" i="13"/>
  <c r="F19" i="13"/>
  <c r="G24" i="13"/>
  <c r="G21" i="13"/>
  <c r="F18" i="13"/>
  <c r="G18" i="13"/>
  <c r="G22" i="13"/>
  <c r="C21" i="13"/>
  <c r="G17" i="13"/>
  <c r="G19" i="13"/>
  <c r="C20" i="13"/>
  <c r="C38" i="13" s="1"/>
  <c r="C19" i="13"/>
  <c r="G20" i="13"/>
  <c r="F22" i="13"/>
  <c r="F24" i="13"/>
  <c r="F21" i="13"/>
  <c r="G37" i="13" l="1"/>
  <c r="G38" i="13"/>
  <c r="C37" i="13"/>
</calcChain>
</file>

<file path=xl/sharedStrings.xml><?xml version="1.0" encoding="utf-8"?>
<sst xmlns="http://schemas.openxmlformats.org/spreadsheetml/2006/main" count="200" uniqueCount="117">
  <si>
    <t>Head</t>
  </si>
  <si>
    <t>Head (m)</t>
  </si>
  <si>
    <t>Description</t>
  </si>
  <si>
    <t>Scale B</t>
  </si>
  <si>
    <t>Scale C</t>
  </si>
  <si>
    <t>Revision:</t>
  </si>
  <si>
    <t>Unit 1</t>
  </si>
  <si>
    <t>Unit 2</t>
  </si>
  <si>
    <t>scale B</t>
  </si>
  <si>
    <t>Todays Cam Settings</t>
  </si>
  <si>
    <t>What is The Head For Today?</t>
  </si>
  <si>
    <t>Please Type here -------&gt;</t>
  </si>
  <si>
    <t>Metres</t>
  </si>
  <si>
    <t xml:space="preserve"> </t>
  </si>
  <si>
    <t>UNIT 1</t>
  </si>
  <si>
    <t>UNIT 2</t>
  </si>
  <si>
    <t>Scale B =</t>
  </si>
  <si>
    <t xml:space="preserve">Scale C = </t>
  </si>
  <si>
    <t>Inputs</t>
  </si>
  <si>
    <t>Calculation tool</t>
  </si>
  <si>
    <t>Owner:</t>
  </si>
  <si>
    <t>Site:</t>
  </si>
  <si>
    <t>Combined</t>
  </si>
  <si>
    <t>Total Generation</t>
  </si>
  <si>
    <t>Max flow</t>
  </si>
  <si>
    <t>Min flow*</t>
  </si>
  <si>
    <t>Notes</t>
  </si>
  <si>
    <t>Question</t>
  </si>
  <si>
    <t>Answer</t>
  </si>
  <si>
    <t>Revision Date:</t>
  </si>
  <si>
    <t>Todays Date</t>
  </si>
  <si>
    <t>3 - If you are putting the data in for a date other than today then todays date will need to be updated manually</t>
  </si>
  <si>
    <t>2 - Click add data to site data to save</t>
  </si>
  <si>
    <t>5 - Ensure that guide vane/runner blade openings as well as cam settings are as per calculated outputs</t>
  </si>
  <si>
    <t>Cam Settings</t>
  </si>
  <si>
    <t>Estimate Power Outputs</t>
  </si>
  <si>
    <t>Cam settings</t>
  </si>
  <si>
    <t>1 - Input data in orange cells. Calcualtions are shown in green in the outputs section.</t>
  </si>
  <si>
    <t>Outputs</t>
  </si>
  <si>
    <t>More than 90%</t>
  </si>
  <si>
    <t>Less than 0%</t>
  </si>
  <si>
    <t>More than 100%</t>
  </si>
  <si>
    <t>Guide Vane more than 90%</t>
  </si>
  <si>
    <t>Runner Blade settings more than 100%</t>
  </si>
  <si>
    <t>Runner Blade settings less than 0%</t>
  </si>
  <si>
    <t>G65 and K65</t>
  </si>
  <si>
    <t>Revert G65 or K65 back to previous value before the runny blade settings were outside the limit.</t>
  </si>
  <si>
    <t>G61 and K61</t>
  </si>
  <si>
    <t>Revert G61 or K61 back to previous value before the guide vanes were outside the limit.</t>
  </si>
  <si>
    <t>Calculation of flow</t>
  </si>
  <si>
    <t>&lt;- Override the flow calculation</t>
  </si>
  <si>
    <t>Head outside of range (12m to 35m)</t>
  </si>
  <si>
    <t>Flow less than 3000ML/day</t>
  </si>
  <si>
    <t>Guide Vane less than 10%</t>
  </si>
  <si>
    <t>Example from another site</t>
  </si>
  <si>
    <t>Lake Level (mAHD)</t>
  </si>
  <si>
    <t>Tailwater Level</t>
  </si>
  <si>
    <t>Unit Selection</t>
  </si>
  <si>
    <t>Measured Data</t>
  </si>
  <si>
    <t>Unit 3</t>
  </si>
  <si>
    <t>Unit 4</t>
  </si>
  <si>
    <t>Unit 5</t>
  </si>
  <si>
    <t>Unit Power (MW)</t>
  </si>
  <si>
    <t>Unit Flow (ML/day)</t>
  </si>
  <si>
    <t>Run all units?</t>
  </si>
  <si>
    <t>Unit 5 only</t>
  </si>
  <si>
    <t>Unit 4 only</t>
  </si>
  <si>
    <t>Unit 3 only</t>
  </si>
  <si>
    <t>Predicted flow</t>
  </si>
  <si>
    <t>Unit 3 generation</t>
  </si>
  <si>
    <t>Unit 4 generation</t>
  </si>
  <si>
    <t>Unit 5 generation</t>
  </si>
  <si>
    <t>Guide Vane Settings</t>
  </si>
  <si>
    <t>Guide Vane settings for optimal efficiency</t>
  </si>
  <si>
    <t>UNIT 5</t>
  </si>
  <si>
    <t>UNIT 3</t>
  </si>
  <si>
    <t>Guide Vane Position (%)</t>
  </si>
  <si>
    <t>UNIT 4</t>
  </si>
  <si>
    <t>Section</t>
  </si>
  <si>
    <t>Flow Formula</t>
  </si>
  <si>
    <t>Multi-Unit Flow</t>
  </si>
  <si>
    <t>Combined flow = sum of individual unit flows.</t>
  </si>
  <si>
    <t>Head Range</t>
  </si>
  <si>
    <t>Sourced from hidden "Cam Settings" sheet.</t>
  </si>
  <si>
    <r>
      <t>Flow = a*Head + b*GuideVane + c*Power</t>
    </r>
    <r>
      <rPr>
        <sz val="11"/>
        <rFont val="Calibri"/>
        <family val="2"/>
        <scheme val="minor"/>
      </rPr>
      <t> (per unit).</t>
    </r>
  </si>
  <si>
    <t>Low Level Outlets</t>
  </si>
  <si>
    <t>Tail Water Level (mAHD)</t>
  </si>
  <si>
    <t>Power (MW)</t>
  </si>
  <si>
    <t>Downstream Flow (ML/d)</t>
  </si>
  <si>
    <t>Downstream River Level (m)</t>
  </si>
  <si>
    <t>Valve 1 Position (%)</t>
  </si>
  <si>
    <t>Valve 2 Position (%)</t>
  </si>
  <si>
    <t>Valve 3 Position (%)</t>
  </si>
  <si>
    <t>Valve 4 Position (%)</t>
  </si>
  <si>
    <t>Bad</t>
  </si>
  <si>
    <t>Unit Down</t>
  </si>
  <si>
    <t>Timestamp</t>
  </si>
  <si>
    <t>Tailwater Level (mAHD</t>
  </si>
  <si>
    <t>Validation</t>
  </si>
  <si>
    <t>4 - Only include head ranges from 40m to 60m</t>
  </si>
  <si>
    <t>Calculations valid only for Head = 50m–60m.</t>
  </si>
  <si>
    <t xml:space="preserve"> Unit 3</t>
  </si>
  <si>
    <t xml:space="preserve"> Unit 5</t>
  </si>
  <si>
    <t>Cam settings unit 5</t>
  </si>
  <si>
    <t>Cam settings unit 4</t>
  </si>
  <si>
    <t>Cam settings unit 3</t>
  </si>
  <si>
    <t>Unit Power (MW)unit 3</t>
  </si>
  <si>
    <t>Unit Power (MW) unit 4</t>
  </si>
  <si>
    <t>Unit Power (MW) unit5</t>
  </si>
  <si>
    <t>Unit Flow (ML/day) unit3</t>
  </si>
  <si>
    <t>Unit Flow (ML/day) unit4</t>
  </si>
  <si>
    <t>Unit Flow (ML/day) unit5</t>
  </si>
  <si>
    <t>All Units</t>
  </si>
  <si>
    <t>Unit3 only</t>
  </si>
  <si>
    <t>Manual</t>
  </si>
  <si>
    <t>Unit3 &amp; 4 &amp; 5</t>
  </si>
  <si>
    <t xml:space="preserve">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</si>
</sst>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dd\-mmm\-yy_)"/>
    <numFmt numFmtId="165" formatCode="0.0_)"/>
    <numFmt numFmtId="166" formatCode="#\ &quot;ML/day&quot;"/>
    <numFmt numFmtId="167" formatCode="0.000\M\W"/>
    <numFmt numFmtId="168" formatCode="#\ &quot;mAHD&quot;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4"/>
      <color indexed="8"/>
      <name val="Arial"/>
      <family val="2"/>
    </font>
    <font>
      <b/>
      <sz val="14"/>
      <color indexed="8"/>
      <name val="Arial"/>
      <family val="2"/>
    </font>
    <font>
      <sz val="18"/>
      <color indexed="8"/>
      <name val="Arial"/>
      <family val="2"/>
    </font>
    <font>
      <sz val="8"/>
      <color indexed="8"/>
      <name val="Arial"/>
      <family val="2"/>
    </font>
    <font>
      <b/>
      <sz val="18"/>
      <color indexed="8"/>
      <name val="Arial"/>
      <family val="2"/>
    </font>
    <font>
      <sz val="12"/>
      <color indexed="8"/>
      <name val="Arial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name val="Calibri"/>
      <family val="2"/>
      <scheme val="minor"/>
    </font>
    <font>
      <b/>
      <sz val="10"/>
      <name val="Segoe UI"/>
      <family val="2"/>
    </font>
    <font>
      <sz val="11"/>
      <name val="Calibri"/>
      <family val="2"/>
      <scheme val="minor"/>
    </font>
    <font>
      <sz val="1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13"/>
        <bgColor indexed="13"/>
      </patternFill>
    </fill>
    <fill>
      <patternFill patternType="solid">
        <fgColor indexed="14"/>
        <bgColor indexed="26"/>
      </patternFill>
    </fill>
    <fill>
      <patternFill patternType="solid">
        <fgColor indexed="26"/>
        <bgColor indexed="26"/>
      </patternFill>
    </fill>
    <fill>
      <patternFill patternType="solid">
        <fgColor indexed="12"/>
        <bgColor indexed="29"/>
      </patternFill>
    </fill>
    <fill>
      <patternFill patternType="solid">
        <fgColor indexed="12"/>
        <bgColor indexed="42"/>
      </patternFill>
    </fill>
    <fill>
      <patternFill patternType="solid">
        <fgColor indexed="42"/>
        <bgColor indexed="42"/>
      </patternFill>
    </fill>
    <fill>
      <patternFill patternType="solid">
        <fgColor indexed="15"/>
        <bgColor indexed="29"/>
      </patternFill>
    </fill>
    <fill>
      <patternFill patternType="solid">
        <fgColor indexed="53"/>
        <bgColor indexed="26"/>
      </patternFill>
    </fill>
    <fill>
      <patternFill patternType="solid">
        <fgColor indexed="13"/>
        <bgColor indexed="29"/>
      </patternFill>
    </fill>
    <fill>
      <patternFill patternType="solid">
        <fgColor theme="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54D321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77">
    <xf numFmtId="0" fontId="0" fillId="0" borderId="0" xfId="0"/>
    <xf numFmtId="0" fontId="2" fillId="6" borderId="8" xfId="0" applyFont="1" applyFill="1" applyBorder="1" applyAlignment="1">
      <alignment horizontal="centerContinuous" vertical="center"/>
    </xf>
    <xf numFmtId="0" fontId="3" fillId="0" borderId="0" xfId="0" applyFont="1" applyAlignment="1">
      <alignment horizontal="centerContinuous" vertical="center"/>
    </xf>
    <xf numFmtId="0" fontId="4" fillId="9" borderId="0" xfId="0" applyFont="1" applyFill="1" applyAlignment="1">
      <alignment horizontal="centerContinuous"/>
    </xf>
    <xf numFmtId="0" fontId="4" fillId="9" borderId="0" xfId="0" applyFont="1" applyFill="1" applyAlignment="1">
      <alignment horizontal="centerContinuous" vertical="center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Continuous" vertical="center"/>
    </xf>
    <xf numFmtId="0" fontId="6" fillId="0" borderId="0" xfId="0" applyFont="1" applyAlignment="1">
      <alignment horizontal="center"/>
    </xf>
    <xf numFmtId="0" fontId="7" fillId="0" borderId="0" xfId="0" applyFont="1"/>
    <xf numFmtId="0" fontId="7" fillId="4" borderId="4" xfId="0" applyFont="1" applyFill="1" applyBorder="1"/>
    <xf numFmtId="0" fontId="7" fillId="4" borderId="5" xfId="0" applyFont="1" applyFill="1" applyBorder="1"/>
    <xf numFmtId="0" fontId="7" fillId="4" borderId="6" xfId="0" applyFont="1" applyFill="1" applyBorder="1"/>
    <xf numFmtId="0" fontId="7" fillId="5" borderId="7" xfId="0" applyFont="1" applyFill="1" applyBorder="1" applyAlignment="1">
      <alignment horizontal="left"/>
    </xf>
    <xf numFmtId="0" fontId="7" fillId="6" borderId="8" xfId="0" applyFont="1" applyFill="1" applyBorder="1" applyAlignment="1">
      <alignment horizontal="centerContinuous" vertical="center"/>
    </xf>
    <xf numFmtId="0" fontId="7" fillId="7" borderId="7" xfId="0" applyFont="1" applyFill="1" applyBorder="1" applyAlignment="1">
      <alignment horizontal="left"/>
    </xf>
    <xf numFmtId="0" fontId="7" fillId="8" borderId="9" xfId="0" applyFont="1" applyFill="1" applyBorder="1"/>
    <xf numFmtId="164" fontId="7" fillId="0" borderId="0" xfId="0" applyNumberFormat="1" applyFont="1"/>
    <xf numFmtId="0" fontId="7" fillId="9" borderId="9" xfId="0" applyFont="1" applyFill="1" applyBorder="1"/>
    <xf numFmtId="0" fontId="7" fillId="8" borderId="9" xfId="0" applyFont="1" applyFill="1" applyBorder="1" applyAlignment="1">
      <alignment horizontal="left"/>
    </xf>
    <xf numFmtId="0" fontId="7" fillId="0" borderId="0" xfId="0" applyFont="1" applyAlignment="1">
      <alignment horizontal="centerContinuous"/>
    </xf>
    <xf numFmtId="0" fontId="7" fillId="9" borderId="9" xfId="0" applyFont="1" applyFill="1" applyBorder="1" applyAlignment="1">
      <alignment horizontal="left"/>
    </xf>
    <xf numFmtId="0" fontId="7" fillId="0" borderId="0" xfId="0" applyFont="1" applyAlignment="1">
      <alignment horizontal="center"/>
    </xf>
    <xf numFmtId="165" fontId="7" fillId="0" borderId="0" xfId="0" applyNumberFormat="1" applyFont="1" applyAlignment="1">
      <alignment horizontal="center"/>
    </xf>
    <xf numFmtId="0" fontId="7" fillId="10" borderId="10" xfId="0" applyFont="1" applyFill="1" applyBorder="1"/>
    <xf numFmtId="0" fontId="7" fillId="11" borderId="11" xfId="0" applyFont="1" applyFill="1" applyBorder="1"/>
    <xf numFmtId="0" fontId="7" fillId="12" borderId="10" xfId="0" applyFont="1" applyFill="1" applyBorder="1"/>
    <xf numFmtId="0" fontId="7" fillId="10" borderId="12" xfId="0" applyFont="1" applyFill="1" applyBorder="1"/>
    <xf numFmtId="0" fontId="7" fillId="11" borderId="13" xfId="0" applyFont="1" applyFill="1" applyBorder="1"/>
    <xf numFmtId="0" fontId="7" fillId="12" borderId="12" xfId="0" applyFont="1" applyFill="1" applyBorder="1"/>
    <xf numFmtId="0" fontId="0" fillId="13" borderId="0" xfId="0" applyFill="1"/>
    <xf numFmtId="0" fontId="1" fillId="13" borderId="0" xfId="0" applyFont="1" applyFill="1" applyAlignment="1">
      <alignment horizontal="right"/>
    </xf>
    <xf numFmtId="0" fontId="1" fillId="13" borderId="20" xfId="0" applyFont="1" applyFill="1" applyBorder="1"/>
    <xf numFmtId="0" fontId="1" fillId="13" borderId="0" xfId="0" applyFont="1" applyFill="1"/>
    <xf numFmtId="0" fontId="0" fillId="13" borderId="14" xfId="0" applyFill="1" applyBorder="1"/>
    <xf numFmtId="0" fontId="0" fillId="13" borderId="0" xfId="0" applyFill="1" applyAlignment="1">
      <alignment wrapText="1"/>
    </xf>
    <xf numFmtId="0" fontId="0" fillId="13" borderId="14" xfId="0" applyFill="1" applyBorder="1" applyAlignment="1">
      <alignment wrapText="1"/>
    </xf>
    <xf numFmtId="14" fontId="0" fillId="13" borderId="0" xfId="0" applyNumberFormat="1" applyFill="1"/>
    <xf numFmtId="0" fontId="0" fillId="13" borderId="20" xfId="0" applyFill="1" applyBorder="1"/>
    <xf numFmtId="0" fontId="0" fillId="13" borderId="21" xfId="0" applyFill="1" applyBorder="1"/>
    <xf numFmtId="0" fontId="0" fillId="13" borderId="15" xfId="0" applyFill="1" applyBorder="1"/>
    <xf numFmtId="0" fontId="0" fillId="13" borderId="15" xfId="0" applyFill="1" applyBorder="1" applyAlignment="1">
      <alignment horizontal="left"/>
    </xf>
    <xf numFmtId="0" fontId="0" fillId="13" borderId="22" xfId="0" applyFill="1" applyBorder="1"/>
    <xf numFmtId="0" fontId="0" fillId="13" borderId="17" xfId="0" applyFill="1" applyBorder="1"/>
    <xf numFmtId="0" fontId="0" fillId="13" borderId="18" xfId="0" applyFill="1" applyBorder="1"/>
    <xf numFmtId="0" fontId="0" fillId="13" borderId="19" xfId="0" applyFill="1" applyBorder="1"/>
    <xf numFmtId="0" fontId="1" fillId="13" borderId="20" xfId="0" applyFont="1" applyFill="1" applyBorder="1" applyAlignment="1">
      <alignment wrapText="1"/>
    </xf>
    <xf numFmtId="0" fontId="1" fillId="13" borderId="0" xfId="0" applyFont="1" applyFill="1" applyAlignment="1">
      <alignment wrapText="1"/>
    </xf>
    <xf numFmtId="0" fontId="1" fillId="13" borderId="1" xfId="0" applyFont="1" applyFill="1" applyBorder="1" applyAlignment="1">
      <alignment horizontal="center" wrapText="1"/>
    </xf>
    <xf numFmtId="0" fontId="1" fillId="13" borderId="21" xfId="0" applyFont="1" applyFill="1" applyBorder="1"/>
    <xf numFmtId="0" fontId="1" fillId="13" borderId="15" xfId="0" applyFont="1" applyFill="1" applyBorder="1"/>
    <xf numFmtId="14" fontId="0" fillId="13" borderId="22" xfId="0" applyNumberFormat="1" applyFill="1" applyBorder="1"/>
    <xf numFmtId="47" fontId="0" fillId="13" borderId="0" xfId="0" applyNumberFormat="1" applyFill="1"/>
    <xf numFmtId="0" fontId="1" fillId="0" borderId="1" xfId="0" applyFont="1" applyBorder="1"/>
    <xf numFmtId="0" fontId="1" fillId="0" borderId="1" xfId="0" applyFont="1" applyBorder="1" applyAlignment="1">
      <alignment wrapText="1"/>
    </xf>
    <xf numFmtId="0" fontId="0" fillId="3" borderId="1" xfId="0" applyFill="1" applyBorder="1" applyAlignment="1">
      <alignment horizontal="center"/>
    </xf>
    <xf numFmtId="0" fontId="1" fillId="13" borderId="1" xfId="0" applyFont="1" applyFill="1" applyBorder="1" applyAlignment="1">
      <alignment horizontal="center"/>
    </xf>
    <xf numFmtId="166" fontId="0" fillId="3" borderId="1" xfId="0" applyNumberFormat="1" applyFill="1" applyBorder="1" applyAlignment="1">
      <alignment horizontal="center" wrapText="1"/>
    </xf>
    <xf numFmtId="0" fontId="0" fillId="13" borderId="0" xfId="0" applyFill="1" applyAlignment="1">
      <alignment horizontal="center" wrapText="1"/>
    </xf>
    <xf numFmtId="0" fontId="1" fillId="13" borderId="17" xfId="0" applyFont="1" applyFill="1" applyBorder="1"/>
    <xf numFmtId="0" fontId="1" fillId="13" borderId="18" xfId="0" applyFont="1" applyFill="1" applyBorder="1"/>
    <xf numFmtId="0" fontId="1" fillId="0" borderId="1" xfId="0" applyFont="1" applyBorder="1" applyAlignment="1">
      <alignment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 wrapText="1"/>
      <protection locked="0"/>
    </xf>
    <xf numFmtId="22" fontId="0" fillId="0" borderId="0" xfId="0" applyNumberFormat="1" applyAlignment="1" applyProtection="1">
      <alignment horizontal="center" vertical="center"/>
      <protection locked="0"/>
    </xf>
    <xf numFmtId="166" fontId="0" fillId="0" borderId="0" xfId="0" applyNumberFormat="1" applyAlignment="1" applyProtection="1">
      <alignment horizontal="center" vertical="center"/>
      <protection locked="0"/>
    </xf>
    <xf numFmtId="167" fontId="0" fillId="0" borderId="0" xfId="0" applyNumberFormat="1" applyAlignment="1" applyProtection="1">
      <alignment horizontal="center" vertical="center"/>
      <protection locked="0"/>
    </xf>
    <xf numFmtId="10" fontId="0" fillId="0" borderId="0" xfId="1" applyNumberFormat="1" applyFont="1" applyFill="1" applyAlignment="1" applyProtection="1">
      <alignment horizontal="center" vertical="center"/>
      <protection locked="0"/>
    </xf>
    <xf numFmtId="0" fontId="0" fillId="13" borderId="0" xfId="0" applyFill="1" applyAlignment="1">
      <alignment horizontal="left"/>
    </xf>
    <xf numFmtId="0" fontId="0" fillId="13" borderId="20" xfId="0" applyFill="1" applyBorder="1" applyAlignment="1">
      <alignment horizontal="left"/>
    </xf>
    <xf numFmtId="0" fontId="1" fillId="13" borderId="1" xfId="0" applyFont="1" applyFill="1" applyBorder="1" applyAlignment="1">
      <alignment horizontal="center"/>
    </xf>
    <xf numFmtId="0" fontId="1" fillId="13" borderId="1" xfId="0" applyFont="1" applyFill="1" applyBorder="1" applyAlignment="1">
      <alignment horizontal="center" wrapText="1"/>
    </xf>
    <xf numFmtId="0" fontId="0" fillId="3" borderId="1" xfId="0" applyFill="1" applyBorder="1" applyAlignment="1">
      <alignment horizontal="center"/>
    </xf>
    <xf numFmtId="166" fontId="0" fillId="3" borderId="1" xfId="0" applyNumberFormat="1" applyFill="1" applyBorder="1" applyAlignment="1">
      <alignment horizontal="center" wrapText="1"/>
    </xf>
    <xf numFmtId="0" fontId="1" fillId="0" borderId="1" xfId="0" applyFont="1" applyBorder="1" applyAlignment="1">
      <alignment horizontal="center" vertical="center"/>
    </xf>
    <xf numFmtId="0" fontId="1" fillId="13" borderId="0" xfId="0" applyFont="1" applyFill="1" applyBorder="1" applyAlignment="1">
      <alignment horizontal="center"/>
    </xf>
    <xf numFmtId="0" fontId="0" fillId="13" borderId="0" xfId="0" applyFill="1" applyBorder="1"/>
    <xf numFmtId="0" fontId="0" fillId="13" borderId="0" xfId="0" applyFill="1" applyBorder="1" applyAlignment="1">
      <alignment horizontal="center"/>
    </xf>
    <xf numFmtId="0" fontId="0" fillId="13" borderId="0" xfId="0" applyFill="1" applyBorder="1" applyAlignment="1">
      <alignment wrapText="1"/>
    </xf>
    <xf numFmtId="14" fontId="0" fillId="13" borderId="0" xfId="0" applyNumberFormat="1" applyFill="1" applyBorder="1"/>
    <xf numFmtId="14" fontId="0" fillId="0" borderId="0" xfId="0" applyNumberFormat="1" applyBorder="1"/>
    <xf numFmtId="166" fontId="0" fillId="13" borderId="0" xfId="0" applyNumberFormat="1" applyFill="1" applyBorder="1" applyAlignment="1">
      <alignment horizontal="center" wrapText="1"/>
    </xf>
    <xf numFmtId="166" fontId="0" fillId="13" borderId="14" xfId="0" applyNumberFormat="1" applyFill="1" applyBorder="1" applyAlignment="1">
      <alignment horizontal="center" wrapText="1"/>
    </xf>
    <xf numFmtId="0" fontId="0" fillId="3" borderId="20" xfId="0" applyFill="1" applyBorder="1" applyAlignment="1"/>
    <xf numFmtId="0" fontId="0" fillId="3" borderId="0" xfId="0" applyFill="1" applyBorder="1" applyAlignment="1"/>
    <xf numFmtId="0" fontId="0" fillId="3" borderId="14" xfId="0" applyFill="1" applyBorder="1" applyAlignment="1"/>
    <xf numFmtId="9" fontId="0" fillId="3" borderId="1" xfId="1" applyFont="1" applyFill="1" applyBorder="1" applyAlignment="1">
      <alignment horizontal="center" wrapText="1"/>
    </xf>
    <xf numFmtId="0" fontId="12" fillId="13" borderId="1" xfId="0" applyFont="1" applyFill="1" applyBorder="1" applyAlignment="1">
      <alignment horizontal="left" vertical="center" wrapText="1" indent="1"/>
    </xf>
    <xf numFmtId="0" fontId="14" fillId="13" borderId="1" xfId="0" applyFont="1" applyFill="1" applyBorder="1" applyAlignment="1">
      <alignment horizontal="left" vertical="center" wrapText="1" indent="1"/>
    </xf>
    <xf numFmtId="0" fontId="15" fillId="13" borderId="1" xfId="0" applyFont="1" applyFill="1" applyBorder="1" applyAlignment="1">
      <alignment horizontal="left" vertical="center" wrapText="1" indent="1"/>
    </xf>
    <xf numFmtId="22" fontId="0" fillId="0" borderId="1" xfId="0" applyNumberFormat="1" applyBorder="1"/>
    <xf numFmtId="0" fontId="0" fillId="0" borderId="1" xfId="0" applyBorder="1" applyAlignment="1">
      <alignment horizontal="center"/>
    </xf>
    <xf numFmtId="22" fontId="0" fillId="0" borderId="1" xfId="0" applyNumberFormat="1" applyBorder="1" applyAlignment="1">
      <alignment wrapText="1"/>
    </xf>
    <xf numFmtId="0" fontId="0" fillId="0" borderId="1" xfId="0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1" xfId="0" applyBorder="1"/>
    <xf numFmtId="22" fontId="0" fillId="0" borderId="0" xfId="0" applyNumberFormat="1"/>
    <xf numFmtId="0" fontId="13" fillId="0" borderId="0" xfId="0" applyFont="1"/>
    <xf numFmtId="0" fontId="0" fillId="15" borderId="0" xfId="0" applyFill="1"/>
    <xf numFmtId="0" fontId="15" fillId="0" borderId="0" xfId="0" applyFont="1"/>
    <xf numFmtId="0" fontId="1" fillId="0" borderId="16" xfId="0" applyFont="1" applyBorder="1" applyAlignment="1">
      <alignment horizontal="center" vertical="center"/>
    </xf>
    <xf numFmtId="167" fontId="0" fillId="3" borderId="1" xfId="0" applyNumberFormat="1" applyFill="1" applyBorder="1" applyAlignment="1">
      <alignment horizontal="center"/>
    </xf>
    <xf numFmtId="166" fontId="0" fillId="3" borderId="1" xfId="0" applyNumberFormat="1" applyFill="1" applyBorder="1" applyAlignment="1">
      <alignment horizontal="center" wrapText="1"/>
    </xf>
    <xf numFmtId="0" fontId="0" fillId="0" borderId="0" xfId="0" applyNumberFormat="1" applyAlignment="1" applyProtection="1">
      <alignment horizontal="center" vertical="center"/>
      <protection locked="0"/>
    </xf>
    <xf numFmtId="168" fontId="0" fillId="0" borderId="1" xfId="0" applyNumberFormat="1" applyBorder="1" applyAlignment="1">
      <alignment horizontal="center" wrapText="1"/>
    </xf>
    <xf numFmtId="168" fontId="1" fillId="0" borderId="1" xfId="0" applyNumberFormat="1" applyFont="1" applyBorder="1" applyAlignment="1">
      <alignment horizontal="center" wrapText="1"/>
    </xf>
    <xf numFmtId="168" fontId="0" fillId="0" borderId="0" xfId="0" applyNumberFormat="1" applyAlignment="1" applyProtection="1">
      <alignment horizontal="center" vertical="center"/>
      <protection locked="0"/>
    </xf>
    <xf numFmtId="167" fontId="1" fillId="0" borderId="1" xfId="0" applyNumberFormat="1" applyFont="1" applyBorder="1" applyAlignment="1">
      <alignment wrapText="1"/>
    </xf>
    <xf numFmtId="166" fontId="0" fillId="13" borderId="0" xfId="0" applyNumberFormat="1" applyFill="1"/>
    <xf numFmtId="2" fontId="0" fillId="0" borderId="0" xfId="0" applyNumberFormat="1" applyAlignment="1" applyProtection="1">
      <alignment horizontal="center" vertical="center"/>
      <protection locked="0"/>
    </xf>
    <xf numFmtId="2" fontId="1" fillId="0" borderId="1" xfId="0" applyNumberFormat="1" applyFont="1" applyBorder="1" applyAlignment="1">
      <alignment vertical="center"/>
    </xf>
    <xf numFmtId="2" fontId="1" fillId="0" borderId="1" xfId="0" applyNumberFormat="1" applyFont="1" applyBorder="1" applyAlignment="1">
      <alignment wrapText="1"/>
    </xf>
    <xf numFmtId="167" fontId="0" fillId="3" borderId="1" xfId="0" applyNumberFormat="1" applyFill="1" applyBorder="1" applyAlignment="1">
      <alignment horizontal="center" wrapText="1"/>
    </xf>
    <xf numFmtId="167" fontId="0" fillId="13" borderId="0" xfId="0" applyNumberFormat="1" applyFill="1" applyAlignment="1">
      <alignment wrapText="1"/>
    </xf>
    <xf numFmtId="167" fontId="0" fillId="13" borderId="0" xfId="0" applyNumberFormat="1" applyFill="1"/>
    <xf numFmtId="0" fontId="1" fillId="13" borderId="20" xfId="0" applyFont="1" applyFill="1" applyBorder="1" applyAlignment="1">
      <alignment horizontal="center"/>
    </xf>
    <xf numFmtId="0" fontId="1" fillId="13" borderId="0" xfId="0" applyFont="1" applyFill="1" applyBorder="1" applyAlignment="1">
      <alignment horizontal="center"/>
    </xf>
    <xf numFmtId="0" fontId="0" fillId="13" borderId="1" xfId="0" applyFill="1" applyBorder="1" applyAlignment="1">
      <alignment horizontal="center"/>
    </xf>
    <xf numFmtId="0" fontId="1" fillId="13" borderId="1" xfId="0" applyFont="1" applyFill="1" applyBorder="1" applyAlignment="1">
      <alignment horizontal="center"/>
    </xf>
    <xf numFmtId="0" fontId="0" fillId="13" borderId="2" xfId="0" applyFill="1" applyBorder="1" applyAlignment="1">
      <alignment horizontal="center"/>
    </xf>
    <xf numFmtId="0" fontId="0" fillId="13" borderId="16" xfId="0" applyFill="1" applyBorder="1" applyAlignment="1">
      <alignment horizontal="center"/>
    </xf>
    <xf numFmtId="0" fontId="0" fillId="13" borderId="3" xfId="0" applyFill="1" applyBorder="1" applyAlignment="1">
      <alignment horizontal="center"/>
    </xf>
    <xf numFmtId="9" fontId="0" fillId="3" borderId="2" xfId="1" applyFont="1" applyFill="1" applyBorder="1" applyAlignment="1">
      <alignment horizontal="center" wrapText="1"/>
    </xf>
    <xf numFmtId="9" fontId="0" fillId="3" borderId="3" xfId="1" applyFont="1" applyFill="1" applyBorder="1" applyAlignment="1">
      <alignment horizontal="center" wrapText="1"/>
    </xf>
    <xf numFmtId="167" fontId="0" fillId="2" borderId="2" xfId="0" applyNumberFormat="1" applyFill="1" applyBorder="1" applyAlignment="1" applyProtection="1">
      <alignment horizontal="center"/>
      <protection locked="0"/>
    </xf>
    <xf numFmtId="167" fontId="0" fillId="2" borderId="16" xfId="0" applyNumberFormat="1" applyFill="1" applyBorder="1" applyAlignment="1" applyProtection="1">
      <alignment horizontal="center"/>
      <protection locked="0"/>
    </xf>
    <xf numFmtId="0" fontId="1" fillId="13" borderId="2" xfId="0" applyFont="1" applyFill="1" applyBorder="1" applyAlignment="1">
      <alignment horizontal="center"/>
    </xf>
    <xf numFmtId="0" fontId="1" fillId="13" borderId="16" xfId="0" applyFont="1" applyFill="1" applyBorder="1" applyAlignment="1">
      <alignment horizontal="center"/>
    </xf>
    <xf numFmtId="0" fontId="1" fillId="13" borderId="3" xfId="0" applyFont="1" applyFill="1" applyBorder="1" applyAlignment="1">
      <alignment horizontal="center"/>
    </xf>
    <xf numFmtId="167" fontId="0" fillId="3" borderId="1" xfId="0" applyNumberFormat="1" applyFill="1" applyBorder="1" applyAlignment="1">
      <alignment horizontal="center"/>
    </xf>
    <xf numFmtId="166" fontId="0" fillId="3" borderId="1" xfId="0" applyNumberFormat="1" applyFill="1" applyBorder="1" applyAlignment="1">
      <alignment horizontal="center" wrapText="1"/>
    </xf>
    <xf numFmtId="0" fontId="0" fillId="13" borderId="20" xfId="0" applyFill="1" applyBorder="1" applyAlignment="1">
      <alignment horizontal="left"/>
    </xf>
    <xf numFmtId="0" fontId="0" fillId="13" borderId="0" xfId="0" applyFill="1" applyAlignment="1">
      <alignment horizontal="left"/>
    </xf>
    <xf numFmtId="0" fontId="0" fillId="13" borderId="14" xfId="0" applyFill="1" applyBorder="1" applyAlignment="1">
      <alignment horizontal="left"/>
    </xf>
    <xf numFmtId="0" fontId="10" fillId="14" borderId="2" xfId="0" applyFont="1" applyFill="1" applyBorder="1" applyAlignment="1">
      <alignment horizontal="center"/>
    </xf>
    <xf numFmtId="0" fontId="10" fillId="14" borderId="16" xfId="0" applyFont="1" applyFill="1" applyBorder="1" applyAlignment="1">
      <alignment horizontal="center"/>
    </xf>
    <xf numFmtId="0" fontId="10" fillId="14" borderId="3" xfId="0" applyFont="1" applyFill="1" applyBorder="1" applyAlignment="1">
      <alignment horizontal="center"/>
    </xf>
    <xf numFmtId="0" fontId="0" fillId="13" borderId="1" xfId="0" applyFill="1" applyBorder="1" applyAlignment="1">
      <alignment horizontal="left"/>
    </xf>
    <xf numFmtId="14" fontId="0" fillId="13" borderId="1" xfId="0" applyNumberFormat="1" applyFill="1" applyBorder="1" applyAlignment="1">
      <alignment horizontal="left"/>
    </xf>
    <xf numFmtId="0" fontId="0" fillId="13" borderId="2" xfId="0" applyFill="1" applyBorder="1" applyAlignment="1">
      <alignment horizontal="left"/>
    </xf>
    <xf numFmtId="0" fontId="0" fillId="13" borderId="16" xfId="0" applyFill="1" applyBorder="1" applyAlignment="1">
      <alignment horizontal="left"/>
    </xf>
    <xf numFmtId="0" fontId="0" fillId="13" borderId="3" xfId="0" applyFill="1" applyBorder="1" applyAlignment="1">
      <alignment horizontal="left"/>
    </xf>
    <xf numFmtId="0" fontId="1" fillId="13" borderId="2" xfId="0" applyFont="1" applyFill="1" applyBorder="1" applyAlignment="1">
      <alignment horizontal="left"/>
    </xf>
    <xf numFmtId="0" fontId="1" fillId="13" borderId="3" xfId="0" applyFont="1" applyFill="1" applyBorder="1" applyAlignment="1">
      <alignment horizontal="left"/>
    </xf>
    <xf numFmtId="0" fontId="1" fillId="13" borderId="1" xfId="0" applyFont="1" applyFill="1" applyBorder="1" applyAlignment="1">
      <alignment horizontal="center" wrapText="1"/>
    </xf>
    <xf numFmtId="14" fontId="0" fillId="13" borderId="1" xfId="0" applyNumberFormat="1" applyFill="1" applyBorder="1" applyAlignment="1" applyProtection="1">
      <alignment horizontal="center"/>
    </xf>
    <xf numFmtId="0" fontId="0" fillId="13" borderId="20" xfId="0" quotePrefix="1" applyFill="1" applyBorder="1" applyAlignment="1">
      <alignment horizontal="center"/>
    </xf>
    <xf numFmtId="0" fontId="0" fillId="13" borderId="0" xfId="0" quotePrefix="1" applyFill="1" applyAlignment="1">
      <alignment horizontal="center"/>
    </xf>
    <xf numFmtId="0" fontId="0" fillId="13" borderId="14" xfId="0" quotePrefix="1" applyFill="1" applyBorder="1" applyAlignment="1">
      <alignment horizontal="center"/>
    </xf>
    <xf numFmtId="0" fontId="1" fillId="14" borderId="2" xfId="0" applyFont="1" applyFill="1" applyBorder="1" applyAlignment="1">
      <alignment horizontal="left"/>
    </xf>
    <xf numFmtId="0" fontId="1" fillId="14" borderId="16" xfId="0" applyFont="1" applyFill="1" applyBorder="1" applyAlignment="1">
      <alignment horizontal="left"/>
    </xf>
    <xf numFmtId="0" fontId="1" fillId="14" borderId="3" xfId="0" applyFont="1" applyFill="1" applyBorder="1" applyAlignment="1">
      <alignment horizontal="left"/>
    </xf>
    <xf numFmtId="168" fontId="0" fillId="2" borderId="1" xfId="0" applyNumberFormat="1" applyFill="1" applyBorder="1" applyAlignment="1" applyProtection="1">
      <alignment horizontal="center"/>
      <protection locked="0"/>
    </xf>
    <xf numFmtId="166" fontId="0" fillId="2" borderId="1" xfId="0" applyNumberFormat="1" applyFill="1" applyBorder="1" applyAlignment="1" applyProtection="1">
      <alignment horizontal="center"/>
      <protection locked="0"/>
    </xf>
    <xf numFmtId="166" fontId="12" fillId="13" borderId="1" xfId="0" applyNumberFormat="1" applyFont="1" applyFill="1" applyBorder="1" applyAlignment="1" applyProtection="1">
      <alignment horizontal="center" wrapText="1"/>
    </xf>
    <xf numFmtId="0" fontId="12" fillId="13" borderId="1" xfId="0" applyFont="1" applyFill="1" applyBorder="1" applyAlignment="1" applyProtection="1">
      <alignment horizontal="center" wrapText="1"/>
    </xf>
    <xf numFmtId="166" fontId="0" fillId="2" borderId="2" xfId="0" applyNumberFormat="1" applyFill="1" applyBorder="1" applyAlignment="1" applyProtection="1">
      <alignment horizontal="center"/>
      <protection locked="0"/>
    </xf>
    <xf numFmtId="167" fontId="0" fillId="2" borderId="1" xfId="0" applyNumberFormat="1" applyFill="1" applyBorder="1" applyAlignment="1" applyProtection="1">
      <alignment horizontal="center"/>
      <protection locked="0"/>
    </xf>
    <xf numFmtId="0" fontId="1" fillId="13" borderId="2" xfId="0" applyFont="1" applyFill="1" applyBorder="1" applyAlignment="1">
      <alignment horizontal="center" wrapText="1"/>
    </xf>
    <xf numFmtId="0" fontId="1" fillId="13" borderId="16" xfId="0" applyFont="1" applyFill="1" applyBorder="1" applyAlignment="1">
      <alignment horizontal="center" wrapText="1"/>
    </xf>
    <xf numFmtId="0" fontId="1" fillId="13" borderId="3" xfId="0" applyFont="1" applyFill="1" applyBorder="1" applyAlignment="1">
      <alignment horizontal="center" wrapText="1"/>
    </xf>
    <xf numFmtId="0" fontId="0" fillId="3" borderId="1" xfId="0" applyFill="1" applyBorder="1" applyAlignment="1">
      <alignment horizontal="center"/>
    </xf>
    <xf numFmtId="0" fontId="0" fillId="13" borderId="1" xfId="0" applyFill="1" applyBorder="1" applyAlignment="1">
      <alignment horizontal="center" wrapText="1"/>
    </xf>
    <xf numFmtId="167" fontId="0" fillId="3" borderId="1" xfId="0" applyNumberFormat="1" applyFill="1" applyBorder="1" applyAlignment="1">
      <alignment horizontal="center" wrapText="1"/>
    </xf>
    <xf numFmtId="166" fontId="14" fillId="3" borderId="1" xfId="0" applyNumberFormat="1" applyFont="1" applyFill="1" applyBorder="1" applyAlignment="1">
      <alignment horizontal="center" wrapText="1"/>
    </xf>
    <xf numFmtId="0" fontId="12" fillId="0" borderId="0" xfId="0" applyFont="1" applyAlignment="1">
      <alignment horizontal="center"/>
    </xf>
    <xf numFmtId="0" fontId="1" fillId="0" borderId="2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167" fontId="1" fillId="0" borderId="2" xfId="0" applyNumberFormat="1" applyFont="1" applyBorder="1" applyAlignment="1">
      <alignment horizontal="center" vertical="center"/>
    </xf>
    <xf numFmtId="167" fontId="1" fillId="0" borderId="16" xfId="0" applyNumberFormat="1" applyFont="1" applyBorder="1" applyAlignment="1">
      <alignment horizontal="center" vertical="center"/>
    </xf>
    <xf numFmtId="167" fontId="1" fillId="0" borderId="3" xfId="0" applyNumberFormat="1" applyFont="1" applyBorder="1" applyAlignment="1">
      <alignment horizontal="center" vertical="center"/>
    </xf>
    <xf numFmtId="0" fontId="1" fillId="13" borderId="2" xfId="0" applyFont="1" applyFill="1" applyBorder="1" applyAlignment="1">
      <alignment horizontal="center" vertical="center"/>
    </xf>
    <xf numFmtId="0" fontId="1" fillId="13" borderId="16" xfId="0" applyFont="1" applyFill="1" applyBorder="1" applyAlignment="1">
      <alignment horizontal="center" vertical="center"/>
    </xf>
    <xf numFmtId="0" fontId="1" fillId="13" borderId="3" xfId="0" applyFont="1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 wrapText="1"/>
    </xf>
    <xf numFmtId="0" fontId="0" fillId="0" borderId="1" xfId="0" applyBorder="1" applyAlignment="1">
      <alignment horizontal="center"/>
    </xf>
  </cellXfs>
  <cellStyles count="2">
    <cellStyle name="Normal" xfId="0" builtinId="0"/>
    <cellStyle name="Percent" xfId="1" builtinId="5"/>
  </cellStyles>
  <dxfs count="47"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8C00"/>
        </patternFill>
      </fill>
    </dxf>
    <dxf>
      <fill>
        <patternFill>
          <bgColor rgb="FFFF8C00"/>
        </patternFill>
      </fill>
    </dxf>
    <dxf>
      <fill>
        <patternFill>
          <bgColor rgb="FFFF8C00"/>
        </patternFill>
      </fill>
    </dxf>
    <dxf>
      <fill>
        <patternFill>
          <bgColor rgb="FFF6BB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8C00"/>
        </patternFill>
      </fill>
    </dxf>
    <dxf>
      <fill>
        <patternFill>
          <bgColor rgb="FFFF8C00"/>
        </patternFill>
      </fill>
    </dxf>
    <dxf>
      <fill>
        <patternFill>
          <bgColor rgb="FFFF8C00"/>
        </patternFill>
      </fill>
    </dxf>
    <dxf>
      <fill>
        <patternFill>
          <bgColor rgb="FFF6BB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8C00"/>
        </patternFill>
      </fill>
    </dxf>
    <dxf>
      <fill>
        <patternFill>
          <bgColor rgb="FFFF8C00"/>
        </patternFill>
      </fill>
    </dxf>
    <dxf>
      <fill>
        <patternFill>
          <bgColor rgb="FFFF8C00"/>
        </patternFill>
      </fill>
    </dxf>
    <dxf>
      <fill>
        <patternFill>
          <bgColor rgb="FFF6BB00"/>
        </patternFill>
      </fill>
    </dxf>
    <dxf>
      <fill>
        <patternFill>
          <bgColor rgb="FF92D050"/>
        </patternFill>
      </fill>
    </dxf>
    <dxf>
      <fill>
        <patternFill>
          <bgColor rgb="FFFF8C00"/>
        </patternFill>
      </fill>
    </dxf>
    <dxf>
      <fill>
        <patternFill>
          <bgColor rgb="FFFF8C00"/>
        </patternFill>
      </fill>
    </dxf>
    <dxf>
      <fill>
        <patternFill>
          <bgColor rgb="FFFF8C00"/>
        </patternFill>
      </fill>
    </dxf>
    <dxf>
      <fill>
        <patternFill>
          <bgColor rgb="FFF6BB00"/>
        </patternFill>
      </fill>
    </dxf>
    <dxf>
      <fill>
        <patternFill>
          <bgColor rgb="FF92D050"/>
        </patternFill>
      </fill>
    </dxf>
    <dxf>
      <fill>
        <patternFill>
          <bgColor rgb="FFFF8C00"/>
        </patternFill>
      </fill>
    </dxf>
    <dxf>
      <fill>
        <patternFill>
          <bgColor rgb="FFFF8C00"/>
        </patternFill>
      </fill>
    </dxf>
    <dxf>
      <fill>
        <patternFill>
          <bgColor rgb="FFFF8C00"/>
        </patternFill>
      </fill>
    </dxf>
    <dxf>
      <fill>
        <patternFill>
          <bgColor rgb="FFF6BB00"/>
        </patternFill>
      </fill>
    </dxf>
    <dxf>
      <fill>
        <patternFill>
          <bgColor rgb="FF92D050"/>
        </patternFill>
      </fill>
    </dxf>
    <dxf>
      <fill>
        <patternFill>
          <bgColor rgb="FFFF8C00"/>
        </patternFill>
      </fill>
    </dxf>
    <dxf>
      <fill>
        <patternFill>
          <bgColor rgb="FFFF8C00"/>
        </patternFill>
      </fill>
    </dxf>
    <dxf>
      <fill>
        <patternFill>
          <bgColor rgb="FFFF8C00"/>
        </patternFill>
      </fill>
    </dxf>
    <dxf>
      <fill>
        <patternFill>
          <bgColor rgb="FFFF0000"/>
        </patternFill>
      </fill>
    </dxf>
    <dxf>
      <fill>
        <patternFill>
          <bgColor rgb="FFF6BB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FF8C00"/>
      <color rgb="FFFF0000"/>
      <color rgb="FF92D050"/>
      <color rgb="FFF6BB00"/>
      <color rgb="FF54D321"/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133350</xdr:colOff>
          <xdr:row>10</xdr:row>
          <xdr:rowOff>0</xdr:rowOff>
        </xdr:from>
        <xdr:to>
          <xdr:col>11</xdr:col>
          <xdr:colOff>361950</xdr:colOff>
          <xdr:row>11</xdr:row>
          <xdr:rowOff>66675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Data to Site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142875</xdr:colOff>
          <xdr:row>11</xdr:row>
          <xdr:rowOff>152400</xdr:rowOff>
        </xdr:from>
        <xdr:to>
          <xdr:col>11</xdr:col>
          <xdr:colOff>352425</xdr:colOff>
          <xdr:row>13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1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to pdf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5"/>
  <sheetViews>
    <sheetView workbookViewId="0">
      <selection activeCell="B8" sqref="B8"/>
    </sheetView>
  </sheetViews>
  <sheetFormatPr defaultRowHeight="15" x14ac:dyDescent="0.25"/>
  <cols>
    <col min="2" max="2" width="47" customWidth="1"/>
  </cols>
  <sheetData>
    <row r="1" spans="1:2" x14ac:dyDescent="0.25">
      <c r="A1" s="86" t="s">
        <v>78</v>
      </c>
      <c r="B1" s="86" t="s">
        <v>2</v>
      </c>
    </row>
    <row r="2" spans="1:2" ht="45" x14ac:dyDescent="0.25">
      <c r="A2" s="87" t="s">
        <v>79</v>
      </c>
      <c r="B2" s="88" t="s">
        <v>84</v>
      </c>
    </row>
    <row r="3" spans="1:2" ht="45" x14ac:dyDescent="0.25">
      <c r="A3" s="87" t="s">
        <v>80</v>
      </c>
      <c r="B3" s="87" t="s">
        <v>81</v>
      </c>
    </row>
    <row r="4" spans="1:2" ht="30" x14ac:dyDescent="0.25">
      <c r="A4" s="87" t="s">
        <v>82</v>
      </c>
      <c r="B4" s="87" t="s">
        <v>100</v>
      </c>
    </row>
    <row r="5" spans="1:2" ht="45" x14ac:dyDescent="0.25">
      <c r="A5" s="87" t="s">
        <v>34</v>
      </c>
      <c r="B5" s="87" t="s">
        <v>83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B2:AC1618"/>
  <sheetViews>
    <sheetView zoomScale="85" zoomScaleNormal="85" workbookViewId="0">
      <selection activeCell="M59" sqref="M59"/>
    </sheetView>
  </sheetViews>
  <sheetFormatPr defaultColWidth="9.140625" defaultRowHeight="15" x14ac:dyDescent="0.25"/>
  <cols>
    <col min="1" max="1" width="1.7109375" style="29" customWidth="1"/>
    <col min="2" max="2" width="12.85546875" style="29" customWidth="1"/>
    <col min="3" max="3" width="4.42578125" style="29" customWidth="1"/>
    <col min="4" max="4" width="11.28515625" style="29" bestFit="1" customWidth="1"/>
    <col min="5" max="5" width="14.28515625" style="29" customWidth="1"/>
    <col min="6" max="7" width="10.7109375" style="29" customWidth="1"/>
    <col min="8" max="8" width="3.42578125" style="29" customWidth="1"/>
    <col min="9" max="9" width="10.7109375" style="29" customWidth="1"/>
    <col min="10" max="10" width="4.28515625" style="29" customWidth="1"/>
    <col min="11" max="11" width="15.7109375" style="29" customWidth="1"/>
    <col min="12" max="12" width="7.5703125" style="29" customWidth="1"/>
    <col min="13" max="13" width="13.42578125" style="29" bestFit="1" customWidth="1"/>
    <col min="14" max="14" width="1.7109375" style="29" customWidth="1"/>
    <col min="15" max="15" width="9.140625" style="29"/>
    <col min="16" max="16" width="10.28515625" style="29" bestFit="1" customWidth="1"/>
    <col min="17" max="24" width="9.140625" style="29"/>
    <col min="25" max="25" width="9.140625" style="29" hidden="1" customWidth="1"/>
    <col min="26" max="26" width="26.5703125" style="29" hidden="1" customWidth="1"/>
    <col min="27" max="27" width="33.5703125" style="29" hidden="1" customWidth="1"/>
    <col min="28" max="28" width="9.140625" style="29" hidden="1" customWidth="1"/>
    <col min="29" max="29" width="33.5703125" style="29" hidden="1" customWidth="1"/>
    <col min="30" max="16384" width="9.140625" style="29"/>
  </cols>
  <sheetData>
    <row r="2" spans="2:27" ht="18.75" x14ac:dyDescent="0.3">
      <c r="B2" s="133" t="s">
        <v>19</v>
      </c>
      <c r="C2" s="134"/>
      <c r="D2" s="134"/>
      <c r="E2" s="134"/>
      <c r="F2" s="134"/>
      <c r="G2" s="134"/>
      <c r="H2" s="134"/>
      <c r="I2" s="134"/>
      <c r="J2" s="134"/>
      <c r="K2" s="134"/>
      <c r="L2" s="134"/>
      <c r="M2" s="135"/>
    </row>
    <row r="3" spans="2:27" ht="5.0999999999999996" customHeight="1" x14ac:dyDescent="0.25"/>
    <row r="4" spans="2:27" x14ac:dyDescent="0.25">
      <c r="B4" s="141" t="s">
        <v>20</v>
      </c>
      <c r="C4" s="142"/>
      <c r="D4" s="136" t="s">
        <v>54</v>
      </c>
      <c r="E4" s="136"/>
      <c r="F4" s="136"/>
      <c r="G4" s="136"/>
      <c r="H4" s="136"/>
      <c r="I4" s="136"/>
      <c r="J4" s="136"/>
      <c r="K4" s="136"/>
      <c r="L4" s="136"/>
      <c r="M4" s="136"/>
    </row>
    <row r="5" spans="2:27" x14ac:dyDescent="0.25">
      <c r="B5" s="141" t="s">
        <v>21</v>
      </c>
      <c r="C5" s="142"/>
      <c r="D5" s="138"/>
      <c r="E5" s="139"/>
      <c r="F5" s="139"/>
      <c r="G5" s="139"/>
      <c r="H5" s="139"/>
      <c r="I5" s="139"/>
      <c r="J5" s="139"/>
      <c r="K5" s="139"/>
      <c r="L5" s="139"/>
      <c r="M5" s="140"/>
    </row>
    <row r="6" spans="2:27" x14ac:dyDescent="0.25">
      <c r="B6" s="141" t="s">
        <v>5</v>
      </c>
      <c r="C6" s="142"/>
      <c r="D6" s="136">
        <v>1</v>
      </c>
      <c r="E6" s="136"/>
      <c r="F6" s="136"/>
      <c r="G6" s="136"/>
      <c r="H6" s="136"/>
      <c r="I6" s="136"/>
      <c r="J6" s="136"/>
      <c r="K6" s="136"/>
      <c r="L6" s="136"/>
      <c r="M6" s="136"/>
    </row>
    <row r="7" spans="2:27" x14ac:dyDescent="0.25">
      <c r="B7" s="141" t="s">
        <v>29</v>
      </c>
      <c r="C7" s="142"/>
      <c r="D7" s="137"/>
      <c r="E7" s="136"/>
      <c r="F7" s="136"/>
      <c r="G7" s="136"/>
      <c r="H7" s="136"/>
      <c r="I7" s="136"/>
      <c r="J7" s="136"/>
      <c r="K7" s="136"/>
      <c r="L7" s="136"/>
      <c r="M7" s="136"/>
    </row>
    <row r="8" spans="2:27" ht="5.0999999999999996" customHeight="1" x14ac:dyDescent="0.25">
      <c r="B8" s="30"/>
      <c r="C8" s="30"/>
    </row>
    <row r="9" spans="2:27" ht="18.75" x14ac:dyDescent="0.3">
      <c r="B9" s="133" t="s">
        <v>18</v>
      </c>
      <c r="C9" s="134"/>
      <c r="D9" s="134"/>
      <c r="E9" s="134"/>
      <c r="F9" s="134"/>
      <c r="G9" s="134"/>
      <c r="H9" s="134"/>
      <c r="I9" s="134"/>
      <c r="J9" s="134"/>
      <c r="K9" s="134"/>
      <c r="L9" s="134"/>
      <c r="M9" s="135"/>
    </row>
    <row r="10" spans="2:27" ht="5.0999999999999996" customHeight="1" x14ac:dyDescent="0.25">
      <c r="B10" s="58"/>
      <c r="C10" s="59"/>
      <c r="D10" s="43"/>
      <c r="E10" s="43"/>
      <c r="F10" s="43"/>
      <c r="G10" s="59"/>
      <c r="H10" s="59"/>
      <c r="I10" s="43"/>
      <c r="J10" s="43"/>
      <c r="K10" s="43"/>
      <c r="L10" s="43"/>
      <c r="M10" s="44"/>
    </row>
    <row r="11" spans="2:27" s="34" customFormat="1" x14ac:dyDescent="0.25">
      <c r="B11" s="143" t="s">
        <v>30</v>
      </c>
      <c r="C11" s="143"/>
      <c r="D11" s="143"/>
      <c r="E11" s="144">
        <f ca="1">NOW()</f>
        <v>45766.925317476853</v>
      </c>
      <c r="F11" s="144"/>
      <c r="H11" s="29"/>
      <c r="J11" s="29"/>
      <c r="M11" s="35"/>
    </row>
    <row r="12" spans="2:27" x14ac:dyDescent="0.25">
      <c r="B12" s="143" t="s">
        <v>55</v>
      </c>
      <c r="C12" s="143"/>
      <c r="D12" s="143"/>
      <c r="E12" s="151">
        <v>70</v>
      </c>
      <c r="F12" s="151"/>
      <c r="M12" s="35"/>
      <c r="N12" s="34"/>
      <c r="AA12" s="34"/>
    </row>
    <row r="13" spans="2:27" ht="30" x14ac:dyDescent="0.25">
      <c r="B13" s="143" t="s">
        <v>56</v>
      </c>
      <c r="C13" s="143"/>
      <c r="D13" s="143"/>
      <c r="E13" s="151">
        <v>20</v>
      </c>
      <c r="F13" s="151"/>
      <c r="L13" s="36"/>
      <c r="M13" s="35"/>
      <c r="N13" s="34"/>
      <c r="P13" s="34" t="s">
        <v>116</v>
      </c>
      <c r="AA13" s="34"/>
    </row>
    <row r="14" spans="2:27" x14ac:dyDescent="0.25">
      <c r="B14" s="143" t="s">
        <v>57</v>
      </c>
      <c r="C14" s="143"/>
      <c r="D14" s="143"/>
      <c r="E14" s="152" t="s">
        <v>115</v>
      </c>
      <c r="F14" s="152"/>
      <c r="L14" s="36"/>
      <c r="M14" s="35"/>
      <c r="N14" s="34"/>
    </row>
    <row r="15" spans="2:27" x14ac:dyDescent="0.25">
      <c r="B15" s="143" t="s">
        <v>49</v>
      </c>
      <c r="C15" s="143"/>
      <c r="D15" s="143"/>
      <c r="E15" s="152" t="s">
        <v>114</v>
      </c>
      <c r="F15" s="152"/>
      <c r="L15" s="36"/>
      <c r="M15" s="35"/>
      <c r="N15" s="34"/>
    </row>
    <row r="16" spans="2:27" x14ac:dyDescent="0.25">
      <c r="B16" s="153" t="str">
        <f>IF(E14="Unit4 only","Unit 4 flow input",
IF(E14="Unit3 only","Unit 3 flow input",
IF(E14="Unit5 only","Unit 5 flow input",
IF(E14="Unit3 &amp; 4","Unit 3 &amp;4 flow input",IF(E14="Unit4 &amp; 5","Unit 4 &amp;5 flow input",
IF(E14="Unit3 &amp; 5","Unit 3 &amp;5 flow input",
IF(E14="Unit3 &amp; 4 &amp; 5","Unit 3,4&amp;5 flow input",
IF(E14="All Units","All Units flow input",""))))))))</f>
        <v>Unit 3,4&amp;5 flow input</v>
      </c>
      <c r="C16" s="154"/>
      <c r="D16" s="154"/>
      <c r="E16" s="152">
        <v>50</v>
      </c>
      <c r="F16" s="152"/>
      <c r="G16" s="29" t="s">
        <v>50</v>
      </c>
      <c r="L16" s="36"/>
      <c r="M16" s="35"/>
      <c r="N16" s="34"/>
    </row>
    <row r="17" spans="2:18" x14ac:dyDescent="0.25">
      <c r="B17" s="37"/>
      <c r="C17" s="32"/>
      <c r="E17" s="32"/>
      <c r="L17" s="36"/>
      <c r="M17" s="35"/>
      <c r="N17" s="34"/>
    </row>
    <row r="18" spans="2:18" x14ac:dyDescent="0.25">
      <c r="B18" s="37"/>
      <c r="C18" s="32"/>
      <c r="E18" s="32"/>
      <c r="M18" s="35"/>
      <c r="N18" s="34"/>
    </row>
    <row r="19" spans="2:18" x14ac:dyDescent="0.25">
      <c r="B19" s="114" t="s">
        <v>58</v>
      </c>
      <c r="C19" s="115"/>
      <c r="D19" s="115"/>
      <c r="E19" s="115"/>
      <c r="F19" s="115"/>
      <c r="M19" s="35"/>
      <c r="N19" s="34"/>
    </row>
    <row r="20" spans="2:18" x14ac:dyDescent="0.25">
      <c r="B20" s="37"/>
      <c r="C20" s="32"/>
      <c r="E20" s="32"/>
      <c r="I20" s="75"/>
      <c r="J20" s="75"/>
      <c r="K20" s="75"/>
      <c r="L20" s="75"/>
      <c r="M20" s="33"/>
      <c r="N20" s="34"/>
      <c r="O20" s="75"/>
    </row>
    <row r="21" spans="2:18" ht="15" customHeight="1" x14ac:dyDescent="0.25">
      <c r="B21" s="37"/>
      <c r="G21" s="117" t="s">
        <v>59</v>
      </c>
      <c r="H21" s="125"/>
      <c r="I21" s="117" t="s">
        <v>60</v>
      </c>
      <c r="J21" s="117"/>
      <c r="K21" s="117" t="s">
        <v>61</v>
      </c>
      <c r="L21" s="117"/>
      <c r="M21" s="33"/>
      <c r="P21" s="75"/>
      <c r="Q21" s="78"/>
      <c r="R21" s="34"/>
    </row>
    <row r="22" spans="2:18" ht="15" customHeight="1" x14ac:dyDescent="0.25">
      <c r="B22" s="157" t="s">
        <v>62</v>
      </c>
      <c r="C22" s="158"/>
      <c r="D22" s="158"/>
      <c r="E22" s="158"/>
      <c r="F22" s="159"/>
      <c r="G22" s="123">
        <v>8.39</v>
      </c>
      <c r="H22" s="124"/>
      <c r="I22" s="156">
        <v>8.39</v>
      </c>
      <c r="J22" s="123"/>
      <c r="K22" s="156">
        <v>8.39</v>
      </c>
      <c r="L22" s="156"/>
      <c r="M22" s="33"/>
      <c r="N22" s="75"/>
      <c r="O22" s="78"/>
      <c r="P22" s="34"/>
    </row>
    <row r="23" spans="2:18" ht="15" customHeight="1" x14ac:dyDescent="0.25">
      <c r="B23" s="157" t="s">
        <v>63</v>
      </c>
      <c r="C23" s="158"/>
      <c r="D23" s="158"/>
      <c r="E23" s="158"/>
      <c r="F23" s="159"/>
      <c r="G23" s="152">
        <v>1276</v>
      </c>
      <c r="H23" s="155"/>
      <c r="I23" s="152">
        <v>1276</v>
      </c>
      <c r="J23" s="155"/>
      <c r="K23" s="152">
        <v>1276</v>
      </c>
      <c r="L23" s="152"/>
      <c r="M23" s="33"/>
      <c r="N23" s="75"/>
      <c r="O23" s="79"/>
      <c r="P23" s="34"/>
    </row>
    <row r="24" spans="2:18" x14ac:dyDescent="0.25">
      <c r="B24" s="31" t="s">
        <v>26</v>
      </c>
      <c r="C24" s="32"/>
      <c r="I24" s="75"/>
      <c r="J24" s="75"/>
      <c r="K24" s="74"/>
      <c r="L24" s="75"/>
      <c r="M24" s="77"/>
      <c r="N24" s="37"/>
      <c r="O24" s="75"/>
    </row>
    <row r="25" spans="2:18" x14ac:dyDescent="0.25">
      <c r="B25" s="130" t="s">
        <v>37</v>
      </c>
      <c r="C25" s="131"/>
      <c r="D25" s="131"/>
      <c r="E25" s="131"/>
      <c r="F25" s="131"/>
      <c r="G25" s="131"/>
      <c r="H25" s="131"/>
      <c r="I25" s="131"/>
      <c r="J25" s="131"/>
      <c r="K25" s="131"/>
      <c r="L25" s="131"/>
      <c r="M25" s="132"/>
      <c r="N25" s="34"/>
    </row>
    <row r="26" spans="2:18" x14ac:dyDescent="0.25">
      <c r="B26" s="130" t="s">
        <v>32</v>
      </c>
      <c r="C26" s="131"/>
      <c r="D26" s="131"/>
      <c r="E26" s="131"/>
      <c r="F26" s="131"/>
      <c r="G26" s="131"/>
      <c r="H26" s="131"/>
      <c r="I26" s="131"/>
      <c r="J26" s="131"/>
      <c r="K26" s="131"/>
      <c r="L26" s="131"/>
      <c r="M26" s="132"/>
      <c r="N26" s="34"/>
    </row>
    <row r="27" spans="2:18" x14ac:dyDescent="0.25">
      <c r="B27" s="130" t="s">
        <v>31</v>
      </c>
      <c r="C27" s="131"/>
      <c r="D27" s="131"/>
      <c r="E27" s="131"/>
      <c r="F27" s="131"/>
      <c r="G27" s="131"/>
      <c r="H27" s="131"/>
      <c r="I27" s="131"/>
      <c r="J27" s="131"/>
      <c r="K27" s="131"/>
      <c r="L27" s="131"/>
      <c r="M27" s="132"/>
      <c r="N27" s="34"/>
    </row>
    <row r="28" spans="2:18" x14ac:dyDescent="0.25">
      <c r="B28" s="130" t="s">
        <v>99</v>
      </c>
      <c r="C28" s="131"/>
      <c r="D28" s="131"/>
      <c r="E28" s="131"/>
      <c r="F28" s="131"/>
      <c r="G28" s="131"/>
      <c r="H28" s="131"/>
      <c r="I28" s="131"/>
      <c r="J28" s="131"/>
      <c r="K28" s="131"/>
      <c r="L28" s="131"/>
      <c r="M28" s="132"/>
      <c r="N28" s="34"/>
    </row>
    <row r="29" spans="2:18" x14ac:dyDescent="0.25">
      <c r="B29" s="130" t="s">
        <v>33</v>
      </c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2"/>
      <c r="N29" s="34"/>
    </row>
    <row r="30" spans="2:18" ht="5.0999999999999996" customHeight="1" x14ac:dyDescent="0.25">
      <c r="B30" s="38"/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41"/>
    </row>
    <row r="31" spans="2:18" ht="18.75" x14ac:dyDescent="0.3">
      <c r="B31" s="133" t="s">
        <v>38</v>
      </c>
      <c r="C31" s="134"/>
      <c r="D31" s="134"/>
      <c r="E31" s="134"/>
      <c r="F31" s="134"/>
      <c r="G31" s="134"/>
      <c r="H31" s="134"/>
      <c r="I31" s="134"/>
      <c r="J31" s="134"/>
      <c r="K31" s="134"/>
      <c r="L31" s="134"/>
      <c r="M31" s="135"/>
    </row>
    <row r="32" spans="2:18" ht="5.0999999999999996" customHeight="1" x14ac:dyDescent="0.25"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</row>
    <row r="33" spans="2:16" ht="15" customHeight="1" x14ac:dyDescent="0.25">
      <c r="B33" s="148" t="s">
        <v>35</v>
      </c>
      <c r="C33" s="149"/>
      <c r="D33" s="149"/>
      <c r="E33" s="149"/>
      <c r="F33" s="149"/>
      <c r="G33" s="149"/>
      <c r="H33" s="149"/>
      <c r="I33" s="149"/>
      <c r="J33" s="149"/>
      <c r="K33" s="149"/>
      <c r="L33" s="149"/>
      <c r="M33" s="150"/>
    </row>
    <row r="34" spans="2:16" ht="5.0999999999999996" customHeight="1" x14ac:dyDescent="0.25">
      <c r="B34" s="31"/>
      <c r="C34" s="32"/>
      <c r="M34" s="33"/>
    </row>
    <row r="35" spans="2:16" x14ac:dyDescent="0.25">
      <c r="B35" s="117" t="s">
        <v>27</v>
      </c>
      <c r="C35" s="117"/>
      <c r="D35" s="117"/>
      <c r="E35" s="55" t="s">
        <v>28</v>
      </c>
      <c r="F35" s="145"/>
      <c r="G35" s="146"/>
      <c r="H35" s="146"/>
      <c r="I35" s="146"/>
      <c r="J35" s="146"/>
      <c r="K35" s="146"/>
      <c r="L35" s="146"/>
      <c r="M35" s="147"/>
    </row>
    <row r="36" spans="2:16" x14ac:dyDescent="0.25">
      <c r="B36" s="116" t="s">
        <v>64</v>
      </c>
      <c r="C36" s="116"/>
      <c r="D36" s="116"/>
      <c r="E36" s="54" t="str">
        <f>IF(B14="Units 3, 4 &amp; 5","Yes","No")</f>
        <v>No</v>
      </c>
      <c r="F36" s="145"/>
      <c r="G36" s="146"/>
      <c r="H36" s="146"/>
      <c r="I36" s="146"/>
      <c r="J36" s="146"/>
      <c r="K36" s="146"/>
      <c r="L36" s="146"/>
      <c r="M36" s="147"/>
    </row>
    <row r="37" spans="2:16" x14ac:dyDescent="0.25">
      <c r="B37" s="31" t="s">
        <v>1</v>
      </c>
      <c r="C37" s="32"/>
      <c r="D37" s="34"/>
      <c r="E37" s="57">
        <f>Head-Flow</f>
        <v>50</v>
      </c>
      <c r="F37" s="34"/>
      <c r="G37" s="34"/>
      <c r="H37" s="34"/>
      <c r="I37" s="34"/>
      <c r="J37" s="34"/>
      <c r="M37" s="33"/>
    </row>
    <row r="38" spans="2:16" x14ac:dyDescent="0.25">
      <c r="B38" s="125" t="s">
        <v>2</v>
      </c>
      <c r="C38" s="126"/>
      <c r="D38" s="127"/>
      <c r="E38" s="55" t="s">
        <v>22</v>
      </c>
      <c r="F38" s="34"/>
      <c r="G38" s="117" t="s">
        <v>67</v>
      </c>
      <c r="H38" s="117"/>
      <c r="J38" s="34"/>
      <c r="K38" s="55" t="s">
        <v>66</v>
      </c>
      <c r="M38" s="69" t="s">
        <v>65</v>
      </c>
    </row>
    <row r="39" spans="2:16" x14ac:dyDescent="0.25">
      <c r="B39" s="116" t="s">
        <v>23</v>
      </c>
      <c r="C39" s="116"/>
      <c r="D39" s="116"/>
      <c r="E39" s="100">
        <f>E40+E41+E42</f>
        <v>25.17</v>
      </c>
      <c r="F39" s="112"/>
      <c r="G39" s="128">
        <f>IF(OR(
    E14="Unit3 only",
), Power, 0)</f>
        <v>0</v>
      </c>
      <c r="H39" s="128"/>
      <c r="I39" s="113"/>
      <c r="J39" s="112"/>
      <c r="K39" s="100">
        <f>IF(OR(
    E14="Unit4 only",
), I22, 0)</f>
        <v>0</v>
      </c>
      <c r="L39" s="113"/>
      <c r="M39" s="100">
        <f>IF(OR(
    E14="Unit5 only",
), Power, 0)</f>
        <v>0</v>
      </c>
    </row>
    <row r="40" spans="2:16" x14ac:dyDescent="0.25">
      <c r="B40" s="116" t="s">
        <v>69</v>
      </c>
      <c r="C40" s="116"/>
      <c r="D40" s="116"/>
      <c r="E40" s="100">
        <f>G40</f>
        <v>8.39</v>
      </c>
      <c r="F40" s="112"/>
      <c r="G40" s="162">
        <f>IF(OR(
    E14="Unit3 only",
    E14="Unit3 &amp; 4",
    E14="Unit3 &amp; 5",
    E14="Unit3 &amp; 4 &amp; 5"
), Power, 0)</f>
        <v>8.39</v>
      </c>
      <c r="H40" s="162"/>
      <c r="I40" s="112"/>
      <c r="J40" s="112"/>
      <c r="K40" s="111">
        <f>IF(OR(
    E14="Unit3 &amp; 4",
), Power, 0)</f>
        <v>0</v>
      </c>
      <c r="L40" s="113"/>
      <c r="M40" s="111">
        <f>IF(OR(
    E14="Unit3 &amp; 5",
), Power, 0)</f>
        <v>0</v>
      </c>
      <c r="P40" s="107"/>
    </row>
    <row r="41" spans="2:16" x14ac:dyDescent="0.25">
      <c r="B41" s="116" t="s">
        <v>70</v>
      </c>
      <c r="C41" s="116"/>
      <c r="D41" s="116"/>
      <c r="E41" s="100">
        <f>K41</f>
        <v>8.39</v>
      </c>
      <c r="F41" s="112"/>
      <c r="G41" s="162">
        <f>IF(OR(
    E14="Unit3 &amp; 4",
), Power, 0)</f>
        <v>0</v>
      </c>
      <c r="H41" s="162"/>
      <c r="I41" s="112"/>
      <c r="J41" s="112"/>
      <c r="K41" s="111">
        <f>IF(OR(
    E14="Unit4 only",
    E14="Unit4 &amp; 5",
    E14="Unit3 &amp; 4 &amp; 5"
), Power, 0)</f>
        <v>8.39</v>
      </c>
      <c r="L41" s="113"/>
      <c r="M41" s="111">
        <f>IF(OR(
    E14="Unit4 &amp; 5",
), Power, 0)</f>
        <v>0</v>
      </c>
    </row>
    <row r="42" spans="2:16" x14ac:dyDescent="0.25">
      <c r="B42" s="116" t="s">
        <v>71</v>
      </c>
      <c r="C42" s="116"/>
      <c r="D42" s="116"/>
      <c r="E42" s="100">
        <f>M42</f>
        <v>8.39</v>
      </c>
      <c r="F42" s="112"/>
      <c r="G42" s="162">
        <f>IF(OR(
    E14="Unit3 &amp; 5",
), Power, 0)</f>
        <v>0</v>
      </c>
      <c r="H42" s="162"/>
      <c r="I42" s="112"/>
      <c r="J42" s="112"/>
      <c r="K42" s="111">
        <f>IF(OR(
    E14="Unit4 &amp; 5",
), Power, 0)</f>
        <v>0</v>
      </c>
      <c r="L42" s="113"/>
      <c r="M42" s="111">
        <f>IF(OR(
    E14="Unit5 only",
    E14="Unit4 &amp; 5",
    E14="Unit3 &amp; 5",
    E14="Unit3 &amp; 4 &amp; 5"
), Power, 0)</f>
        <v>8.39</v>
      </c>
    </row>
    <row r="43" spans="2:16" x14ac:dyDescent="0.25">
      <c r="B43" s="116" t="s">
        <v>68</v>
      </c>
      <c r="C43" s="116"/>
      <c r="D43" s="116"/>
      <c r="E43" s="101">
        <f>IF(AND(E15="Manual", OR(E14="Unit3 &amp; 4 &amp; 5", E14="All Units")), E16, SUM(Measure, I23, K23))</f>
        <v>50</v>
      </c>
      <c r="F43" s="34"/>
      <c r="G43" s="163">
        <f>IF(AND(E15="Manual",
        OR(
            E14="Unit3 only",
            E14="Unit3 &amp; 4",
E14="Unit3 &amp; 5",
            E14="Unit3 &amp; 4 &amp; 5",
             )
), E16, "")</f>
        <v>50</v>
      </c>
      <c r="H43" s="163"/>
      <c r="I43" s="34"/>
      <c r="J43" s="34"/>
      <c r="K43" s="72">
        <f>IF(AND(E15="Manual",
        OR(
            E14="Unit4 only",
            E14="Unit3 &amp; 4",
            E14="Unit4 &amp; 5",
            E14="Unit3 &amp; 4 &amp; 5",
        )
), E16, "")</f>
        <v>50</v>
      </c>
      <c r="M43" s="72">
        <f>IF(AND(E15="Manual",
        OR(
            E14="Unit5 only",
                       E14="Unit4 &amp; 5",
            E14="Unit3 &amp; 5",
            E14="Unit3 &amp; 4 &amp; 5",
        )
), E16, "")</f>
        <v>50</v>
      </c>
    </row>
    <row r="44" spans="2:16" x14ac:dyDescent="0.25">
      <c r="B44" s="116" t="s">
        <v>24</v>
      </c>
      <c r="C44" s="116"/>
      <c r="D44" s="116"/>
      <c r="E44" s="56">
        <f>IF(AND(E37&gt;40,E37&lt;60),
   (IF(ISNUMBER(SEARCH("Unit3",E14)),1,0) +
    IF(ISNUMBER(SEARCH("Unit4",E14)),1,0) + IF(ISNUMBER(SEARCH("All Units",E14)),1,0) +
    IF(ISNUMBER(SEARCH("Unit5",E14)),1,0)) * 1500,
0)</f>
        <v>1500</v>
      </c>
      <c r="F44" s="34"/>
      <c r="G44" s="129">
        <f>IF(AND(E37&gt;40,E37&lt;60),
   (IF(ISNUMBER(SEARCH("Unit3",E14)),1,0) ) * 1500,
0)</f>
        <v>1500</v>
      </c>
      <c r="H44" s="129"/>
      <c r="I44" s="34"/>
      <c r="J44" s="34"/>
      <c r="K44" s="56">
        <f>IF(AND(E37&gt;40,E37&lt;60),
(
IF(ISNUMBER(SEARCH("Unit4",E14)),1,0))*1500,
0)</f>
        <v>0</v>
      </c>
      <c r="M44" s="72">
        <f>IF(AND(E37&gt;40,E37&lt;60),
   (
    IF(ISNUMBER(SEARCH("Unit5",E14)),1,0)) * 1500,
0)</f>
        <v>0</v>
      </c>
    </row>
    <row r="45" spans="2:16" x14ac:dyDescent="0.25">
      <c r="B45" s="116" t="s">
        <v>25</v>
      </c>
      <c r="C45" s="116"/>
      <c r="D45" s="116"/>
      <c r="E45" s="56">
        <f>IF(AND(E37&gt;40,E37&lt;60),
   (IF(ISNUMBER(SEARCH("Unit3",E14)),1,0) +
    IF(ISNUMBER(SEARCH("Unit4",E14)),1,0) +    IF(ISNUMBER(SEARCH("All Units",E14)),1,0) +
    IF(ISNUMBER(SEARCH("Unit5",E14)),1,0)) * 500,
"")</f>
        <v>500</v>
      </c>
      <c r="G45" s="129">
        <f>IF(AND(E37&gt;40,E37&lt;60),
   (IF(ISNUMBER(SEARCH("Unit3",E14)),1,0) ) * 500,
"")</f>
        <v>500</v>
      </c>
      <c r="H45" s="129"/>
      <c r="K45" s="56">
        <f>IF(AND(E37&gt;40,E37&lt;60),
   (
    IF(ISNUMBER(SEARCH("Unit4",E14)),1,0)) * 500,
"")</f>
        <v>0</v>
      </c>
      <c r="M45" s="72">
        <f>IF(AND(E37&gt;40,E37&lt;60),
   (
    IF(ISNUMBER(SEARCH("Unit5",E14)),1,0)) * 500,
"")</f>
        <v>0</v>
      </c>
    </row>
    <row r="46" spans="2:16" x14ac:dyDescent="0.25">
      <c r="B46" s="76"/>
      <c r="C46" s="76"/>
      <c r="D46" s="76"/>
      <c r="E46" s="80"/>
      <c r="G46" s="80"/>
      <c r="H46" s="80"/>
      <c r="K46" s="80"/>
      <c r="M46" s="81"/>
    </row>
    <row r="47" spans="2:16" x14ac:dyDescent="0.25">
      <c r="B47" s="164" t="s">
        <v>72</v>
      </c>
      <c r="C47" s="164"/>
      <c r="D47" s="164"/>
      <c r="E47" s="80"/>
      <c r="G47" s="80"/>
      <c r="H47" s="80"/>
      <c r="K47" s="80"/>
      <c r="M47" s="81"/>
    </row>
    <row r="48" spans="2:16" x14ac:dyDescent="0.25">
      <c r="M48" s="33"/>
    </row>
    <row r="49" spans="2:14" x14ac:dyDescent="0.25">
      <c r="B49" s="82" t="s">
        <v>73</v>
      </c>
      <c r="C49" s="83"/>
      <c r="D49" s="83"/>
      <c r="E49" s="83"/>
      <c r="F49" s="83"/>
      <c r="G49" s="83"/>
      <c r="H49" s="83"/>
      <c r="I49" s="83"/>
      <c r="J49" s="83"/>
      <c r="K49" s="83"/>
      <c r="L49" s="83"/>
      <c r="M49" s="84"/>
    </row>
    <row r="50" spans="2:14" x14ac:dyDescent="0.25">
      <c r="B50" s="68"/>
      <c r="C50" s="67"/>
      <c r="D50" s="67"/>
      <c r="E50" s="67"/>
      <c r="F50" s="67"/>
      <c r="G50" s="117" t="s">
        <v>59</v>
      </c>
      <c r="H50" s="117"/>
      <c r="K50" s="55" t="s">
        <v>60</v>
      </c>
      <c r="M50" s="69" t="s">
        <v>61</v>
      </c>
    </row>
    <row r="51" spans="2:14" x14ac:dyDescent="0.25">
      <c r="B51" s="118" t="s">
        <v>76</v>
      </c>
      <c r="C51" s="119"/>
      <c r="D51" s="119"/>
      <c r="E51" s="119"/>
      <c r="F51" s="120"/>
      <c r="G51" s="121">
        <f>IF(OR(ISNUMBER(SEARCH("Unit3",E14)),E14="Unit3 &amp; 4 &amp; 5"),MIN(MAX(Power*0.13*E37^0.28,20),95),0)/100</f>
        <v>0.2</v>
      </c>
      <c r="H51" s="122"/>
      <c r="J51" s="34"/>
      <c r="K51" s="85">
        <f>IF(OR(ISNUMBER(SEARCH("Unit3",E14)),E14="Unit3 &amp; 4 &amp; 5"),MIN(MAX(I22*0.13*E37^0.28,20),95),0)/100</f>
        <v>0.2</v>
      </c>
      <c r="M51" s="85">
        <f>IF(OR(ISNUMBER(SEARCH("Unit3",E14)),E14="Unit3 &amp; 4 &amp; 5"),MIN(MAX(K22*0.13*E37^0.28,20),95),0)/100</f>
        <v>0.2</v>
      </c>
    </row>
    <row r="52" spans="2:14" x14ac:dyDescent="0.25">
      <c r="B52" s="38"/>
      <c r="C52" s="39"/>
      <c r="D52" s="39"/>
      <c r="E52" s="39"/>
      <c r="F52" s="39"/>
      <c r="G52" s="39"/>
      <c r="H52" s="39"/>
      <c r="I52" s="39"/>
      <c r="J52" s="39"/>
      <c r="K52" s="39"/>
      <c r="L52" s="39"/>
      <c r="M52" s="41"/>
    </row>
    <row r="53" spans="2:14" ht="5.0999999999999996" customHeight="1" x14ac:dyDescent="0.25">
      <c r="B53" s="38"/>
      <c r="C53" s="39"/>
      <c r="D53" s="39"/>
      <c r="E53" s="39"/>
      <c r="F53" s="39"/>
      <c r="G53" s="39"/>
      <c r="H53" s="39"/>
      <c r="I53" s="40"/>
      <c r="J53" s="39"/>
      <c r="K53" s="39"/>
      <c r="L53" s="39"/>
      <c r="M53" s="41"/>
    </row>
    <row r="54" spans="2:14" x14ac:dyDescent="0.25">
      <c r="B54" s="148" t="s">
        <v>34</v>
      </c>
      <c r="C54" s="149"/>
      <c r="D54" s="149"/>
      <c r="E54" s="149"/>
      <c r="F54" s="149"/>
      <c r="G54" s="149"/>
      <c r="H54" s="149"/>
      <c r="I54" s="149"/>
      <c r="J54" s="149"/>
      <c r="K54" s="149"/>
      <c r="L54" s="149"/>
      <c r="M54" s="150"/>
    </row>
    <row r="55" spans="2:14" ht="5.0999999999999996" customHeight="1" x14ac:dyDescent="0.25">
      <c r="B55" s="42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4"/>
    </row>
    <row r="56" spans="2:14" ht="15" customHeight="1" x14ac:dyDescent="0.25">
      <c r="B56" s="45"/>
      <c r="C56" s="46"/>
      <c r="E56" s="125" t="s">
        <v>36</v>
      </c>
      <c r="F56" s="127"/>
      <c r="G56" s="143" t="s">
        <v>75</v>
      </c>
      <c r="H56" s="143"/>
      <c r="I56" s="46"/>
      <c r="J56" s="46"/>
      <c r="K56" s="47" t="s">
        <v>77</v>
      </c>
      <c r="M56" s="70" t="s">
        <v>74</v>
      </c>
    </row>
    <row r="57" spans="2:14" ht="15" customHeight="1" x14ac:dyDescent="0.25">
      <c r="B57" s="37"/>
      <c r="E57" s="161" t="s">
        <v>16</v>
      </c>
      <c r="F57" s="161"/>
      <c r="G57" s="160">
        <f>IF(OR(ISNUMBER(SEARCH("Unit3",E14)),E14="Unit3 &amp; 4 &amp; 5"),Calculation*0.6+30,0)</f>
        <v>30.12</v>
      </c>
      <c r="H57" s="160"/>
      <c r="I57" s="34"/>
      <c r="J57" s="34"/>
      <c r="K57" s="54">
        <f>IF(OR(ISNUMBER(SEARCH("Unit3",E14)),E14="Unit3 &amp; 4 &amp; 5"),K51*0.6+30,0)</f>
        <v>30.12</v>
      </c>
      <c r="M57" s="71">
        <f>IF(OR(ISNUMBER(SEARCH("Unit3",E14)),E14="Unit3 &amp; 4 &amp; 5"),M51*0.6+30,0)</f>
        <v>30.12</v>
      </c>
    </row>
    <row r="58" spans="2:14" ht="15" customHeight="1" x14ac:dyDescent="0.25">
      <c r="B58" s="37"/>
      <c r="E58" s="161" t="s">
        <v>17</v>
      </c>
      <c r="F58" s="161"/>
      <c r="G58" s="160">
        <f>IF(OR(ISNUMBER(SEARCH("Unit4",E14)),E14="Unit3 &amp; 4 &amp; 5"),Calculation*0.6+30,0)</f>
        <v>30.12</v>
      </c>
      <c r="H58" s="160"/>
      <c r="I58" s="34"/>
      <c r="J58" s="34"/>
      <c r="K58" s="54">
        <f>IF(OR(ISNUMBER(SEARCH("Unit4",E14)),E14="Unit3 &amp; 4 &amp; 5"),K57*0.6+30,0)</f>
        <v>48.072000000000003</v>
      </c>
      <c r="M58" s="71">
        <f>IF(OR(ISNUMBER(SEARCH("Unit4",E14)),E14="Unit3 &amp; 4 &amp; 5"),M57*0.6+30,0)</f>
        <v>48.072000000000003</v>
      </c>
    </row>
    <row r="59" spans="2:14" ht="5.0999999999999996" customHeight="1" x14ac:dyDescent="0.25">
      <c r="B59" s="48"/>
      <c r="C59" s="49"/>
      <c r="D59" s="39"/>
      <c r="E59" s="39"/>
      <c r="F59" s="39"/>
      <c r="G59" s="39"/>
      <c r="H59" s="39"/>
      <c r="I59" s="39"/>
      <c r="J59" s="39"/>
      <c r="K59" s="39"/>
      <c r="L59" s="39"/>
      <c r="M59" s="50"/>
      <c r="N59" s="51"/>
    </row>
    <row r="60" spans="2:14" ht="5.0999999999999996" customHeight="1" x14ac:dyDescent="0.25">
      <c r="B60" s="32"/>
      <c r="C60" s="32"/>
      <c r="D60" s="32"/>
      <c r="E60" s="32"/>
      <c r="F60" s="32"/>
      <c r="G60" s="32"/>
      <c r="H60" s="32"/>
      <c r="I60" s="32"/>
      <c r="J60" s="32"/>
      <c r="K60" s="32"/>
      <c r="L60" s="32"/>
      <c r="M60" s="32"/>
    </row>
    <row r="1617" hidden="1" x14ac:dyDescent="0.25"/>
    <row r="1618" hidden="1" x14ac:dyDescent="0.25"/>
  </sheetData>
  <sheetProtection formatCells="0" formatColumns="0" formatRows="0" insertColumns="0" insertRows="0" insertHyperlinks="0" deleteColumns="0" deleteRows="0" sort="0" autoFilter="0" pivotTables="0"/>
  <mergeCells count="71">
    <mergeCell ref="G40:H40"/>
    <mergeCell ref="G41:H41"/>
    <mergeCell ref="G42:H42"/>
    <mergeCell ref="G43:H43"/>
    <mergeCell ref="B47:D47"/>
    <mergeCell ref="B41:D41"/>
    <mergeCell ref="B45:D45"/>
    <mergeCell ref="G45:H45"/>
    <mergeCell ref="B54:M54"/>
    <mergeCell ref="G56:H56"/>
    <mergeCell ref="G57:H57"/>
    <mergeCell ref="G58:H58"/>
    <mergeCell ref="E56:F56"/>
    <mergeCell ref="E57:F57"/>
    <mergeCell ref="E58:F58"/>
    <mergeCell ref="B35:D35"/>
    <mergeCell ref="G23:H23"/>
    <mergeCell ref="K21:L21"/>
    <mergeCell ref="I22:J22"/>
    <mergeCell ref="I23:J23"/>
    <mergeCell ref="I21:J21"/>
    <mergeCell ref="K22:L22"/>
    <mergeCell ref="K23:L23"/>
    <mergeCell ref="B25:M25"/>
    <mergeCell ref="B26:M26"/>
    <mergeCell ref="G21:H21"/>
    <mergeCell ref="B22:F22"/>
    <mergeCell ref="B23:F23"/>
    <mergeCell ref="B27:M27"/>
    <mergeCell ref="B28:M28"/>
    <mergeCell ref="B9:M9"/>
    <mergeCell ref="B11:D11"/>
    <mergeCell ref="B12:D12"/>
    <mergeCell ref="E11:F11"/>
    <mergeCell ref="F35:M36"/>
    <mergeCell ref="B31:M31"/>
    <mergeCell ref="B33:M33"/>
    <mergeCell ref="B13:D13"/>
    <mergeCell ref="E12:F12"/>
    <mergeCell ref="E13:F13"/>
    <mergeCell ref="E14:F14"/>
    <mergeCell ref="B14:D14"/>
    <mergeCell ref="B16:D16"/>
    <mergeCell ref="E16:F16"/>
    <mergeCell ref="B15:D15"/>
    <mergeCell ref="E15:F15"/>
    <mergeCell ref="B2:M2"/>
    <mergeCell ref="D4:M4"/>
    <mergeCell ref="D6:M6"/>
    <mergeCell ref="D7:M7"/>
    <mergeCell ref="D5:M5"/>
    <mergeCell ref="B4:C4"/>
    <mergeCell ref="B6:C6"/>
    <mergeCell ref="B7:C7"/>
    <mergeCell ref="B5:C5"/>
    <mergeCell ref="B19:F19"/>
    <mergeCell ref="B42:D42"/>
    <mergeCell ref="G50:H50"/>
    <mergeCell ref="B51:F51"/>
    <mergeCell ref="G51:H51"/>
    <mergeCell ref="G22:H22"/>
    <mergeCell ref="B40:D40"/>
    <mergeCell ref="B43:D43"/>
    <mergeCell ref="B39:D39"/>
    <mergeCell ref="B38:D38"/>
    <mergeCell ref="G38:H38"/>
    <mergeCell ref="G39:H39"/>
    <mergeCell ref="G44:H44"/>
    <mergeCell ref="B44:D44"/>
    <mergeCell ref="B29:M29"/>
    <mergeCell ref="B36:D36"/>
  </mergeCells>
  <phoneticPr fontId="9" type="noConversion"/>
  <dataValidations count="2">
    <dataValidation type="list" allowBlank="1" showInputMessage="1" showErrorMessage="1" sqref="E14:F14">
      <formula1>"All Units, Unit3 only, Unit4 only, Unit5 only, Unit3 &amp; 4, Unit3 &amp; 5, Unit4 &amp; 5, Unit3 &amp; 4 &amp; 5"</formula1>
    </dataValidation>
    <dataValidation type="list" allowBlank="1" showInputMessage="1" showErrorMessage="1" sqref="E15:F15">
      <formula1>"Auto, Manual"</formula1>
    </dataValidation>
  </dataValidations>
  <printOptions horizontalCentered="1"/>
  <pageMargins left="3.937007874015748E-2" right="3.937007874015748E-2" top="7.874015748031496E-2" bottom="7.874015748031496E-2" header="0.31496062992125984" footer="0.31496062992125984"/>
  <pageSetup paperSize="9" scale="8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Transfer_Data">
                <anchor moveWithCells="1" sizeWithCells="1">
                  <from>
                    <xdr:col>7</xdr:col>
                    <xdr:colOff>133350</xdr:colOff>
                    <xdr:row>10</xdr:row>
                    <xdr:rowOff>0</xdr:rowOff>
                  </from>
                  <to>
                    <xdr:col>11</xdr:col>
                    <xdr:colOff>361950</xdr:colOff>
                    <xdr:row>11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Saveaspdf">
                <anchor moveWithCells="1" sizeWithCells="1">
                  <from>
                    <xdr:col>7</xdr:col>
                    <xdr:colOff>142875</xdr:colOff>
                    <xdr:row>11</xdr:row>
                    <xdr:rowOff>152400</xdr:rowOff>
                  </from>
                  <to>
                    <xdr:col>11</xdr:col>
                    <xdr:colOff>352425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N11"/>
  <sheetViews>
    <sheetView zoomScale="85" zoomScaleNormal="85" workbookViewId="0">
      <selection activeCell="G18" sqref="G18"/>
    </sheetView>
  </sheetViews>
  <sheetFormatPr defaultColWidth="9.140625" defaultRowHeight="15" customHeight="1" x14ac:dyDescent="0.25"/>
  <cols>
    <col min="1" max="1" width="18" style="61" customWidth="1"/>
    <col min="2" max="2" width="15.85546875" style="63" bestFit="1" customWidth="1"/>
    <col min="3" max="3" width="23.42578125" style="108" customWidth="1"/>
    <col min="4" max="4" width="13.140625" style="105" bestFit="1" customWidth="1"/>
    <col min="5" max="5" width="16.28515625" style="105" bestFit="1" customWidth="1"/>
    <col min="6" max="6" width="16.28515625" style="65" bestFit="1" customWidth="1"/>
    <col min="7" max="7" width="16.28515625" style="65" customWidth="1"/>
    <col min="8" max="8" width="21.140625" style="65" customWidth="1"/>
    <col min="9" max="11" width="21.140625" style="64" customWidth="1"/>
    <col min="12" max="12" width="13.85546875" style="64" customWidth="1"/>
    <col min="13" max="13" width="11.42578125" style="61" customWidth="1"/>
    <col min="14" max="15" width="10.5703125" style="65" bestFit="1" customWidth="1"/>
    <col min="16" max="16" width="10.140625" style="65" bestFit="1" customWidth="1"/>
    <col min="17" max="17" width="20.85546875" style="65" customWidth="1"/>
    <col min="18" max="19" width="16.5703125" style="65" bestFit="1" customWidth="1"/>
    <col min="20" max="20" width="16.5703125" style="65" customWidth="1"/>
    <col min="21" max="21" width="12" style="64" bestFit="1" customWidth="1"/>
    <col min="22" max="23" width="13.140625" style="64" bestFit="1" customWidth="1"/>
    <col min="24" max="24" width="13.140625" style="64" customWidth="1"/>
    <col min="25" max="26" width="10.5703125" style="65" bestFit="1" customWidth="1"/>
    <col min="27" max="27" width="10.140625" style="65" bestFit="1" customWidth="1"/>
    <col min="28" max="28" width="13.7109375" style="65" customWidth="1"/>
    <col min="29" max="29" width="12" style="64" bestFit="1" customWidth="1"/>
    <col min="30" max="30" width="15.42578125" style="64" customWidth="1"/>
    <col min="31" max="31" width="12" style="64" bestFit="1" customWidth="1"/>
    <col min="32" max="32" width="8.28515625" style="61" bestFit="1" customWidth="1"/>
    <col min="33" max="33" width="8.140625" style="66" bestFit="1" customWidth="1"/>
    <col min="34" max="34" width="7.5703125" style="61" bestFit="1" customWidth="1"/>
    <col min="35" max="35" width="12.28515625" style="61" customWidth="1"/>
    <col min="36" max="36" width="15.7109375" style="61" customWidth="1"/>
    <col min="37" max="37" width="8.5703125" style="61" bestFit="1" customWidth="1"/>
    <col min="38" max="38" width="25.140625" style="61" customWidth="1"/>
    <col min="39" max="39" width="10.5703125" style="61" bestFit="1" customWidth="1"/>
    <col min="40" max="40" width="10.140625" style="61" bestFit="1" customWidth="1"/>
    <col min="41" max="16384" width="9.140625" style="61"/>
  </cols>
  <sheetData>
    <row r="1" spans="1:40" s="60" customFormat="1" ht="30" customHeight="1" x14ac:dyDescent="0.25">
      <c r="C1" s="109"/>
      <c r="D1" s="103"/>
      <c r="E1" s="103"/>
      <c r="F1" s="168" t="s">
        <v>62</v>
      </c>
      <c r="G1" s="169"/>
      <c r="H1" s="170"/>
      <c r="I1" s="165" t="s">
        <v>63</v>
      </c>
      <c r="J1" s="166"/>
      <c r="K1" s="167"/>
      <c r="L1" s="99"/>
      <c r="M1" s="165" t="s">
        <v>23</v>
      </c>
      <c r="N1" s="166"/>
      <c r="O1" s="166"/>
      <c r="P1" s="167"/>
      <c r="Q1" s="73"/>
      <c r="T1" s="165" t="s">
        <v>68</v>
      </c>
      <c r="U1" s="166"/>
      <c r="V1" s="166"/>
      <c r="W1" s="167"/>
      <c r="X1" s="171" t="s">
        <v>24</v>
      </c>
      <c r="Y1" s="172"/>
      <c r="Z1" s="172"/>
      <c r="AA1" s="173"/>
      <c r="AB1" s="171" t="s">
        <v>25</v>
      </c>
      <c r="AC1" s="172"/>
      <c r="AD1" s="172"/>
      <c r="AE1" s="173"/>
      <c r="AF1" s="174" t="s">
        <v>76</v>
      </c>
      <c r="AG1" s="175"/>
      <c r="AH1" s="175"/>
      <c r="AI1" s="165" t="s">
        <v>105</v>
      </c>
      <c r="AJ1" s="167"/>
      <c r="AK1" s="165" t="s">
        <v>104</v>
      </c>
      <c r="AL1" s="167"/>
      <c r="AM1" s="165" t="s">
        <v>103</v>
      </c>
      <c r="AN1" s="167"/>
    </row>
    <row r="2" spans="1:40" s="52" customFormat="1" ht="33" customHeight="1" x14ac:dyDescent="0.25">
      <c r="A2" s="52" t="s">
        <v>5</v>
      </c>
      <c r="B2" s="53" t="s">
        <v>30</v>
      </c>
      <c r="C2" s="110" t="s">
        <v>1</v>
      </c>
      <c r="D2" s="104" t="s">
        <v>55</v>
      </c>
      <c r="E2" s="104" t="s">
        <v>86</v>
      </c>
      <c r="F2" s="106" t="s">
        <v>106</v>
      </c>
      <c r="G2" s="106" t="s">
        <v>107</v>
      </c>
      <c r="H2" s="106" t="s">
        <v>108</v>
      </c>
      <c r="I2" s="53" t="s">
        <v>109</v>
      </c>
      <c r="J2" s="53" t="s">
        <v>110</v>
      </c>
      <c r="K2" s="53" t="s">
        <v>111</v>
      </c>
      <c r="L2" s="53" t="s">
        <v>64</v>
      </c>
      <c r="M2" s="52" t="s">
        <v>67</v>
      </c>
      <c r="N2" s="52" t="s">
        <v>66</v>
      </c>
      <c r="O2" s="52" t="s">
        <v>65</v>
      </c>
      <c r="P2" s="52" t="s">
        <v>22</v>
      </c>
      <c r="Q2" s="52" t="s">
        <v>69</v>
      </c>
      <c r="R2" s="52" t="s">
        <v>70</v>
      </c>
      <c r="S2" s="52" t="s">
        <v>71</v>
      </c>
      <c r="T2" s="52" t="s">
        <v>67</v>
      </c>
      <c r="U2" s="52" t="s">
        <v>66</v>
      </c>
      <c r="V2" s="52" t="s">
        <v>65</v>
      </c>
      <c r="W2" s="52" t="s">
        <v>22</v>
      </c>
      <c r="X2" s="52" t="s">
        <v>67</v>
      </c>
      <c r="Y2" s="52" t="s">
        <v>66</v>
      </c>
      <c r="Z2" s="52" t="s">
        <v>65</v>
      </c>
      <c r="AA2" s="52" t="s">
        <v>22</v>
      </c>
      <c r="AB2" s="52" t="s">
        <v>67</v>
      </c>
      <c r="AC2" s="52" t="s">
        <v>66</v>
      </c>
      <c r="AD2" s="52" t="s">
        <v>65</v>
      </c>
      <c r="AE2" s="52" t="s">
        <v>22</v>
      </c>
      <c r="AF2" s="53" t="s">
        <v>101</v>
      </c>
      <c r="AG2" s="53" t="s">
        <v>60</v>
      </c>
      <c r="AH2" s="53" t="s">
        <v>102</v>
      </c>
      <c r="AI2" s="53" t="s">
        <v>16</v>
      </c>
      <c r="AJ2" s="53" t="s">
        <v>17</v>
      </c>
      <c r="AK2" s="53" t="s">
        <v>16</v>
      </c>
      <c r="AL2" s="53" t="s">
        <v>17</v>
      </c>
      <c r="AM2" s="53" t="s">
        <v>16</v>
      </c>
      <c r="AN2" s="53" t="s">
        <v>17</v>
      </c>
    </row>
    <row r="3" spans="1:40" ht="15" customHeight="1" x14ac:dyDescent="0.25">
      <c r="A3" s="102">
        <v>1</v>
      </c>
      <c r="B3" s="63">
        <v>45766.740532407406</v>
      </c>
      <c r="D3" s="105">
        <v>35</v>
      </c>
      <c r="E3" s="105">
        <v>10000</v>
      </c>
      <c r="F3" s="65">
        <v>8.39</v>
      </c>
      <c r="G3" s="65">
        <v>8.39</v>
      </c>
      <c r="H3" s="65">
        <v>8.39</v>
      </c>
      <c r="I3" s="64">
        <v>1276</v>
      </c>
      <c r="J3" s="64">
        <v>1276</v>
      </c>
      <c r="K3" s="64">
        <v>1276</v>
      </c>
      <c r="L3" s="64" t="s">
        <v>112</v>
      </c>
      <c r="M3" s="61">
        <v>2</v>
      </c>
      <c r="N3" s="65">
        <v>3</v>
      </c>
      <c r="O3" s="65">
        <v>4</v>
      </c>
      <c r="P3" s="65">
        <v>1</v>
      </c>
      <c r="Q3" s="65">
        <v>5</v>
      </c>
      <c r="R3" s="65">
        <v>9</v>
      </c>
      <c r="S3" s="65">
        <v>13</v>
      </c>
      <c r="T3" s="65">
        <v>18</v>
      </c>
      <c r="U3" s="64">
        <v>19</v>
      </c>
      <c r="V3" s="64">
        <v>20</v>
      </c>
      <c r="W3" s="64">
        <v>17</v>
      </c>
      <c r="X3" s="64">
        <v>22</v>
      </c>
      <c r="Y3" s="65">
        <v>23</v>
      </c>
      <c r="Z3" s="65">
        <v>24</v>
      </c>
      <c r="AA3" s="65">
        <v>21</v>
      </c>
      <c r="AB3" s="65">
        <v>26</v>
      </c>
      <c r="AC3" s="64">
        <v>27</v>
      </c>
      <c r="AD3" s="64">
        <v>28</v>
      </c>
      <c r="AE3" s="64">
        <v>25</v>
      </c>
      <c r="AF3" s="61">
        <v>0.3</v>
      </c>
      <c r="AG3" s="66">
        <v>0.31</v>
      </c>
      <c r="AH3" s="61">
        <v>0.32</v>
      </c>
      <c r="AI3" s="62">
        <v>33</v>
      </c>
      <c r="AJ3" s="62">
        <v>5.0599999999999996</v>
      </c>
      <c r="AK3" s="62">
        <v>34</v>
      </c>
      <c r="AL3" s="62">
        <v>6.37</v>
      </c>
      <c r="AM3" s="61">
        <v>56</v>
      </c>
      <c r="AN3" s="61">
        <v>56</v>
      </c>
    </row>
    <row r="4" spans="1:40" ht="15" customHeight="1" x14ac:dyDescent="0.25">
      <c r="A4" s="102">
        <v>1</v>
      </c>
      <c r="B4" s="63">
        <v>45766.740648148145</v>
      </c>
      <c r="D4" s="105">
        <v>35</v>
      </c>
      <c r="E4" s="105">
        <v>10000</v>
      </c>
      <c r="F4" s="65">
        <v>8.39</v>
      </c>
      <c r="G4" s="65">
        <v>8.39</v>
      </c>
      <c r="H4" s="65">
        <v>8.39</v>
      </c>
      <c r="I4" s="64">
        <v>1276</v>
      </c>
      <c r="J4" s="64">
        <v>1276</v>
      </c>
      <c r="K4" s="64">
        <v>1276</v>
      </c>
      <c r="L4" s="64" t="s">
        <v>112</v>
      </c>
      <c r="M4" s="61">
        <v>2</v>
      </c>
      <c r="N4" s="65">
        <v>3</v>
      </c>
      <c r="O4" s="65">
        <v>4</v>
      </c>
      <c r="P4" s="65">
        <v>1</v>
      </c>
      <c r="Q4" s="65">
        <v>5</v>
      </c>
      <c r="R4" s="65">
        <v>9</v>
      </c>
      <c r="S4" s="65">
        <v>13</v>
      </c>
      <c r="T4" s="65">
        <v>18</v>
      </c>
      <c r="U4" s="64">
        <v>19</v>
      </c>
      <c r="V4" s="64">
        <v>20</v>
      </c>
      <c r="W4" s="64">
        <v>17</v>
      </c>
      <c r="X4" s="64">
        <v>22</v>
      </c>
      <c r="Y4" s="65">
        <v>23</v>
      </c>
      <c r="Z4" s="65">
        <v>24</v>
      </c>
      <c r="AA4" s="65">
        <v>21</v>
      </c>
      <c r="AB4" s="65">
        <v>26</v>
      </c>
      <c r="AC4" s="64">
        <v>27</v>
      </c>
      <c r="AD4" s="64">
        <v>28</v>
      </c>
      <c r="AE4" s="64">
        <v>25</v>
      </c>
      <c r="AF4" s="61">
        <v>0.3</v>
      </c>
      <c r="AG4" s="66">
        <v>0.31</v>
      </c>
      <c r="AH4" s="61">
        <v>0.32</v>
      </c>
      <c r="AI4" s="62">
        <v>33</v>
      </c>
      <c r="AJ4" s="62">
        <v>5.0599999999999996</v>
      </c>
      <c r="AK4" s="62">
        <v>34</v>
      </c>
      <c r="AL4" s="62">
        <v>6.37</v>
      </c>
      <c r="AM4" s="61">
        <v>56</v>
      </c>
      <c r="AN4" s="61">
        <v>56</v>
      </c>
    </row>
    <row r="5" spans="1:40" ht="15" customHeight="1" x14ac:dyDescent="0.25">
      <c r="A5" s="102">
        <v>1</v>
      </c>
      <c r="B5" s="63">
        <v>45766.740671296298</v>
      </c>
      <c r="D5" s="105">
        <v>35</v>
      </c>
      <c r="E5" s="105">
        <v>10000</v>
      </c>
      <c r="F5" s="65">
        <v>8.39</v>
      </c>
      <c r="G5" s="65">
        <v>8.39</v>
      </c>
      <c r="H5" s="65">
        <v>8.39</v>
      </c>
      <c r="I5" s="64">
        <v>1276</v>
      </c>
      <c r="J5" s="64">
        <v>1276</v>
      </c>
      <c r="K5" s="64">
        <v>1276</v>
      </c>
      <c r="L5" s="64" t="s">
        <v>112</v>
      </c>
      <c r="M5" s="61">
        <v>2</v>
      </c>
      <c r="N5" s="65">
        <v>3</v>
      </c>
      <c r="O5" s="65">
        <v>4</v>
      </c>
      <c r="P5" s="65">
        <v>1</v>
      </c>
      <c r="Q5" s="65">
        <v>5</v>
      </c>
      <c r="R5" s="65">
        <v>9</v>
      </c>
      <c r="S5" s="65">
        <v>13</v>
      </c>
      <c r="T5" s="65">
        <v>18</v>
      </c>
      <c r="U5" s="64">
        <v>19</v>
      </c>
      <c r="V5" s="64">
        <v>20</v>
      </c>
      <c r="W5" s="64">
        <v>17</v>
      </c>
      <c r="X5" s="64">
        <v>22</v>
      </c>
      <c r="Y5" s="65">
        <v>23</v>
      </c>
      <c r="Z5" s="65">
        <v>24</v>
      </c>
      <c r="AA5" s="65">
        <v>21</v>
      </c>
      <c r="AB5" s="65">
        <v>26</v>
      </c>
      <c r="AC5" s="64">
        <v>27</v>
      </c>
      <c r="AD5" s="64">
        <v>28</v>
      </c>
      <c r="AE5" s="64">
        <v>25</v>
      </c>
      <c r="AF5" s="61">
        <v>0.3</v>
      </c>
      <c r="AG5" s="66">
        <v>0.31</v>
      </c>
      <c r="AH5" s="61">
        <v>0.32</v>
      </c>
      <c r="AI5" s="62">
        <v>33</v>
      </c>
      <c r="AJ5" s="62">
        <v>5.0599999999999996</v>
      </c>
      <c r="AK5" s="62">
        <v>34</v>
      </c>
      <c r="AL5" s="62">
        <v>6.37</v>
      </c>
      <c r="AM5" s="61">
        <v>56</v>
      </c>
      <c r="AN5" s="61">
        <v>56</v>
      </c>
    </row>
    <row r="6" spans="1:40" ht="15" customHeight="1" x14ac:dyDescent="0.25">
      <c r="A6" s="102">
        <v>1</v>
      </c>
      <c r="B6" s="63">
        <v>45766.740694444445</v>
      </c>
      <c r="D6" s="105">
        <v>35</v>
      </c>
      <c r="E6" s="105">
        <v>10000</v>
      </c>
      <c r="F6" s="65">
        <v>8.39</v>
      </c>
      <c r="G6" s="65">
        <v>8.39</v>
      </c>
      <c r="H6" s="65">
        <v>8.39</v>
      </c>
      <c r="I6" s="64">
        <v>1276</v>
      </c>
      <c r="J6" s="64">
        <v>1276</v>
      </c>
      <c r="K6" s="64">
        <v>1276</v>
      </c>
      <c r="L6" s="64" t="s">
        <v>112</v>
      </c>
      <c r="M6" s="61">
        <v>2</v>
      </c>
      <c r="N6" s="65">
        <v>3</v>
      </c>
      <c r="O6" s="65">
        <v>4</v>
      </c>
      <c r="P6" s="65">
        <v>1</v>
      </c>
      <c r="Q6" s="65">
        <v>5</v>
      </c>
      <c r="R6" s="65">
        <v>9</v>
      </c>
      <c r="S6" s="65">
        <v>13</v>
      </c>
      <c r="T6" s="65">
        <v>18</v>
      </c>
      <c r="U6" s="64">
        <v>19</v>
      </c>
      <c r="V6" s="64">
        <v>20</v>
      </c>
      <c r="W6" s="64">
        <v>17</v>
      </c>
      <c r="X6" s="64">
        <v>22</v>
      </c>
      <c r="Y6" s="65">
        <v>23</v>
      </c>
      <c r="Z6" s="65">
        <v>24</v>
      </c>
      <c r="AA6" s="65">
        <v>21</v>
      </c>
      <c r="AB6" s="65">
        <v>26</v>
      </c>
      <c r="AC6" s="64">
        <v>27</v>
      </c>
      <c r="AD6" s="64">
        <v>28</v>
      </c>
      <c r="AE6" s="64">
        <v>25</v>
      </c>
      <c r="AF6" s="61">
        <v>0.3</v>
      </c>
      <c r="AG6" s="66">
        <v>0.31</v>
      </c>
      <c r="AH6" s="61">
        <v>0.32</v>
      </c>
      <c r="AI6" s="62">
        <v>33</v>
      </c>
      <c r="AJ6" s="62">
        <v>5.0599999999999996</v>
      </c>
      <c r="AK6" s="62">
        <v>34</v>
      </c>
      <c r="AL6" s="62">
        <v>6.37</v>
      </c>
      <c r="AM6" s="61">
        <v>56</v>
      </c>
      <c r="AN6" s="61">
        <v>56</v>
      </c>
    </row>
    <row r="7" spans="1:40" ht="15" customHeight="1" x14ac:dyDescent="0.25">
      <c r="A7" s="61">
        <v>1</v>
      </c>
      <c r="B7" s="63">
        <v>45766.741990740738</v>
      </c>
      <c r="D7" s="105">
        <v>35</v>
      </c>
      <c r="E7" s="105">
        <v>10000</v>
      </c>
      <c r="F7" s="65">
        <v>8.39</v>
      </c>
      <c r="G7" s="65">
        <v>8.39</v>
      </c>
      <c r="H7" s="65">
        <v>8.39</v>
      </c>
      <c r="I7" s="64">
        <v>1276</v>
      </c>
      <c r="J7" s="64">
        <v>1276</v>
      </c>
      <c r="K7" s="64">
        <v>1276</v>
      </c>
      <c r="L7" s="64" t="s">
        <v>113</v>
      </c>
      <c r="M7" s="61">
        <v>2</v>
      </c>
      <c r="N7" s="65">
        <v>3</v>
      </c>
      <c r="O7" s="65">
        <v>4</v>
      </c>
      <c r="P7" s="65">
        <v>1</v>
      </c>
      <c r="Q7" s="65">
        <v>5</v>
      </c>
      <c r="R7" s="65">
        <v>9</v>
      </c>
      <c r="S7" s="65">
        <v>13</v>
      </c>
      <c r="T7" s="65">
        <v>18</v>
      </c>
      <c r="U7" s="64">
        <v>19</v>
      </c>
      <c r="V7" s="64">
        <v>20</v>
      </c>
      <c r="W7" s="64">
        <v>17</v>
      </c>
      <c r="X7" s="64">
        <v>22</v>
      </c>
      <c r="Y7" s="65">
        <v>23</v>
      </c>
      <c r="Z7" s="65">
        <v>24</v>
      </c>
      <c r="AA7" s="65">
        <v>21</v>
      </c>
      <c r="AB7" s="65">
        <v>26</v>
      </c>
      <c r="AC7" s="64">
        <v>27</v>
      </c>
      <c r="AD7" s="64">
        <v>28</v>
      </c>
      <c r="AE7" s="64">
        <v>25</v>
      </c>
      <c r="AF7" s="61">
        <v>0.3</v>
      </c>
      <c r="AG7" s="66">
        <v>0.31</v>
      </c>
      <c r="AH7" s="61">
        <v>0.32</v>
      </c>
      <c r="AI7" s="61">
        <v>33</v>
      </c>
      <c r="AJ7" s="61">
        <v>5.0599999999999996</v>
      </c>
      <c r="AK7" s="61">
        <v>34</v>
      </c>
      <c r="AL7" s="61">
        <v>6.37</v>
      </c>
      <c r="AM7" s="61">
        <v>56</v>
      </c>
      <c r="AN7" s="61">
        <v>56</v>
      </c>
    </row>
    <row r="8" spans="1:40" ht="15" customHeight="1" x14ac:dyDescent="0.25">
      <c r="A8" s="61">
        <v>1</v>
      </c>
      <c r="B8" s="63">
        <v>45766.784513888888</v>
      </c>
      <c r="D8" s="105">
        <v>35</v>
      </c>
      <c r="E8" s="105">
        <v>10000</v>
      </c>
      <c r="F8" s="65">
        <v>8.39</v>
      </c>
      <c r="G8" s="65">
        <v>8.39</v>
      </c>
      <c r="H8" s="65">
        <v>8.39</v>
      </c>
      <c r="I8" s="64">
        <v>1276</v>
      </c>
      <c r="J8" s="64">
        <v>1276</v>
      </c>
      <c r="K8" s="64">
        <v>1276</v>
      </c>
      <c r="L8" s="64" t="s">
        <v>115</v>
      </c>
      <c r="M8" s="61">
        <v>2</v>
      </c>
      <c r="N8" s="65">
        <v>3</v>
      </c>
      <c r="O8" s="65">
        <v>4</v>
      </c>
      <c r="P8" s="65">
        <v>1</v>
      </c>
      <c r="Q8" s="65">
        <v>5</v>
      </c>
      <c r="R8" s="65">
        <v>9</v>
      </c>
      <c r="S8" s="65">
        <v>13</v>
      </c>
      <c r="T8" s="65">
        <v>18</v>
      </c>
      <c r="U8" s="64">
        <v>19</v>
      </c>
      <c r="V8" s="64">
        <v>20</v>
      </c>
      <c r="W8" s="64">
        <v>17</v>
      </c>
      <c r="X8" s="64">
        <v>22</v>
      </c>
      <c r="Y8" s="65">
        <v>23</v>
      </c>
      <c r="Z8" s="65">
        <v>24</v>
      </c>
      <c r="AA8" s="65">
        <v>21</v>
      </c>
      <c r="AB8" s="65">
        <v>26</v>
      </c>
      <c r="AC8" s="64">
        <v>27</v>
      </c>
      <c r="AD8" s="64">
        <v>28</v>
      </c>
      <c r="AE8" s="64">
        <v>25</v>
      </c>
      <c r="AF8" s="61">
        <v>0.3</v>
      </c>
      <c r="AG8" s="66">
        <v>0.31</v>
      </c>
      <c r="AH8" s="61">
        <v>0.32</v>
      </c>
      <c r="AI8" s="61">
        <v>33</v>
      </c>
      <c r="AJ8" s="61">
        <v>5.0599999999999996</v>
      </c>
      <c r="AK8" s="61">
        <v>34</v>
      </c>
      <c r="AL8" s="61">
        <v>6.37</v>
      </c>
      <c r="AM8" s="61">
        <v>56</v>
      </c>
      <c r="AN8" s="61">
        <v>56</v>
      </c>
    </row>
    <row r="9" spans="1:40" ht="15" customHeight="1" x14ac:dyDescent="0.25">
      <c r="A9" s="61">
        <v>1</v>
      </c>
      <c r="B9" s="63">
        <v>45766.80537037037</v>
      </c>
      <c r="C9" s="108">
        <v>-9965</v>
      </c>
      <c r="D9" s="105">
        <v>35</v>
      </c>
      <c r="E9" s="105">
        <v>10000</v>
      </c>
      <c r="F9" s="65">
        <v>8.39</v>
      </c>
      <c r="G9" s="65">
        <v>8.39</v>
      </c>
      <c r="H9" s="65">
        <v>8.39</v>
      </c>
      <c r="I9" s="64">
        <v>1276</v>
      </c>
      <c r="J9" s="64">
        <v>1276</v>
      </c>
      <c r="K9" s="64">
        <v>1276</v>
      </c>
      <c r="L9" s="64" t="s">
        <v>115</v>
      </c>
    </row>
    <row r="10" spans="1:40" ht="15" customHeight="1" x14ac:dyDescent="0.25">
      <c r="A10" s="61">
        <v>1</v>
      </c>
      <c r="B10" s="63">
        <v>45766.872013888889</v>
      </c>
      <c r="C10" s="108">
        <v>-9965</v>
      </c>
      <c r="D10" s="105">
        <v>35</v>
      </c>
      <c r="E10" s="105">
        <v>10000</v>
      </c>
      <c r="F10" s="65">
        <v>8.39</v>
      </c>
      <c r="G10" s="65">
        <v>8.39</v>
      </c>
      <c r="H10" s="65">
        <v>8.39</v>
      </c>
      <c r="I10" s="64">
        <v>1276</v>
      </c>
      <c r="J10" s="64">
        <v>1276</v>
      </c>
      <c r="K10" s="64">
        <v>1276</v>
      </c>
      <c r="L10" s="64" t="s">
        <v>112</v>
      </c>
      <c r="M10" s="61">
        <v>0</v>
      </c>
      <c r="N10" s="65">
        <v>0</v>
      </c>
      <c r="O10" s="65">
        <v>0</v>
      </c>
      <c r="P10" s="65">
        <v>0</v>
      </c>
      <c r="Q10" s="65">
        <v>0</v>
      </c>
      <c r="R10" s="65">
        <v>0</v>
      </c>
      <c r="S10" s="65">
        <v>0</v>
      </c>
      <c r="W10" s="64">
        <v>50</v>
      </c>
    </row>
    <row r="11" spans="1:40" ht="15" customHeight="1" x14ac:dyDescent="0.25">
      <c r="A11" s="61">
        <v>1</v>
      </c>
      <c r="B11" s="63">
        <v>45766.923460648148</v>
      </c>
      <c r="C11" s="108">
        <v>50</v>
      </c>
      <c r="D11" s="105">
        <v>70</v>
      </c>
      <c r="E11" s="105">
        <v>20</v>
      </c>
      <c r="F11" s="65">
        <v>8.39</v>
      </c>
      <c r="G11" s="65">
        <v>8.39</v>
      </c>
      <c r="H11" s="65">
        <v>8.39</v>
      </c>
      <c r="I11" s="64">
        <v>1276</v>
      </c>
      <c r="J11" s="64">
        <v>1276</v>
      </c>
      <c r="K11" s="64">
        <v>1276</v>
      </c>
      <c r="L11" s="64" t="s">
        <v>115</v>
      </c>
      <c r="M11" s="61">
        <v>0</v>
      </c>
      <c r="N11" s="65">
        <v>0</v>
      </c>
      <c r="O11" s="65">
        <v>0</v>
      </c>
      <c r="P11" s="65">
        <v>25.17</v>
      </c>
      <c r="Q11" s="65">
        <v>8.39</v>
      </c>
      <c r="R11" s="65">
        <v>8.39</v>
      </c>
      <c r="S11" s="65">
        <v>8.39</v>
      </c>
      <c r="T11" s="65">
        <v>50</v>
      </c>
      <c r="U11" s="64">
        <v>50</v>
      </c>
      <c r="V11" s="64">
        <v>50</v>
      </c>
      <c r="W11" s="64">
        <v>50</v>
      </c>
      <c r="X11" s="64">
        <v>1500</v>
      </c>
      <c r="Y11" s="65">
        <v>0</v>
      </c>
      <c r="Z11" s="65">
        <v>0</v>
      </c>
      <c r="AA11" s="65">
        <v>1500</v>
      </c>
      <c r="AB11" s="65">
        <v>500</v>
      </c>
      <c r="AC11" s="64">
        <v>0</v>
      </c>
      <c r="AD11" s="64">
        <v>0</v>
      </c>
      <c r="AE11" s="64">
        <v>500</v>
      </c>
      <c r="AF11" s="61">
        <v>0.2</v>
      </c>
      <c r="AG11" s="66">
        <v>0.2</v>
      </c>
      <c r="AH11" s="61">
        <v>0.2</v>
      </c>
      <c r="AI11" s="61">
        <v>30.12</v>
      </c>
      <c r="AJ11" s="61">
        <v>30.12</v>
      </c>
      <c r="AK11" s="61">
        <v>30.12</v>
      </c>
      <c r="AL11" s="61">
        <v>48.072000000000003</v>
      </c>
      <c r="AM11" s="61">
        <v>30.12</v>
      </c>
      <c r="AN11" s="61">
        <v>48.072000000000003</v>
      </c>
    </row>
  </sheetData>
  <mergeCells count="10">
    <mergeCell ref="M1:P1"/>
    <mergeCell ref="F1:H1"/>
    <mergeCell ref="I1:K1"/>
    <mergeCell ref="AM1:AN1"/>
    <mergeCell ref="AB1:AE1"/>
    <mergeCell ref="X1:AA1"/>
    <mergeCell ref="T1:W1"/>
    <mergeCell ref="AI1:AJ1"/>
    <mergeCell ref="AK1:AL1"/>
    <mergeCell ref="AF1:AH1"/>
  </mergeCells>
  <phoneticPr fontId="9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2325"/>
  <sheetViews>
    <sheetView topLeftCell="A7" workbookViewId="0">
      <selection sqref="A1:O5"/>
    </sheetView>
  </sheetViews>
  <sheetFormatPr defaultRowHeight="15" x14ac:dyDescent="0.25"/>
  <cols>
    <col min="1" max="1" width="15.85546875" style="95" bestFit="1" customWidth="1"/>
  </cols>
  <sheetData>
    <row r="1" spans="1:15" x14ac:dyDescent="0.25">
      <c r="A1" s="89"/>
      <c r="B1" s="90"/>
      <c r="C1" s="90"/>
      <c r="D1" s="176" t="s">
        <v>59</v>
      </c>
      <c r="E1" s="176"/>
      <c r="F1" s="176" t="s">
        <v>60</v>
      </c>
      <c r="G1" s="176"/>
      <c r="H1" s="176" t="s">
        <v>61</v>
      </c>
      <c r="I1" s="176"/>
      <c r="J1" s="90"/>
      <c r="K1" s="90"/>
      <c r="L1" s="176" t="s">
        <v>85</v>
      </c>
      <c r="M1" s="176"/>
      <c r="N1" s="176"/>
      <c r="O1" s="176"/>
    </row>
    <row r="2" spans="1:15" s="93" customFormat="1" ht="75" x14ac:dyDescent="0.25">
      <c r="A2" s="91"/>
      <c r="B2" s="92" t="s">
        <v>55</v>
      </c>
      <c r="C2" s="92" t="s">
        <v>86</v>
      </c>
      <c r="D2" s="92" t="s">
        <v>76</v>
      </c>
      <c r="E2" s="92" t="s">
        <v>87</v>
      </c>
      <c r="F2" s="92" t="s">
        <v>76</v>
      </c>
      <c r="G2" s="92" t="s">
        <v>87</v>
      </c>
      <c r="H2" s="92" t="s">
        <v>76</v>
      </c>
      <c r="I2" s="92" t="s">
        <v>87</v>
      </c>
      <c r="J2" s="92" t="s">
        <v>88</v>
      </c>
      <c r="K2" s="92" t="s">
        <v>89</v>
      </c>
      <c r="L2" s="92" t="s">
        <v>90</v>
      </c>
      <c r="M2" s="92" t="s">
        <v>91</v>
      </c>
      <c r="N2" s="92" t="s">
        <v>92</v>
      </c>
      <c r="O2" s="92" t="s">
        <v>93</v>
      </c>
    </row>
    <row r="3" spans="1:15" x14ac:dyDescent="0.25">
      <c r="A3" s="89">
        <v>44562.333333333336</v>
      </c>
      <c r="B3" s="94">
        <v>359.2684263701874</v>
      </c>
      <c r="C3" s="94">
        <v>302.45262154767806</v>
      </c>
      <c r="D3" s="94">
        <v>85.026383205755394</v>
      </c>
      <c r="E3" s="94">
        <v>6.5247199649193144</v>
      </c>
      <c r="F3" s="94">
        <v>85.185309988945107</v>
      </c>
      <c r="G3" s="94">
        <v>6.6070572576342981</v>
      </c>
      <c r="H3" s="94">
        <v>77.055118020241537</v>
      </c>
      <c r="I3" s="94">
        <v>14.889523532151015</v>
      </c>
      <c r="J3" s="94">
        <v>20463.219825964701</v>
      </c>
      <c r="K3" s="94">
        <v>4.4575242351415181</v>
      </c>
      <c r="L3" s="94">
        <v>17.847774018700836</v>
      </c>
      <c r="M3" s="94">
        <v>17.86829774125189</v>
      </c>
      <c r="N3" s="94">
        <v>17.86222024061108</v>
      </c>
      <c r="O3" s="94">
        <v>24.397357530702003</v>
      </c>
    </row>
    <row r="4" spans="1:15" x14ac:dyDescent="0.25">
      <c r="A4" s="89">
        <v>44562.833333333336</v>
      </c>
      <c r="B4" s="94">
        <v>359.27688113577875</v>
      </c>
      <c r="C4" s="94">
        <v>302.4539415832067</v>
      </c>
      <c r="D4" s="94">
        <v>85.066373234317822</v>
      </c>
      <c r="E4" s="94">
        <v>6.5278848650975556</v>
      </c>
      <c r="F4" s="94">
        <v>85.203279918322522</v>
      </c>
      <c r="G4" s="94">
        <v>6.6096094102332508</v>
      </c>
      <c r="H4" s="94">
        <v>77.091917349587064</v>
      </c>
      <c r="I4" s="94">
        <v>14.896820159981782</v>
      </c>
      <c r="J4" s="94">
        <v>20473.019120121186</v>
      </c>
      <c r="K4" s="94">
        <v>4.458941732689131</v>
      </c>
      <c r="L4" s="94">
        <v>17.856307357320112</v>
      </c>
      <c r="M4" s="94">
        <v>17.876719672917464</v>
      </c>
      <c r="N4" s="94">
        <v>17.87064658905318</v>
      </c>
      <c r="O4" s="94">
        <v>24.409284255299191</v>
      </c>
    </row>
    <row r="5" spans="1:15" x14ac:dyDescent="0.25">
      <c r="A5" s="89">
        <v>44563.333333333336</v>
      </c>
      <c r="B5" s="94">
        <v>359.2853359013701</v>
      </c>
      <c r="C5" s="94">
        <v>302.45526161873534</v>
      </c>
      <c r="D5" s="94">
        <v>85.106363262880251</v>
      </c>
      <c r="E5" s="94">
        <v>6.5310497652757968</v>
      </c>
      <c r="F5" s="94">
        <v>85.221249847699951</v>
      </c>
      <c r="G5" s="94">
        <v>6.6121615628322026</v>
      </c>
      <c r="H5" s="94">
        <v>77.128716678932577</v>
      </c>
      <c r="I5" s="94">
        <v>14.904116787812548</v>
      </c>
      <c r="J5" s="94">
        <v>20482.818414277674</v>
      </c>
      <c r="K5" s="94">
        <v>4.4603592302367439</v>
      </c>
      <c r="L5" s="94">
        <v>17.864840695939392</v>
      </c>
      <c r="M5" s="94">
        <v>17.88514160458304</v>
      </c>
      <c r="N5" s="94">
        <v>17.87907293749528</v>
      </c>
      <c r="O5" s="94">
        <v>24.421210979896387</v>
      </c>
    </row>
    <row r="6" spans="1:15" x14ac:dyDescent="0.25">
      <c r="A6" s="89">
        <v>44563.833333333336</v>
      </c>
      <c r="B6" s="94">
        <v>359.29379066696151</v>
      </c>
      <c r="C6" s="94">
        <v>302.45658165426397</v>
      </c>
      <c r="D6" s="94">
        <v>85.146353291442679</v>
      </c>
      <c r="E6" s="94">
        <v>6.534214665454039</v>
      </c>
      <c r="F6" s="94">
        <v>85.239219777077381</v>
      </c>
      <c r="G6" s="94">
        <v>6.6147137154311553</v>
      </c>
      <c r="H6" s="94">
        <v>77.16551600827809</v>
      </c>
      <c r="I6" s="94">
        <v>14.911413415643315</v>
      </c>
      <c r="J6" s="94">
        <v>20492.617708434162</v>
      </c>
      <c r="K6" s="94">
        <v>4.4617767277843576</v>
      </c>
      <c r="L6" s="94">
        <v>17.873374034558669</v>
      </c>
      <c r="M6" s="94">
        <v>17.893563536248621</v>
      </c>
      <c r="N6" s="94">
        <v>17.88749928593738</v>
      </c>
      <c r="O6" s="94">
        <v>24.433137704493578</v>
      </c>
    </row>
    <row r="7" spans="1:15" x14ac:dyDescent="0.25">
      <c r="A7" s="89">
        <v>44564.333333333336</v>
      </c>
      <c r="B7" s="94">
        <v>359.30224543255287</v>
      </c>
      <c r="C7" s="94">
        <v>302.45790168979261</v>
      </c>
      <c r="D7" s="94">
        <v>85.186343320005108</v>
      </c>
      <c r="E7" s="94">
        <v>6.5373795656322811</v>
      </c>
      <c r="F7" s="94">
        <v>85.257189706454795</v>
      </c>
      <c r="G7" s="94">
        <v>6.617265868030108</v>
      </c>
      <c r="H7" s="94">
        <v>77.202315337623602</v>
      </c>
      <c r="I7" s="94">
        <v>14.91871004347408</v>
      </c>
      <c r="J7" s="94">
        <v>20502.41700259065</v>
      </c>
      <c r="K7" s="94">
        <v>4.4631942253319696</v>
      </c>
      <c r="L7" s="94">
        <v>17.881907373177949</v>
      </c>
      <c r="M7" s="94">
        <v>17.901985467914194</v>
      </c>
      <c r="N7" s="94">
        <v>17.895925634379481</v>
      </c>
      <c r="O7" s="94">
        <v>24.44506442909077</v>
      </c>
    </row>
    <row r="8" spans="1:15" x14ac:dyDescent="0.25">
      <c r="A8" s="89">
        <v>44564.833333333336</v>
      </c>
      <c r="B8" s="94">
        <v>359.31070019814422</v>
      </c>
      <c r="C8" s="94">
        <v>302.45922172532124</v>
      </c>
      <c r="D8" s="94">
        <v>85.226333348567536</v>
      </c>
      <c r="E8" s="94">
        <v>6.5405444658105223</v>
      </c>
      <c r="F8" s="94">
        <v>85.27515963583221</v>
      </c>
      <c r="G8" s="94">
        <v>6.6198180206290589</v>
      </c>
      <c r="H8" s="94">
        <v>77.239114666969115</v>
      </c>
      <c r="I8" s="94">
        <v>14.926006671304846</v>
      </c>
      <c r="J8" s="94">
        <v>20512.216296747134</v>
      </c>
      <c r="K8" s="94">
        <v>4.4646117228795834</v>
      </c>
      <c r="L8" s="94">
        <v>17.890440711797226</v>
      </c>
      <c r="M8" s="94">
        <v>17.910407399579771</v>
      </c>
      <c r="N8" s="94">
        <v>17.904351982821581</v>
      </c>
      <c r="O8" s="94">
        <v>24.456991153687962</v>
      </c>
    </row>
    <row r="9" spans="1:15" x14ac:dyDescent="0.25">
      <c r="A9" s="89">
        <v>44565.333333333336</v>
      </c>
      <c r="B9" s="94">
        <v>359.31915496373557</v>
      </c>
      <c r="C9" s="94">
        <v>302.46054176084988</v>
      </c>
      <c r="D9" s="94">
        <v>85.266323377129964</v>
      </c>
      <c r="E9" s="94">
        <v>6.5437093659887644</v>
      </c>
      <c r="F9" s="94">
        <v>85.29312956520964</v>
      </c>
      <c r="G9" s="94">
        <v>6.6223701732280116</v>
      </c>
      <c r="H9" s="94">
        <v>77.275913996314642</v>
      </c>
      <c r="I9" s="94">
        <v>14.933303299135613</v>
      </c>
      <c r="J9" s="94">
        <v>20522.015590903622</v>
      </c>
      <c r="K9" s="94">
        <v>4.4660292204271963</v>
      </c>
      <c r="L9" s="94">
        <v>17.898974050416506</v>
      </c>
      <c r="M9" s="94">
        <v>17.918829331245348</v>
      </c>
      <c r="N9" s="94">
        <v>17.912778331263681</v>
      </c>
      <c r="O9" s="94">
        <v>24.468917878285154</v>
      </c>
    </row>
    <row r="10" spans="1:15" x14ac:dyDescent="0.25">
      <c r="A10" s="89">
        <v>44565.833333333336</v>
      </c>
      <c r="B10" s="94">
        <v>359.32760972932698</v>
      </c>
      <c r="C10" s="94">
        <v>302.46186179637846</v>
      </c>
      <c r="D10" s="94">
        <v>85.306313405692393</v>
      </c>
      <c r="E10" s="94">
        <v>6.5468742661670056</v>
      </c>
      <c r="F10" s="94">
        <v>85.311099494587069</v>
      </c>
      <c r="G10" s="94">
        <v>6.6249223258269643</v>
      </c>
      <c r="H10" s="94">
        <v>77.312713325660155</v>
      </c>
      <c r="I10" s="94">
        <v>14.94059992696638</v>
      </c>
      <c r="J10" s="94">
        <v>20531.81488506011</v>
      </c>
      <c r="K10" s="94">
        <v>4.4674467179748092</v>
      </c>
      <c r="L10" s="94">
        <v>17.907507389035782</v>
      </c>
      <c r="M10" s="94">
        <v>17.927251262910925</v>
      </c>
      <c r="N10" s="94">
        <v>17.921204679705781</v>
      </c>
      <c r="O10" s="94">
        <v>24.480844602882346</v>
      </c>
    </row>
    <row r="11" spans="1:15" x14ac:dyDescent="0.25">
      <c r="A11" s="89">
        <v>44566.333333333336</v>
      </c>
      <c r="B11" s="94">
        <v>359.33606449491833</v>
      </c>
      <c r="C11" s="94">
        <v>302.46318183190709</v>
      </c>
      <c r="D11" s="94">
        <v>85.346303434254821</v>
      </c>
      <c r="E11" s="94">
        <v>6.5500391663452477</v>
      </c>
      <c r="F11" s="94">
        <v>85.329069423964484</v>
      </c>
      <c r="G11" s="94">
        <v>6.6274744784259161</v>
      </c>
      <c r="H11" s="94">
        <v>77.349512655005668</v>
      </c>
      <c r="I11" s="94">
        <v>14.947896554797147</v>
      </c>
      <c r="J11" s="94">
        <v>20541.614179216598</v>
      </c>
      <c r="K11" s="94">
        <v>4.468864215522423</v>
      </c>
      <c r="L11" s="94">
        <v>17.916040727655062</v>
      </c>
      <c r="M11" s="94">
        <v>17.935673194576502</v>
      </c>
      <c r="N11" s="94">
        <v>17.929631028147881</v>
      </c>
      <c r="O11" s="94">
        <v>24.492771327479538</v>
      </c>
    </row>
    <row r="12" spans="1:15" x14ac:dyDescent="0.25">
      <c r="A12" s="89">
        <v>44566.833333333336</v>
      </c>
      <c r="B12" s="94">
        <v>359.34451926050968</v>
      </c>
      <c r="C12" s="94">
        <v>302.46450186743573</v>
      </c>
      <c r="D12" s="94">
        <v>85.38629346281725</v>
      </c>
      <c r="E12" s="94">
        <v>6.5532040665234899</v>
      </c>
      <c r="F12" s="94">
        <v>85.347039353341913</v>
      </c>
      <c r="G12" s="94">
        <v>6.6300266310248688</v>
      </c>
      <c r="H12" s="94">
        <v>77.386311984351181</v>
      </c>
      <c r="I12" s="94">
        <v>14.955193182627911</v>
      </c>
      <c r="J12" s="94">
        <v>20551.413473373086</v>
      </c>
      <c r="K12" s="94">
        <v>4.4702817130700359</v>
      </c>
      <c r="L12" s="94">
        <v>17.924574066274342</v>
      </c>
      <c r="M12" s="94">
        <v>17.944095126242079</v>
      </c>
      <c r="N12" s="94">
        <v>17.938057376589981</v>
      </c>
      <c r="O12" s="94">
        <v>24.50469805207673</v>
      </c>
    </row>
    <row r="13" spans="1:15" x14ac:dyDescent="0.25">
      <c r="A13" s="89">
        <v>44567.333333333336</v>
      </c>
      <c r="B13" s="94">
        <v>359.35297402610104</v>
      </c>
      <c r="C13" s="94">
        <v>302.46582190296436</v>
      </c>
      <c r="D13" s="94">
        <v>85.426283491379692</v>
      </c>
      <c r="E13" s="94">
        <v>6.5563689667017311</v>
      </c>
      <c r="F13" s="94">
        <v>85.365009282719342</v>
      </c>
      <c r="G13" s="94">
        <v>6.6325787836238206</v>
      </c>
      <c r="H13" s="94">
        <v>77.423111313696694</v>
      </c>
      <c r="I13" s="94">
        <v>14.962489810458678</v>
      </c>
      <c r="J13" s="94">
        <v>20561.212767529571</v>
      </c>
      <c r="K13" s="94">
        <v>4.4716992106176487</v>
      </c>
      <c r="L13" s="94">
        <v>17.933107404893619</v>
      </c>
      <c r="M13" s="94">
        <v>17.952517057907656</v>
      </c>
      <c r="N13" s="94">
        <v>17.946483725032081</v>
      </c>
      <c r="O13" s="94">
        <v>24.516624776673922</v>
      </c>
    </row>
    <row r="14" spans="1:15" x14ac:dyDescent="0.25">
      <c r="A14" s="89">
        <v>44567.833333333336</v>
      </c>
      <c r="B14" s="94">
        <v>359.36142879169245</v>
      </c>
      <c r="C14" s="94">
        <v>302.467141938493</v>
      </c>
      <c r="D14" s="94">
        <v>85.466273519942106</v>
      </c>
      <c r="E14" s="94">
        <v>6.5595338668799723</v>
      </c>
      <c r="F14" s="94">
        <v>85.382979212096757</v>
      </c>
      <c r="G14" s="94">
        <v>6.6351309362227724</v>
      </c>
      <c r="H14" s="94">
        <v>77.459910643042221</v>
      </c>
      <c r="I14" s="94">
        <v>14.969786438289445</v>
      </c>
      <c r="J14" s="94">
        <v>20571.012061686059</v>
      </c>
      <c r="K14" s="94">
        <v>4.4731167081652625</v>
      </c>
      <c r="L14" s="94">
        <v>17.941640743512895</v>
      </c>
      <c r="M14" s="94">
        <v>17.960938989573229</v>
      </c>
      <c r="N14" s="94">
        <v>17.954910073474181</v>
      </c>
      <c r="O14" s="94">
        <v>24.528551501271114</v>
      </c>
    </row>
    <row r="15" spans="1:15" x14ac:dyDescent="0.25">
      <c r="A15" s="89">
        <v>44568.333333333336</v>
      </c>
      <c r="B15" s="94">
        <v>359.3698835572838</v>
      </c>
      <c r="C15" s="94">
        <v>302.46846197402164</v>
      </c>
      <c r="D15" s="94">
        <v>85.506263548504535</v>
      </c>
      <c r="E15" s="94">
        <v>6.5626987670582144</v>
      </c>
      <c r="F15" s="94">
        <v>85.400949141474172</v>
      </c>
      <c r="G15" s="94">
        <v>6.6376830888217251</v>
      </c>
      <c r="H15" s="94">
        <v>77.496709972387734</v>
      </c>
      <c r="I15" s="94">
        <v>14.97708306612021</v>
      </c>
      <c r="J15" s="94">
        <v>20580.811355842547</v>
      </c>
      <c r="K15" s="94">
        <v>4.4745342057128745</v>
      </c>
      <c r="L15" s="94">
        <v>17.950174082132175</v>
      </c>
      <c r="M15" s="94">
        <v>17.969360921238806</v>
      </c>
      <c r="N15" s="94">
        <v>17.963336421916281</v>
      </c>
      <c r="O15" s="94">
        <v>24.540478225868306</v>
      </c>
    </row>
    <row r="16" spans="1:15" x14ac:dyDescent="0.25">
      <c r="A16" s="89">
        <v>44568.833333333336</v>
      </c>
      <c r="B16" s="94">
        <v>359.37833832287515</v>
      </c>
      <c r="C16" s="94">
        <v>302.46978200955027</v>
      </c>
      <c r="D16" s="94">
        <v>85.546253577066977</v>
      </c>
      <c r="E16" s="94">
        <v>6.5658636672364565</v>
      </c>
      <c r="F16" s="94">
        <v>85.418919070851615</v>
      </c>
      <c r="G16" s="94">
        <v>6.6402352414206769</v>
      </c>
      <c r="H16" s="94">
        <v>77.533509301733247</v>
      </c>
      <c r="I16" s="94">
        <v>14.984379693950975</v>
      </c>
      <c r="J16" s="94">
        <v>20590.610649999035</v>
      </c>
      <c r="K16" s="94">
        <v>4.4759517032604883</v>
      </c>
      <c r="L16" s="94">
        <v>17.958707420751455</v>
      </c>
      <c r="M16" s="94">
        <v>17.977782852904383</v>
      </c>
      <c r="N16" s="94">
        <v>17.971762770358382</v>
      </c>
      <c r="O16" s="94">
        <v>24.552404950465501</v>
      </c>
    </row>
    <row r="17" spans="1:15" x14ac:dyDescent="0.25">
      <c r="A17" s="89">
        <v>44569.333333333336</v>
      </c>
      <c r="B17" s="94">
        <v>359.3867930884665</v>
      </c>
      <c r="C17" s="94">
        <v>302.47110204507891</v>
      </c>
      <c r="D17" s="94">
        <v>85.586243605629392</v>
      </c>
      <c r="E17" s="94">
        <v>6.5690285674146978</v>
      </c>
      <c r="F17" s="94">
        <v>85.43688900022903</v>
      </c>
      <c r="G17" s="94">
        <v>6.6427873940196296</v>
      </c>
      <c r="H17" s="94">
        <v>77.57030863107876</v>
      </c>
      <c r="I17" s="94">
        <v>14.991676321781743</v>
      </c>
      <c r="J17" s="94">
        <v>20600.409944155519</v>
      </c>
      <c r="K17" s="94">
        <v>4.4773692008081012</v>
      </c>
      <c r="L17" s="94">
        <v>17.967240759370732</v>
      </c>
      <c r="M17" s="94">
        <v>17.98620478456996</v>
      </c>
      <c r="N17" s="94">
        <v>17.980189118800482</v>
      </c>
      <c r="O17" s="94">
        <v>24.564331675062689</v>
      </c>
    </row>
    <row r="18" spans="1:15" x14ac:dyDescent="0.25">
      <c r="A18" s="89">
        <v>44569.833333333336</v>
      </c>
      <c r="B18" s="94">
        <v>359.39524785405791</v>
      </c>
      <c r="C18" s="94">
        <v>302.47242208060754</v>
      </c>
      <c r="D18" s="94">
        <v>85.626233634191834</v>
      </c>
      <c r="E18" s="94">
        <v>6.5721934675929399</v>
      </c>
      <c r="F18" s="94">
        <v>85.454858929606445</v>
      </c>
      <c r="G18" s="94">
        <v>6.6453395466185814</v>
      </c>
      <c r="H18" s="94">
        <v>77.607107960424273</v>
      </c>
      <c r="I18" s="94">
        <v>14.99897294961251</v>
      </c>
      <c r="J18" s="94">
        <v>20610.209238312007</v>
      </c>
      <c r="K18" s="94">
        <v>4.4787866983557141</v>
      </c>
      <c r="L18" s="94">
        <v>17.975774097990012</v>
      </c>
      <c r="M18" s="94">
        <v>17.994626716235537</v>
      </c>
      <c r="N18" s="94">
        <v>17.988615467242582</v>
      </c>
      <c r="O18" s="94">
        <v>24.576258399659885</v>
      </c>
    </row>
    <row r="19" spans="1:15" x14ac:dyDescent="0.25">
      <c r="A19" s="89">
        <v>44570.333333333336</v>
      </c>
      <c r="B19" s="94">
        <v>359.40370261964927</v>
      </c>
      <c r="C19" s="94">
        <v>302.47374211613618</v>
      </c>
      <c r="D19" s="94">
        <v>85.666223662754263</v>
      </c>
      <c r="E19" s="94">
        <v>6.575358367771182</v>
      </c>
      <c r="F19" s="94">
        <v>85.472828858983888</v>
      </c>
      <c r="G19" s="94">
        <v>6.6478916992175332</v>
      </c>
      <c r="H19" s="94">
        <v>77.6439072897698</v>
      </c>
      <c r="I19" s="94">
        <v>15.006269577443275</v>
      </c>
      <c r="J19" s="94">
        <v>20620.008532468495</v>
      </c>
      <c r="K19" s="94">
        <v>4.4802041959033279</v>
      </c>
      <c r="L19" s="94">
        <v>17.984307436609292</v>
      </c>
      <c r="M19" s="94">
        <v>18.003048647901114</v>
      </c>
      <c r="N19" s="94">
        <v>17.997041815684682</v>
      </c>
      <c r="O19" s="94">
        <v>24.588185124257073</v>
      </c>
    </row>
    <row r="20" spans="1:15" x14ac:dyDescent="0.25">
      <c r="A20" s="89">
        <v>44570.833333333336</v>
      </c>
      <c r="B20" s="94">
        <v>359.41215738524062</v>
      </c>
      <c r="C20" s="94">
        <v>302.47506215166482</v>
      </c>
      <c r="D20" s="94">
        <v>85.706213691316677</v>
      </c>
      <c r="E20" s="94">
        <v>6.5785232679494232</v>
      </c>
      <c r="F20" s="94">
        <v>85.490798788361303</v>
      </c>
      <c r="G20" s="94">
        <v>6.6504438518164859</v>
      </c>
      <c r="H20" s="94">
        <v>77.680706619115313</v>
      </c>
      <c r="I20" s="94">
        <v>15.01356620527404</v>
      </c>
      <c r="J20" s="94">
        <v>20629.807826624983</v>
      </c>
      <c r="K20" s="94">
        <v>4.4816216934509399</v>
      </c>
      <c r="L20" s="94">
        <v>17.992840775228569</v>
      </c>
      <c r="M20" s="94">
        <v>18.011470579566687</v>
      </c>
      <c r="N20" s="94">
        <v>18.005468164126782</v>
      </c>
      <c r="O20" s="94">
        <v>24.600111848854269</v>
      </c>
    </row>
    <row r="21" spans="1:15" x14ac:dyDescent="0.25">
      <c r="A21" s="89">
        <v>44571.333333333336</v>
      </c>
      <c r="B21" s="94">
        <v>359.42061215083197</v>
      </c>
      <c r="C21" s="94">
        <v>302.47638218719345</v>
      </c>
      <c r="D21" s="94">
        <v>85.746203719879119</v>
      </c>
      <c r="E21" s="94">
        <v>6.5816881681276644</v>
      </c>
      <c r="F21" s="94">
        <v>85.508768717738718</v>
      </c>
      <c r="G21" s="94">
        <v>6.6529960044154377</v>
      </c>
      <c r="H21" s="94">
        <v>77.717505948460825</v>
      </c>
      <c r="I21" s="94">
        <v>15.020862833104808</v>
      </c>
      <c r="J21" s="94">
        <v>20639.607120781471</v>
      </c>
      <c r="K21" s="94">
        <v>4.4830391909985536</v>
      </c>
      <c r="L21" s="94">
        <v>18.001374113847845</v>
      </c>
      <c r="M21" s="94">
        <v>18.019892511232268</v>
      </c>
      <c r="N21" s="94">
        <v>18.013894512568882</v>
      </c>
      <c r="O21" s="94">
        <v>24.612038573451461</v>
      </c>
    </row>
    <row r="22" spans="1:15" x14ac:dyDescent="0.25">
      <c r="A22" s="89">
        <v>44571.833333333336</v>
      </c>
      <c r="B22" s="94">
        <v>359.42906691642338</v>
      </c>
      <c r="C22" s="94">
        <v>302.47770222272209</v>
      </c>
      <c r="D22" s="94">
        <v>85.786193748441548</v>
      </c>
      <c r="E22" s="94">
        <v>6.5848530683059066</v>
      </c>
      <c r="F22" s="94">
        <v>85.526738647116147</v>
      </c>
      <c r="G22" s="94">
        <v>6.6555481570143904</v>
      </c>
      <c r="H22" s="94">
        <v>77.754305277806338</v>
      </c>
      <c r="I22" s="94">
        <v>15.028159460935573</v>
      </c>
      <c r="J22" s="94">
        <v>20649.406414937956</v>
      </c>
      <c r="K22" s="94">
        <v>4.4844566885461665</v>
      </c>
      <c r="L22" s="94">
        <v>18.009907452467125</v>
      </c>
      <c r="M22" s="94">
        <v>18.028314442897845</v>
      </c>
      <c r="N22" s="94">
        <v>18.022320861010982</v>
      </c>
      <c r="O22" s="94">
        <v>24.623965298048653</v>
      </c>
    </row>
    <row r="23" spans="1:15" x14ac:dyDescent="0.25">
      <c r="A23" s="89">
        <v>44572.333333333336</v>
      </c>
      <c r="B23" s="94">
        <v>359.43752168201473</v>
      </c>
      <c r="C23" s="94">
        <v>302.47902225825072</v>
      </c>
      <c r="D23" s="94">
        <v>85.826183777003976</v>
      </c>
      <c r="E23" s="94">
        <v>6.5880179684841487</v>
      </c>
      <c r="F23" s="94">
        <v>85.544708576493576</v>
      </c>
      <c r="G23" s="94">
        <v>6.6581003096133431</v>
      </c>
      <c r="H23" s="94">
        <v>77.791104607151851</v>
      </c>
      <c r="I23" s="94">
        <v>15.03545608876634</v>
      </c>
      <c r="J23" s="94">
        <v>20659.205709094444</v>
      </c>
      <c r="K23" s="94">
        <v>4.4858741860937794</v>
      </c>
      <c r="L23" s="94">
        <v>18.018440791086405</v>
      </c>
      <c r="M23" s="94">
        <v>18.036736374563421</v>
      </c>
      <c r="N23" s="94">
        <v>18.030747209453082</v>
      </c>
      <c r="O23" s="94">
        <v>24.635892022645844</v>
      </c>
    </row>
    <row r="24" spans="1:15" x14ac:dyDescent="0.25">
      <c r="A24" s="89">
        <v>44572.833333333336</v>
      </c>
      <c r="B24" s="94">
        <v>359.44597644760609</v>
      </c>
      <c r="C24" s="94">
        <v>302.48034229377936</v>
      </c>
      <c r="D24" s="94">
        <v>85.866173805566405</v>
      </c>
      <c r="E24" s="94">
        <v>6.5911828686623899</v>
      </c>
      <c r="F24" s="94">
        <v>85.562678505870991</v>
      </c>
      <c r="G24" s="94">
        <v>6.660652462212294</v>
      </c>
      <c r="H24" s="94">
        <v>77.827903936497378</v>
      </c>
      <c r="I24" s="94">
        <v>15.042752716597105</v>
      </c>
      <c r="J24" s="94">
        <v>20669.005003250932</v>
      </c>
      <c r="K24" s="94">
        <v>4.4872916836413932</v>
      </c>
      <c r="L24" s="94">
        <v>18.026974129705682</v>
      </c>
      <c r="M24" s="94">
        <v>18.045158306228995</v>
      </c>
      <c r="N24" s="94">
        <v>18.039173557895186</v>
      </c>
      <c r="O24" s="94">
        <v>24.647818747243033</v>
      </c>
    </row>
    <row r="25" spans="1:15" x14ac:dyDescent="0.25">
      <c r="A25" s="89">
        <v>44573.333333333336</v>
      </c>
      <c r="B25" s="94">
        <v>359.45443121319744</v>
      </c>
      <c r="C25" s="94">
        <v>302.48166232930794</v>
      </c>
      <c r="D25" s="94">
        <v>85.906163834128833</v>
      </c>
      <c r="E25" s="94">
        <v>6.594347768840632</v>
      </c>
      <c r="F25" s="94">
        <v>85.58064843524842</v>
      </c>
      <c r="G25" s="94">
        <v>6.6632046148112467</v>
      </c>
      <c r="H25" s="94">
        <v>77.864703265842891</v>
      </c>
      <c r="I25" s="94">
        <v>15.050049344427871</v>
      </c>
      <c r="J25" s="94">
        <v>20678.80429740742</v>
      </c>
      <c r="K25" s="94">
        <v>4.4887091811890052</v>
      </c>
      <c r="L25" s="94">
        <v>18.035507468324962</v>
      </c>
      <c r="M25" s="94">
        <v>18.053580237894572</v>
      </c>
      <c r="N25" s="94">
        <v>18.047599906337286</v>
      </c>
      <c r="O25" s="94">
        <v>24.659745471840228</v>
      </c>
    </row>
    <row r="26" spans="1:15" x14ac:dyDescent="0.25">
      <c r="A26" s="89">
        <v>44573.833333333336</v>
      </c>
      <c r="B26" s="94">
        <v>359.46288597878885</v>
      </c>
      <c r="C26" s="94">
        <v>302.48298236483657</v>
      </c>
      <c r="D26" s="94">
        <v>85.946153862691261</v>
      </c>
      <c r="E26" s="94">
        <v>6.5975126690188732</v>
      </c>
      <c r="F26" s="94">
        <v>85.59861836462585</v>
      </c>
      <c r="G26" s="94">
        <v>6.6657567674101994</v>
      </c>
      <c r="H26" s="94">
        <v>77.901502595188404</v>
      </c>
      <c r="I26" s="94">
        <v>15.057345972258638</v>
      </c>
      <c r="J26" s="94">
        <v>20688.603591563904</v>
      </c>
      <c r="K26" s="94">
        <v>4.490126678736619</v>
      </c>
      <c r="L26" s="94">
        <v>18.044040806944242</v>
      </c>
      <c r="M26" s="94">
        <v>18.062002169560149</v>
      </c>
      <c r="N26" s="94">
        <v>18.056026254779386</v>
      </c>
      <c r="O26" s="94">
        <v>24.67167219643742</v>
      </c>
    </row>
    <row r="27" spans="1:15" x14ac:dyDescent="0.25">
      <c r="A27" s="89">
        <v>44574.333333333336</v>
      </c>
      <c r="B27" s="94">
        <v>359.4713407443802</v>
      </c>
      <c r="C27" s="94">
        <v>302.48430240036521</v>
      </c>
      <c r="D27" s="94">
        <v>85.98614389125369</v>
      </c>
      <c r="E27" s="94">
        <v>6.6006775691971153</v>
      </c>
      <c r="F27" s="94">
        <v>85.616588294003265</v>
      </c>
      <c r="G27" s="94">
        <v>6.6683089200091512</v>
      </c>
      <c r="H27" s="94">
        <v>77.938301924533917</v>
      </c>
      <c r="I27" s="94">
        <v>15.064642600089405</v>
      </c>
      <c r="J27" s="94">
        <v>20698.402885720392</v>
      </c>
      <c r="K27" s="94">
        <v>4.4915441762842319</v>
      </c>
      <c r="L27" s="94">
        <v>18.052574145563518</v>
      </c>
      <c r="M27" s="94">
        <v>18.070424101225726</v>
      </c>
      <c r="N27" s="94">
        <v>18.064452603221486</v>
      </c>
      <c r="O27" s="94">
        <v>24.683598921034612</v>
      </c>
    </row>
    <row r="28" spans="1:15" x14ac:dyDescent="0.25">
      <c r="A28" s="89">
        <v>44574.833333333336</v>
      </c>
      <c r="B28" s="94">
        <v>359.47979550997155</v>
      </c>
      <c r="C28" s="94">
        <v>302.48562243589384</v>
      </c>
      <c r="D28" s="94">
        <v>86.026133919816118</v>
      </c>
      <c r="E28" s="94">
        <v>6.6038424693753575</v>
      </c>
      <c r="F28" s="94">
        <v>85.634558223380679</v>
      </c>
      <c r="G28" s="94">
        <v>6.6708610726081039</v>
      </c>
      <c r="H28" s="94">
        <v>77.97510125387943</v>
      </c>
      <c r="I28" s="94">
        <v>15.07193922792017</v>
      </c>
      <c r="J28" s="94">
        <v>20708.20217987688</v>
      </c>
      <c r="K28" s="94">
        <v>4.4929616738318447</v>
      </c>
      <c r="L28" s="94">
        <v>18.061107484182795</v>
      </c>
      <c r="M28" s="94">
        <v>18.078846032891303</v>
      </c>
      <c r="N28" s="94">
        <v>18.072878951663586</v>
      </c>
      <c r="O28" s="94">
        <v>24.695525645631804</v>
      </c>
    </row>
    <row r="29" spans="1:15" x14ac:dyDescent="0.25">
      <c r="A29" s="89">
        <v>44575.333333333336</v>
      </c>
      <c r="B29" s="94">
        <v>359.4882502755629</v>
      </c>
      <c r="C29" s="94">
        <v>302.48694247142248</v>
      </c>
      <c r="D29" s="94">
        <v>86.066123948378547</v>
      </c>
      <c r="E29" s="94">
        <v>6.6070073695535987</v>
      </c>
      <c r="F29" s="94">
        <v>85.652528152758123</v>
      </c>
      <c r="G29" s="94">
        <v>6.6734132252070557</v>
      </c>
      <c r="H29" s="94">
        <v>78.011900583224957</v>
      </c>
      <c r="I29" s="94">
        <v>15.079235855750936</v>
      </c>
      <c r="J29" s="94">
        <v>20718.001474033368</v>
      </c>
      <c r="K29" s="94">
        <v>4.4943791713794585</v>
      </c>
      <c r="L29" s="94">
        <v>18.069640822802075</v>
      </c>
      <c r="M29" s="94">
        <v>18.087267964556879</v>
      </c>
      <c r="N29" s="94">
        <v>18.081305300105686</v>
      </c>
      <c r="O29" s="94">
        <v>24.707452370228996</v>
      </c>
    </row>
    <row r="30" spans="1:15" x14ac:dyDescent="0.25">
      <c r="A30" s="89">
        <v>44575.833333333336</v>
      </c>
      <c r="B30" s="94">
        <v>359.49670504115431</v>
      </c>
      <c r="C30" s="94">
        <v>302.48826250695112</v>
      </c>
      <c r="D30" s="94">
        <v>86.106113976940975</v>
      </c>
      <c r="E30" s="94">
        <v>6.6101722697318399</v>
      </c>
      <c r="F30" s="94">
        <v>85.670498082135538</v>
      </c>
      <c r="G30" s="94">
        <v>6.6759653778060075</v>
      </c>
      <c r="H30" s="94">
        <v>78.04869991257047</v>
      </c>
      <c r="I30" s="94">
        <v>15.086532483581703</v>
      </c>
      <c r="J30" s="94">
        <v>20727.800768189856</v>
      </c>
      <c r="K30" s="94">
        <v>4.4957966689270714</v>
      </c>
      <c r="L30" s="94">
        <v>18.078174161421355</v>
      </c>
      <c r="M30" s="94">
        <v>18.095689896222453</v>
      </c>
      <c r="N30" s="94">
        <v>18.089731648547787</v>
      </c>
      <c r="O30" s="94">
        <v>24.719379094826188</v>
      </c>
    </row>
    <row r="31" spans="1:15" x14ac:dyDescent="0.25">
      <c r="A31" s="89">
        <v>44576.333333333336</v>
      </c>
      <c r="B31" s="94">
        <v>359.50515980674567</v>
      </c>
      <c r="C31" s="94">
        <v>302.48958254247975</v>
      </c>
      <c r="D31" s="94">
        <v>86.146104005503403</v>
      </c>
      <c r="E31" s="94">
        <v>6.6133371699100829</v>
      </c>
      <c r="F31" s="94">
        <v>85.688468011512953</v>
      </c>
      <c r="G31" s="94">
        <v>6.6785175304049602</v>
      </c>
      <c r="H31" s="94">
        <v>78.085499241915983</v>
      </c>
      <c r="I31" s="94">
        <v>15.09382911141247</v>
      </c>
      <c r="J31" s="94">
        <v>20737.600062346341</v>
      </c>
      <c r="K31" s="94">
        <v>4.4972141664746843</v>
      </c>
      <c r="L31" s="94">
        <v>18.086707500040632</v>
      </c>
      <c r="M31" s="94">
        <v>18.10411182788803</v>
      </c>
      <c r="N31" s="94">
        <v>18.098157996989887</v>
      </c>
      <c r="O31" s="94">
        <v>24.731305819423383</v>
      </c>
    </row>
    <row r="32" spans="1:15" x14ac:dyDescent="0.25">
      <c r="A32" s="89">
        <v>44576.833333333336</v>
      </c>
      <c r="B32" s="94">
        <v>359.51361457233702</v>
      </c>
      <c r="C32" s="94">
        <v>302.49090257800839</v>
      </c>
      <c r="D32" s="94">
        <v>86.186094034065832</v>
      </c>
      <c r="E32" s="94">
        <v>6.6165020700883241</v>
      </c>
      <c r="F32" s="94">
        <v>85.706437940890382</v>
      </c>
      <c r="G32" s="94">
        <v>6.681069683003912</v>
      </c>
      <c r="H32" s="94">
        <v>78.122298571261496</v>
      </c>
      <c r="I32" s="94">
        <v>15.101125739243233</v>
      </c>
      <c r="J32" s="94">
        <v>20747.399356502832</v>
      </c>
      <c r="K32" s="94">
        <v>4.4986316640222981</v>
      </c>
      <c r="L32" s="94">
        <v>18.095240838659912</v>
      </c>
      <c r="M32" s="94">
        <v>18.112533759553607</v>
      </c>
      <c r="N32" s="94">
        <v>18.106584345431987</v>
      </c>
      <c r="O32" s="94">
        <v>24.743232544020572</v>
      </c>
    </row>
    <row r="33" spans="1:15" x14ac:dyDescent="0.25">
      <c r="A33" s="89">
        <v>44577.333333333336</v>
      </c>
      <c r="B33" s="94">
        <v>359.52206933792837</v>
      </c>
      <c r="C33" s="94">
        <v>302.49222261353702</v>
      </c>
      <c r="D33" s="94">
        <v>86.22608406262826</v>
      </c>
      <c r="E33" s="94">
        <v>6.6196669702665654</v>
      </c>
      <c r="F33" s="94">
        <v>85.724407870267811</v>
      </c>
      <c r="G33" s="94">
        <v>6.6836218356028647</v>
      </c>
      <c r="H33" s="94">
        <v>78.159097900607009</v>
      </c>
      <c r="I33" s="94">
        <v>15.108422367074001</v>
      </c>
      <c r="J33" s="94">
        <v>20757.198650659317</v>
      </c>
      <c r="K33" s="94">
        <v>4.5000491615699101</v>
      </c>
      <c r="L33" s="94">
        <v>18.103774177279188</v>
      </c>
      <c r="M33" s="94">
        <v>18.120955691219187</v>
      </c>
      <c r="N33" s="94">
        <v>18.115010693874087</v>
      </c>
      <c r="O33" s="94">
        <v>24.755159268617767</v>
      </c>
    </row>
    <row r="34" spans="1:15" x14ac:dyDescent="0.25">
      <c r="A34" s="89">
        <v>44577.833333333336</v>
      </c>
      <c r="B34" s="94">
        <v>359.53052410351978</v>
      </c>
      <c r="C34" s="94">
        <v>302.49354264906566</v>
      </c>
      <c r="D34" s="94">
        <v>86.266074091190703</v>
      </c>
      <c r="E34" s="94">
        <v>6.6228318704448075</v>
      </c>
      <c r="F34" s="94">
        <v>85.742377799645226</v>
      </c>
      <c r="G34" s="94">
        <v>6.6861739882018174</v>
      </c>
      <c r="H34" s="94">
        <v>78.195897229952536</v>
      </c>
      <c r="I34" s="94">
        <v>15.115718994904768</v>
      </c>
      <c r="J34" s="94">
        <v>20766.997944815805</v>
      </c>
      <c r="K34" s="94">
        <v>4.5014666591175239</v>
      </c>
      <c r="L34" s="94">
        <v>18.112307515898468</v>
      </c>
      <c r="M34" s="94">
        <v>18.129377622884761</v>
      </c>
      <c r="N34" s="94">
        <v>18.123437042316187</v>
      </c>
      <c r="O34" s="94">
        <v>24.767085993214955</v>
      </c>
    </row>
    <row r="35" spans="1:15" x14ac:dyDescent="0.25">
      <c r="A35" s="89">
        <v>44578.333333333336</v>
      </c>
      <c r="B35" s="94">
        <v>359.53897886911113</v>
      </c>
      <c r="C35" s="94">
        <v>302.4948626845943</v>
      </c>
      <c r="D35" s="94">
        <v>86.306064119753117</v>
      </c>
      <c r="E35" s="94">
        <v>6.6259967706230487</v>
      </c>
      <c r="F35" s="94">
        <v>85.760347729022655</v>
      </c>
      <c r="G35" s="94">
        <v>6.6887261408007683</v>
      </c>
      <c r="H35" s="94">
        <v>78.232696559298049</v>
      </c>
      <c r="I35" s="94">
        <v>15.123015622735535</v>
      </c>
      <c r="J35" s="94">
        <v>20776.797238972289</v>
      </c>
      <c r="K35" s="94">
        <v>4.5028841566651368</v>
      </c>
      <c r="L35" s="94">
        <v>18.120840854517745</v>
      </c>
      <c r="M35" s="94">
        <v>18.137799554550337</v>
      </c>
      <c r="N35" s="94">
        <v>18.131863390758287</v>
      </c>
      <c r="O35" s="94">
        <v>24.779012717812147</v>
      </c>
    </row>
    <row r="36" spans="1:15" x14ac:dyDescent="0.25">
      <c r="A36" s="89">
        <v>44578.833333333336</v>
      </c>
      <c r="B36" s="94">
        <v>359.54743363470249</v>
      </c>
      <c r="C36" s="94">
        <v>302.49618272012293</v>
      </c>
      <c r="D36" s="94">
        <v>86.346054148315559</v>
      </c>
      <c r="E36" s="94">
        <v>6.6291616708012908</v>
      </c>
      <c r="F36" s="94">
        <v>85.778317658400084</v>
      </c>
      <c r="G36" s="94">
        <v>6.691278293399721</v>
      </c>
      <c r="H36" s="94">
        <v>78.269495888643561</v>
      </c>
      <c r="I36" s="94">
        <v>15.1303122505663</v>
      </c>
      <c r="J36" s="94">
        <v>20786.596533128781</v>
      </c>
      <c r="K36" s="94">
        <v>4.5043016542127496</v>
      </c>
      <c r="L36" s="94">
        <v>18.129374193137025</v>
      </c>
      <c r="M36" s="94">
        <v>18.146221486215914</v>
      </c>
      <c r="N36" s="94">
        <v>18.140289739200391</v>
      </c>
      <c r="O36" s="94">
        <v>24.790939442409343</v>
      </c>
    </row>
    <row r="37" spans="1:15" x14ac:dyDescent="0.25">
      <c r="A37" s="89">
        <v>44579.333333333336</v>
      </c>
      <c r="B37" s="94">
        <v>359.55588840029384</v>
      </c>
      <c r="C37" s="94">
        <v>302.49750275565157</v>
      </c>
      <c r="D37" s="94">
        <v>86.386044176877988</v>
      </c>
      <c r="E37" s="94">
        <v>6.6323265709795329</v>
      </c>
      <c r="F37" s="94">
        <v>85.796287587777499</v>
      </c>
      <c r="G37" s="94">
        <v>6.6938304459986737</v>
      </c>
      <c r="H37" s="94">
        <v>78.306295217989074</v>
      </c>
      <c r="I37" s="94">
        <v>15.137608878397065</v>
      </c>
      <c r="J37" s="94">
        <v>20796.395827285265</v>
      </c>
      <c r="K37" s="94">
        <v>4.5057191517603634</v>
      </c>
      <c r="L37" s="94">
        <v>18.137907531756301</v>
      </c>
      <c r="M37" s="94">
        <v>18.154643417881491</v>
      </c>
      <c r="N37" s="94">
        <v>18.148716087642491</v>
      </c>
      <c r="O37" s="94">
        <v>24.802866167006531</v>
      </c>
    </row>
    <row r="38" spans="1:15" x14ac:dyDescent="0.25">
      <c r="A38" s="89">
        <v>44579.833333333336</v>
      </c>
      <c r="B38" s="94">
        <v>359.56434316588525</v>
      </c>
      <c r="C38" s="94">
        <v>302.4988227911802</v>
      </c>
      <c r="D38" s="94">
        <v>86.426034205440402</v>
      </c>
      <c r="E38" s="94">
        <v>6.6354914711577742</v>
      </c>
      <c r="F38" s="94">
        <v>85.814257517154928</v>
      </c>
      <c r="G38" s="94">
        <v>6.6963825985976255</v>
      </c>
      <c r="H38" s="94">
        <v>78.343094547334587</v>
      </c>
      <c r="I38" s="94">
        <v>15.144905506227833</v>
      </c>
      <c r="J38" s="94">
        <v>20806.195121441753</v>
      </c>
      <c r="K38" s="94">
        <v>4.5071366493079763</v>
      </c>
      <c r="L38" s="94">
        <v>18.146440870375582</v>
      </c>
      <c r="M38" s="94">
        <v>18.163065349547068</v>
      </c>
      <c r="N38" s="94">
        <v>18.157142436084591</v>
      </c>
      <c r="O38" s="94">
        <v>24.814792891603727</v>
      </c>
    </row>
    <row r="39" spans="1:15" x14ac:dyDescent="0.25">
      <c r="A39" s="89">
        <v>44580.333333333336</v>
      </c>
      <c r="B39" s="94">
        <v>359.5727979314766</v>
      </c>
      <c r="C39" s="94">
        <v>302.50014282670878</v>
      </c>
      <c r="D39" s="94">
        <v>86.466024234002845</v>
      </c>
      <c r="E39" s="94">
        <v>6.6386563713360154</v>
      </c>
      <c r="F39" s="94">
        <v>85.832227446532357</v>
      </c>
      <c r="G39" s="94">
        <v>6.6989347511965782</v>
      </c>
      <c r="H39" s="94">
        <v>78.379893876680114</v>
      </c>
      <c r="I39" s="94">
        <v>15.152202134058598</v>
      </c>
      <c r="J39" s="94">
        <v>20815.994415598241</v>
      </c>
      <c r="K39" s="94">
        <v>4.5085541468555892</v>
      </c>
      <c r="L39" s="94">
        <v>18.154974208994862</v>
      </c>
      <c r="M39" s="94">
        <v>18.171487281212645</v>
      </c>
      <c r="N39" s="94">
        <v>18.165568784526691</v>
      </c>
      <c r="O39" s="94">
        <v>24.826719616200915</v>
      </c>
    </row>
    <row r="40" spans="1:15" x14ac:dyDescent="0.25">
      <c r="A40" s="89">
        <v>44580.833333333336</v>
      </c>
      <c r="B40" s="94">
        <v>359.58125269706795</v>
      </c>
      <c r="C40" s="94">
        <v>302.50146286223742</v>
      </c>
      <c r="D40" s="94">
        <v>86.506014262565273</v>
      </c>
      <c r="E40" s="94">
        <v>6.6418212715142575</v>
      </c>
      <c r="F40" s="94">
        <v>85.850197375909772</v>
      </c>
      <c r="G40" s="94">
        <v>6.70148690379553</v>
      </c>
      <c r="H40" s="94">
        <v>78.416693206025627</v>
      </c>
      <c r="I40" s="94">
        <v>15.159498761889365</v>
      </c>
      <c r="J40" s="94">
        <v>20825.793709754729</v>
      </c>
      <c r="K40" s="94">
        <v>4.5099716444032021</v>
      </c>
      <c r="L40" s="94">
        <v>18.163507547614138</v>
      </c>
      <c r="M40" s="94">
        <v>18.179909212878218</v>
      </c>
      <c r="N40" s="94">
        <v>18.173995132968791</v>
      </c>
      <c r="O40" s="94">
        <v>24.83864634079811</v>
      </c>
    </row>
    <row r="41" spans="1:15" x14ac:dyDescent="0.25">
      <c r="A41" s="89">
        <v>44581.333333333336</v>
      </c>
      <c r="B41" s="94">
        <v>359.58970746265931</v>
      </c>
      <c r="C41" s="94">
        <v>302.50278289776605</v>
      </c>
      <c r="D41" s="94">
        <v>86.546004291127701</v>
      </c>
      <c r="E41" s="94">
        <v>6.6449861716924996</v>
      </c>
      <c r="F41" s="94">
        <v>85.868167305287187</v>
      </c>
      <c r="G41" s="94">
        <v>6.7040390563944818</v>
      </c>
      <c r="H41" s="94">
        <v>78.45349253537114</v>
      </c>
      <c r="I41" s="94">
        <v>15.16679538972013</v>
      </c>
      <c r="J41" s="94">
        <v>20835.593003911217</v>
      </c>
      <c r="K41" s="94">
        <v>4.511389141950815</v>
      </c>
      <c r="L41" s="94">
        <v>18.172040886233415</v>
      </c>
      <c r="M41" s="94">
        <v>18.188331144543795</v>
      </c>
      <c r="N41" s="94">
        <v>18.182421481410891</v>
      </c>
      <c r="O41" s="94">
        <v>24.850573065395302</v>
      </c>
    </row>
    <row r="42" spans="1:15" x14ac:dyDescent="0.25">
      <c r="A42" s="89">
        <v>44581.833333333336</v>
      </c>
      <c r="B42" s="94">
        <v>359.59816222825071</v>
      </c>
      <c r="C42" s="94">
        <v>302.50410293329469</v>
      </c>
      <c r="D42" s="94">
        <v>86.58599431969013</v>
      </c>
      <c r="E42" s="94">
        <v>6.6481510718707408</v>
      </c>
      <c r="F42" s="94">
        <v>85.886137234664631</v>
      </c>
      <c r="G42" s="94">
        <v>6.7065912089934345</v>
      </c>
      <c r="H42" s="94">
        <v>78.490291864716653</v>
      </c>
      <c r="I42" s="94">
        <v>15.174092017550896</v>
      </c>
      <c r="J42" s="94">
        <v>20845.392298067702</v>
      </c>
      <c r="K42" s="94">
        <v>4.5128066394984288</v>
      </c>
      <c r="L42" s="94">
        <v>18.180574224852695</v>
      </c>
      <c r="M42" s="94">
        <v>18.196753076209372</v>
      </c>
      <c r="N42" s="94">
        <v>18.190847829852991</v>
      </c>
      <c r="O42" s="94">
        <v>24.862499789992494</v>
      </c>
    </row>
    <row r="43" spans="1:15" x14ac:dyDescent="0.25">
      <c r="A43" s="89">
        <v>44582.333333333336</v>
      </c>
      <c r="B43" s="94">
        <v>359.60661699384207</v>
      </c>
      <c r="C43" s="94">
        <v>302.50542296882332</v>
      </c>
      <c r="D43" s="94">
        <v>86.625984348252558</v>
      </c>
      <c r="E43" s="94">
        <v>6.6513159720489821</v>
      </c>
      <c r="F43" s="94">
        <v>85.904107164042045</v>
      </c>
      <c r="G43" s="94">
        <v>6.7091433615923863</v>
      </c>
      <c r="H43" s="94">
        <v>78.527091194062166</v>
      </c>
      <c r="I43" s="94">
        <v>15.181388645381663</v>
      </c>
      <c r="J43" s="94">
        <v>20855.19159222419</v>
      </c>
      <c r="K43" s="94">
        <v>4.5142241370460408</v>
      </c>
      <c r="L43" s="94">
        <v>18.189107563471975</v>
      </c>
      <c r="M43" s="94">
        <v>18.205175007874949</v>
      </c>
      <c r="N43" s="94">
        <v>18.199274178295092</v>
      </c>
      <c r="O43" s="94">
        <v>24.874426514589686</v>
      </c>
    </row>
    <row r="44" spans="1:15" x14ac:dyDescent="0.25">
      <c r="A44" s="89">
        <v>44582.833333333336</v>
      </c>
      <c r="B44" s="94">
        <v>359.61507175943342</v>
      </c>
      <c r="C44" s="94">
        <v>302.50674300435196</v>
      </c>
      <c r="D44" s="94">
        <v>86.665974376814987</v>
      </c>
      <c r="E44" s="94">
        <v>6.6544808722272251</v>
      </c>
      <c r="F44" s="94">
        <v>85.92207709341946</v>
      </c>
      <c r="G44" s="94">
        <v>6.711695514191339</v>
      </c>
      <c r="H44" s="94">
        <v>78.563890523407679</v>
      </c>
      <c r="I44" s="94">
        <v>15.18868527321243</v>
      </c>
      <c r="J44" s="94">
        <v>20864.990886380678</v>
      </c>
      <c r="K44" s="94">
        <v>4.5156416345936545</v>
      </c>
      <c r="L44" s="94">
        <v>18.197640902091251</v>
      </c>
      <c r="M44" s="94">
        <v>18.213596939540526</v>
      </c>
      <c r="N44" s="94">
        <v>18.207700526737192</v>
      </c>
      <c r="O44" s="94">
        <v>24.886353239186878</v>
      </c>
    </row>
    <row r="45" spans="1:15" x14ac:dyDescent="0.25">
      <c r="A45" s="89">
        <v>44583.333333333336</v>
      </c>
      <c r="B45" s="94">
        <v>359.62352652502477</v>
      </c>
      <c r="C45" s="94">
        <v>302.5080630398806</v>
      </c>
      <c r="D45" s="94">
        <v>86.705964405377415</v>
      </c>
      <c r="E45" s="94">
        <v>6.6576457724054663</v>
      </c>
      <c r="F45" s="94">
        <v>85.94004702279689</v>
      </c>
      <c r="G45" s="94">
        <v>6.7142476667902908</v>
      </c>
      <c r="H45" s="94">
        <v>78.600689852753206</v>
      </c>
      <c r="I45" s="94">
        <v>15.195981901043195</v>
      </c>
      <c r="J45" s="94">
        <v>20874.790180537166</v>
      </c>
      <c r="K45" s="94">
        <v>4.5170591321412674</v>
      </c>
      <c r="L45" s="94">
        <v>18.206174240710531</v>
      </c>
      <c r="M45" s="94">
        <v>18.222018871206103</v>
      </c>
      <c r="N45" s="94">
        <v>18.216126875179292</v>
      </c>
      <c r="O45" s="94">
        <v>24.89827996378407</v>
      </c>
    </row>
    <row r="46" spans="1:15" x14ac:dyDescent="0.25">
      <c r="A46" s="89">
        <v>44583.833333333336</v>
      </c>
      <c r="B46" s="94">
        <v>359.63198129061618</v>
      </c>
      <c r="C46" s="94">
        <v>302.50938307540923</v>
      </c>
      <c r="D46" s="94">
        <v>86.745954433939843</v>
      </c>
      <c r="E46" s="94">
        <v>6.6608106725837075</v>
      </c>
      <c r="F46" s="94">
        <v>85.958016952174319</v>
      </c>
      <c r="G46" s="94">
        <v>6.7167998193892426</v>
      </c>
      <c r="H46" s="94">
        <v>78.637489182098719</v>
      </c>
      <c r="I46" s="94">
        <v>15.203278528873961</v>
      </c>
      <c r="J46" s="94">
        <v>20884.58947469365</v>
      </c>
      <c r="K46" s="94">
        <v>4.5184766296888803</v>
      </c>
      <c r="L46" s="94">
        <v>18.214707579329811</v>
      </c>
      <c r="M46" s="94">
        <v>18.23044080287168</v>
      </c>
      <c r="N46" s="94">
        <v>18.224553223621392</v>
      </c>
      <c r="O46" s="94">
        <v>24.910206688381262</v>
      </c>
    </row>
    <row r="47" spans="1:15" x14ac:dyDescent="0.25">
      <c r="A47" s="89">
        <v>44584.333333333336</v>
      </c>
      <c r="B47" s="94">
        <v>359.64043605620753</v>
      </c>
      <c r="C47" s="94">
        <v>302.51070311093787</v>
      </c>
      <c r="D47" s="94">
        <v>86.785944462502272</v>
      </c>
      <c r="E47" s="94">
        <v>6.6639755727619496</v>
      </c>
      <c r="F47" s="94">
        <v>85.975986881551734</v>
      </c>
      <c r="G47" s="94">
        <v>6.7193519719881953</v>
      </c>
      <c r="H47" s="94">
        <v>78.674288511444232</v>
      </c>
      <c r="I47" s="94">
        <v>15.210575156704728</v>
      </c>
      <c r="J47" s="94">
        <v>20894.388768850138</v>
      </c>
      <c r="K47" s="94">
        <v>4.5198941272364941</v>
      </c>
      <c r="L47" s="94">
        <v>18.223240917949088</v>
      </c>
      <c r="M47" s="94">
        <v>18.238862734537253</v>
      </c>
      <c r="N47" s="94">
        <v>18.232979572063492</v>
      </c>
      <c r="O47" s="94">
        <v>24.922133412978454</v>
      </c>
    </row>
    <row r="48" spans="1:15" x14ac:dyDescent="0.25">
      <c r="A48" s="89">
        <v>44584.833333333336</v>
      </c>
      <c r="B48" s="94">
        <v>359.64889082179889</v>
      </c>
      <c r="C48" s="94">
        <v>302.5120231464665</v>
      </c>
      <c r="D48" s="94">
        <v>86.8259344910647</v>
      </c>
      <c r="E48" s="94">
        <v>6.6671404729401917</v>
      </c>
      <c r="F48" s="94">
        <v>85.993956810929163</v>
      </c>
      <c r="G48" s="94">
        <v>6.7219041245871471</v>
      </c>
      <c r="H48" s="94">
        <v>78.711087840789745</v>
      </c>
      <c r="I48" s="94">
        <v>15.217871784535495</v>
      </c>
      <c r="J48" s="94">
        <v>20904.188063006626</v>
      </c>
      <c r="K48" s="94">
        <v>4.521311624784107</v>
      </c>
      <c r="L48" s="94">
        <v>18.231774256568364</v>
      </c>
      <c r="M48" s="94">
        <v>18.24728466620283</v>
      </c>
      <c r="N48" s="94">
        <v>18.241405920505592</v>
      </c>
      <c r="O48" s="94">
        <v>24.934060137575646</v>
      </c>
    </row>
    <row r="49" spans="1:15" x14ac:dyDescent="0.25">
      <c r="A49" s="89">
        <v>44585.333333333336</v>
      </c>
      <c r="B49" s="94">
        <v>359.65734558739024</v>
      </c>
      <c r="C49" s="94">
        <v>302.51334318199514</v>
      </c>
      <c r="D49" s="94">
        <v>86.865924519627129</v>
      </c>
      <c r="E49" s="94">
        <v>6.670305373118433</v>
      </c>
      <c r="F49" s="94">
        <v>86.011926740306592</v>
      </c>
      <c r="G49" s="94">
        <v>6.7244562771860998</v>
      </c>
      <c r="H49" s="94">
        <v>78.747887170135257</v>
      </c>
      <c r="I49" s="94">
        <v>15.225168412366259</v>
      </c>
      <c r="J49" s="94">
        <v>20913.987357163114</v>
      </c>
      <c r="K49" s="94">
        <v>4.5227291223317199</v>
      </c>
      <c r="L49" s="94">
        <v>18.240307595187645</v>
      </c>
      <c r="M49" s="94">
        <v>18.255706597868411</v>
      </c>
      <c r="N49" s="94">
        <v>18.249832268947692</v>
      </c>
      <c r="O49" s="94">
        <v>24.945986862172838</v>
      </c>
    </row>
    <row r="50" spans="1:15" x14ac:dyDescent="0.25">
      <c r="A50" s="89">
        <v>44585.833333333336</v>
      </c>
      <c r="B50" s="94">
        <v>359.66580035298165</v>
      </c>
      <c r="C50" s="94">
        <v>302.51466321752378</v>
      </c>
      <c r="D50" s="94">
        <v>86.905914548189557</v>
      </c>
      <c r="E50" s="94">
        <v>6.6734702732966751</v>
      </c>
      <c r="F50" s="94">
        <v>86.029896669684007</v>
      </c>
      <c r="G50" s="94">
        <v>6.7270084297850525</v>
      </c>
      <c r="H50" s="94">
        <v>78.78468649948077</v>
      </c>
      <c r="I50" s="94">
        <v>15.232465040197026</v>
      </c>
      <c r="J50" s="94">
        <v>20923.786651319602</v>
      </c>
      <c r="K50" s="94">
        <v>4.5241466198793336</v>
      </c>
      <c r="L50" s="94">
        <v>18.248840933806925</v>
      </c>
      <c r="M50" s="94">
        <v>18.264128529533984</v>
      </c>
      <c r="N50" s="94">
        <v>18.258258617389792</v>
      </c>
      <c r="O50" s="94">
        <v>24.957913586770029</v>
      </c>
    </row>
    <row r="51" spans="1:15" x14ac:dyDescent="0.25">
      <c r="A51" s="89">
        <v>44586.333333333336</v>
      </c>
      <c r="B51" s="94">
        <v>359.674255118573</v>
      </c>
      <c r="C51" s="94">
        <v>302.51598325305241</v>
      </c>
      <c r="D51" s="94">
        <v>86.945904576751985</v>
      </c>
      <c r="E51" s="94">
        <v>6.6766351734749163</v>
      </c>
      <c r="F51" s="94">
        <v>86.047866599061422</v>
      </c>
      <c r="G51" s="94">
        <v>6.7295605823840043</v>
      </c>
      <c r="H51" s="94">
        <v>78.821485828826297</v>
      </c>
      <c r="I51" s="94">
        <v>15.239761668027793</v>
      </c>
      <c r="J51" s="94">
        <v>20933.585945476087</v>
      </c>
      <c r="K51" s="94">
        <v>4.5255641174269456</v>
      </c>
      <c r="L51" s="94">
        <v>18.257374272426201</v>
      </c>
      <c r="M51" s="94">
        <v>18.272550461199561</v>
      </c>
      <c r="N51" s="94">
        <v>18.266684965831892</v>
      </c>
      <c r="O51" s="94">
        <v>24.969840311367225</v>
      </c>
    </row>
    <row r="52" spans="1:15" x14ac:dyDescent="0.25">
      <c r="A52" s="89">
        <v>44586.833333333336</v>
      </c>
      <c r="B52" s="94">
        <v>359.68270988416435</v>
      </c>
      <c r="C52" s="94">
        <v>302.51730328858105</v>
      </c>
      <c r="D52" s="94">
        <v>86.985894605314428</v>
      </c>
      <c r="E52" s="94">
        <v>6.6798000736531584</v>
      </c>
      <c r="F52" s="94">
        <v>86.065836528438865</v>
      </c>
      <c r="G52" s="94">
        <v>6.7321127349829561</v>
      </c>
      <c r="H52" s="94">
        <v>78.85828515817181</v>
      </c>
      <c r="I52" s="94">
        <v>15.24705829585856</v>
      </c>
      <c r="J52" s="94">
        <v>20943.385239632575</v>
      </c>
      <c r="K52" s="94">
        <v>4.5269816149745594</v>
      </c>
      <c r="L52" s="94">
        <v>18.265907611045481</v>
      </c>
      <c r="M52" s="94">
        <v>18.280972392865138</v>
      </c>
      <c r="N52" s="94">
        <v>18.275111314273992</v>
      </c>
      <c r="O52" s="94">
        <v>24.981767035964413</v>
      </c>
    </row>
    <row r="53" spans="1:15" x14ac:dyDescent="0.25">
      <c r="A53" s="89">
        <v>44587.333333333336</v>
      </c>
      <c r="B53" s="94">
        <v>359.69116464975571</v>
      </c>
      <c r="C53" s="94">
        <v>302.51862332410963</v>
      </c>
      <c r="D53" s="94">
        <v>87.025884633876842</v>
      </c>
      <c r="E53" s="94">
        <v>6.6829649738314005</v>
      </c>
      <c r="F53" s="94">
        <v>86.08380645781628</v>
      </c>
      <c r="G53" s="94">
        <v>6.7346648875819088</v>
      </c>
      <c r="H53" s="94">
        <v>78.895084487517323</v>
      </c>
      <c r="I53" s="94">
        <v>15.254354923689323</v>
      </c>
      <c r="J53" s="94">
        <v>20953.184533789063</v>
      </c>
      <c r="K53" s="94">
        <v>4.5283991125221723</v>
      </c>
      <c r="L53" s="94">
        <v>18.274440949664758</v>
      </c>
      <c r="M53" s="94">
        <v>18.289394324530715</v>
      </c>
      <c r="N53" s="94">
        <v>18.283537662716093</v>
      </c>
      <c r="O53" s="94">
        <v>24.993693760561609</v>
      </c>
    </row>
    <row r="54" spans="1:15" x14ac:dyDescent="0.25">
      <c r="A54" s="89">
        <v>44587.833333333336</v>
      </c>
      <c r="B54" s="94">
        <v>359.69961941534712</v>
      </c>
      <c r="C54" s="94">
        <v>302.51994335963826</v>
      </c>
      <c r="D54" s="94">
        <v>87.065874662439271</v>
      </c>
      <c r="E54" s="94">
        <v>6.6861298740096418</v>
      </c>
      <c r="F54" s="94">
        <v>86.101776387193695</v>
      </c>
      <c r="G54" s="94">
        <v>6.7372170401808606</v>
      </c>
      <c r="H54" s="94">
        <v>78.931883816862836</v>
      </c>
      <c r="I54" s="94">
        <v>15.261651551520091</v>
      </c>
      <c r="J54" s="94">
        <v>20962.983827945551</v>
      </c>
      <c r="K54" s="94">
        <v>4.5298166100697852</v>
      </c>
      <c r="L54" s="94">
        <v>18.282974288284038</v>
      </c>
      <c r="M54" s="94">
        <v>18.297816256196292</v>
      </c>
      <c r="N54" s="94">
        <v>18.291964011158193</v>
      </c>
      <c r="O54" s="94">
        <v>25.005620485158797</v>
      </c>
    </row>
    <row r="55" spans="1:15" x14ac:dyDescent="0.25">
      <c r="A55" s="89">
        <v>44588.333333333336</v>
      </c>
      <c r="B55" s="94">
        <v>359.70807418093847</v>
      </c>
      <c r="C55" s="94">
        <v>302.5212633951669</v>
      </c>
      <c r="D55" s="94">
        <v>87.105864691001713</v>
      </c>
      <c r="E55" s="94">
        <v>6.689294774187883</v>
      </c>
      <c r="F55" s="94">
        <v>86.119746316571124</v>
      </c>
      <c r="G55" s="94">
        <v>6.7397691927798133</v>
      </c>
      <c r="H55" s="94">
        <v>78.968683146208349</v>
      </c>
      <c r="I55" s="94">
        <v>15.268948179350858</v>
      </c>
      <c r="J55" s="94">
        <v>20972.783122102035</v>
      </c>
      <c r="K55" s="94">
        <v>4.531234107617399</v>
      </c>
      <c r="L55" s="94">
        <v>18.291507626903318</v>
      </c>
      <c r="M55" s="94">
        <v>18.306238187861869</v>
      </c>
      <c r="N55" s="94">
        <v>18.300390359600293</v>
      </c>
      <c r="O55" s="94">
        <v>25.017547209755993</v>
      </c>
    </row>
    <row r="56" spans="1:15" x14ac:dyDescent="0.25">
      <c r="A56" s="89">
        <v>44588.833333333336</v>
      </c>
      <c r="B56" s="94">
        <v>359.71652894652982</v>
      </c>
      <c r="C56" s="94">
        <v>302.52258343069553</v>
      </c>
      <c r="D56" s="94">
        <v>87.145854719564127</v>
      </c>
      <c r="E56" s="94">
        <v>6.692459674366126</v>
      </c>
      <c r="F56" s="94">
        <v>86.137716245948553</v>
      </c>
      <c r="G56" s="94">
        <v>6.7423213453787652</v>
      </c>
      <c r="H56" s="94">
        <v>79.005482475553876</v>
      </c>
      <c r="I56" s="94">
        <v>15.276244807181623</v>
      </c>
      <c r="J56" s="94">
        <v>20982.582416258523</v>
      </c>
      <c r="K56" s="94">
        <v>4.532651605165011</v>
      </c>
      <c r="L56" s="94">
        <v>18.300040965522594</v>
      </c>
      <c r="M56" s="94">
        <v>18.314660119527446</v>
      </c>
      <c r="N56" s="94">
        <v>18.308816708042393</v>
      </c>
      <c r="O56" s="94">
        <v>25.029473934353184</v>
      </c>
    </row>
    <row r="57" spans="1:15" x14ac:dyDescent="0.25">
      <c r="A57" s="89">
        <v>44589.333333333336</v>
      </c>
      <c r="B57" s="94">
        <v>359.72498371212117</v>
      </c>
      <c r="C57" s="94">
        <v>302.52390346622417</v>
      </c>
      <c r="D57" s="94">
        <v>87.18584474812657</v>
      </c>
      <c r="E57" s="94">
        <v>6.6956245745443672</v>
      </c>
      <c r="F57" s="94">
        <v>86.155686175325968</v>
      </c>
      <c r="G57" s="94">
        <v>6.744873497977717</v>
      </c>
      <c r="H57" s="94">
        <v>79.042281804899389</v>
      </c>
      <c r="I57" s="94">
        <v>15.28354143501239</v>
      </c>
      <c r="J57" s="94">
        <v>20992.381710415011</v>
      </c>
      <c r="K57" s="94">
        <v>4.5340691027126248</v>
      </c>
      <c r="L57" s="94">
        <v>18.308574304141874</v>
      </c>
      <c r="M57" s="94">
        <v>18.323082051193019</v>
      </c>
      <c r="N57" s="94">
        <v>18.317243056484493</v>
      </c>
      <c r="O57" s="94">
        <v>25.041400658950373</v>
      </c>
    </row>
    <row r="58" spans="1:15" x14ac:dyDescent="0.25">
      <c r="A58" s="89">
        <v>44589.833333333336</v>
      </c>
      <c r="B58" s="94">
        <v>359.73343847771258</v>
      </c>
      <c r="C58" s="94">
        <v>302.52522350175281</v>
      </c>
      <c r="D58" s="94">
        <v>87.225834776688998</v>
      </c>
      <c r="E58" s="94">
        <v>6.6987894747226084</v>
      </c>
      <c r="F58" s="94">
        <v>86.173656104703397</v>
      </c>
      <c r="G58" s="94">
        <v>6.7474256505766697</v>
      </c>
      <c r="H58" s="94">
        <v>79.079081134244902</v>
      </c>
      <c r="I58" s="94">
        <v>15.290838062843155</v>
      </c>
      <c r="J58" s="94">
        <v>21002.181004571499</v>
      </c>
      <c r="K58" s="94">
        <v>4.5354866002602376</v>
      </c>
      <c r="L58" s="94">
        <v>18.317107642761151</v>
      </c>
      <c r="M58" s="94">
        <v>18.331503982858596</v>
      </c>
      <c r="N58" s="94">
        <v>18.325669404926593</v>
      </c>
      <c r="O58" s="94">
        <v>25.053327383547568</v>
      </c>
    </row>
    <row r="59" spans="1:15" x14ac:dyDescent="0.25">
      <c r="A59" s="89">
        <v>44590.333333333336</v>
      </c>
      <c r="B59" s="94">
        <v>359.74189324330393</v>
      </c>
      <c r="C59" s="94">
        <v>302.52654353728144</v>
      </c>
      <c r="D59" s="94">
        <v>87.265824805251412</v>
      </c>
      <c r="E59" s="94">
        <v>6.7019543749008506</v>
      </c>
      <c r="F59" s="94">
        <v>86.191626034080826</v>
      </c>
      <c r="G59" s="94">
        <v>6.7499778031756215</v>
      </c>
      <c r="H59" s="94">
        <v>79.115880463590415</v>
      </c>
      <c r="I59" s="94">
        <v>15.298134690673921</v>
      </c>
      <c r="J59" s="94">
        <v>21011.980298727987</v>
      </c>
      <c r="K59" s="94">
        <v>4.5369040978078505</v>
      </c>
      <c r="L59" s="94">
        <v>18.325640981380431</v>
      </c>
      <c r="M59" s="94">
        <v>18.339925914524173</v>
      </c>
      <c r="N59" s="94">
        <v>18.334095753368697</v>
      </c>
      <c r="O59" s="94">
        <v>25.065254108144757</v>
      </c>
    </row>
    <row r="60" spans="1:15" x14ac:dyDescent="0.25">
      <c r="A60" s="89">
        <v>44590.833333333336</v>
      </c>
      <c r="B60" s="94">
        <v>359.75034800889529</v>
      </c>
      <c r="C60" s="94">
        <v>302.52786357281008</v>
      </c>
      <c r="D60" s="94">
        <v>87.305814833813855</v>
      </c>
      <c r="E60" s="94">
        <v>6.7051192750790918</v>
      </c>
      <c r="F60" s="94">
        <v>86.209595963458241</v>
      </c>
      <c r="G60" s="94">
        <v>6.7525299557745742</v>
      </c>
      <c r="H60" s="94">
        <v>79.152679792935928</v>
      </c>
      <c r="I60" s="94">
        <v>15.305431318504688</v>
      </c>
      <c r="J60" s="94">
        <v>21021.779592884472</v>
      </c>
      <c r="K60" s="94">
        <v>4.5383215953554643</v>
      </c>
      <c r="L60" s="94">
        <v>18.334174319999708</v>
      </c>
      <c r="M60" s="94">
        <v>18.34834784618975</v>
      </c>
      <c r="N60" s="94">
        <v>18.342522101810797</v>
      </c>
      <c r="O60" s="94">
        <v>25.077180832741952</v>
      </c>
    </row>
    <row r="61" spans="1:15" x14ac:dyDescent="0.25">
      <c r="A61" s="89">
        <v>44591.333333333336</v>
      </c>
      <c r="B61" s="94">
        <v>359.75880277448664</v>
      </c>
      <c r="C61" s="94">
        <v>302.52918360833871</v>
      </c>
      <c r="D61" s="94">
        <v>87.345804862376283</v>
      </c>
      <c r="E61" s="94">
        <v>6.7082841752573339</v>
      </c>
      <c r="F61" s="94">
        <v>86.227565892835671</v>
      </c>
      <c r="G61" s="94">
        <v>6.7550821083735269</v>
      </c>
      <c r="H61" s="94">
        <v>79.18947912228144</v>
      </c>
      <c r="I61" s="94">
        <v>15.312727946335455</v>
      </c>
      <c r="J61" s="94">
        <v>21031.57888704096</v>
      </c>
      <c r="K61" s="94">
        <v>4.5397390929030772</v>
      </c>
      <c r="L61" s="94">
        <v>18.342707658618988</v>
      </c>
      <c r="M61" s="94">
        <v>18.356769777855327</v>
      </c>
      <c r="N61" s="94">
        <v>18.350948450252897</v>
      </c>
      <c r="O61" s="94">
        <v>25.089107557339144</v>
      </c>
    </row>
    <row r="62" spans="1:15" x14ac:dyDescent="0.25">
      <c r="A62" s="89">
        <v>44591.833333333336</v>
      </c>
      <c r="B62" s="94">
        <v>359.76725754007805</v>
      </c>
      <c r="C62" s="94">
        <v>302.53050364386735</v>
      </c>
      <c r="D62" s="94">
        <v>87.385794890938712</v>
      </c>
      <c r="E62" s="94">
        <v>6.7114490754355751</v>
      </c>
      <c r="F62" s="94">
        <v>86.2455358222131</v>
      </c>
      <c r="G62" s="94">
        <v>6.7576342609724787</v>
      </c>
      <c r="H62" s="94">
        <v>79.226278451626968</v>
      </c>
      <c r="I62" s="94">
        <v>15.32002457416622</v>
      </c>
      <c r="J62" s="94">
        <v>21041.378181197448</v>
      </c>
      <c r="K62" s="94">
        <v>4.5411565904506901</v>
      </c>
      <c r="L62" s="94">
        <v>18.351240997238268</v>
      </c>
      <c r="M62" s="94">
        <v>18.365191709520904</v>
      </c>
      <c r="N62" s="94">
        <v>18.359374798694997</v>
      </c>
      <c r="O62" s="94">
        <v>25.101034281936336</v>
      </c>
    </row>
    <row r="63" spans="1:15" x14ac:dyDescent="0.25">
      <c r="A63" s="89">
        <v>44592.333333333336</v>
      </c>
      <c r="B63" s="94">
        <v>359.7757123056694</v>
      </c>
      <c r="C63" s="94">
        <v>302.53182367939598</v>
      </c>
      <c r="D63" s="94">
        <v>87.42578491950114</v>
      </c>
      <c r="E63" s="94">
        <v>6.7146139756138172</v>
      </c>
      <c r="F63" s="94">
        <v>86.263505751590515</v>
      </c>
      <c r="G63" s="94">
        <v>6.7601864135714305</v>
      </c>
      <c r="H63" s="94">
        <v>79.26307778097248</v>
      </c>
      <c r="I63" s="94">
        <v>15.327321201996986</v>
      </c>
      <c r="J63" s="94">
        <v>21051.177475353936</v>
      </c>
      <c r="K63" s="94">
        <v>4.542574087998303</v>
      </c>
      <c r="L63" s="94">
        <v>18.359774335857544</v>
      </c>
      <c r="M63" s="94">
        <v>18.373613641186477</v>
      </c>
      <c r="N63" s="94">
        <v>18.367801147137097</v>
      </c>
      <c r="O63" s="94">
        <v>25.112961006533528</v>
      </c>
    </row>
    <row r="64" spans="1:15" x14ac:dyDescent="0.25">
      <c r="A64" s="89">
        <v>44592.833333333336</v>
      </c>
      <c r="B64" s="94">
        <v>359.78416707126075</v>
      </c>
      <c r="C64" s="94">
        <v>302.53314371492462</v>
      </c>
      <c r="D64" s="94">
        <v>87.465774948063569</v>
      </c>
      <c r="E64" s="94">
        <v>6.7177788757920585</v>
      </c>
      <c r="F64" s="94">
        <v>86.28147568096793</v>
      </c>
      <c r="G64" s="94">
        <v>6.7627385661703832</v>
      </c>
      <c r="H64" s="94">
        <v>79.299877110317993</v>
      </c>
      <c r="I64" s="94">
        <v>15.334617829827753</v>
      </c>
      <c r="J64" s="94">
        <v>21060.97676951042</v>
      </c>
      <c r="K64" s="94">
        <v>4.5439915855459159</v>
      </c>
      <c r="L64" s="94">
        <v>18.368307674476821</v>
      </c>
      <c r="M64" s="94">
        <v>18.382035572852054</v>
      </c>
      <c r="N64" s="94">
        <v>18.376227495579197</v>
      </c>
      <c r="O64" s="94">
        <v>25.12488773113072</v>
      </c>
    </row>
    <row r="65" spans="1:15" x14ac:dyDescent="0.25">
      <c r="A65" s="89">
        <v>44593.333333333336</v>
      </c>
      <c r="B65" s="94">
        <v>359.79262183685211</v>
      </c>
      <c r="C65" s="94">
        <v>302.53446375045326</v>
      </c>
      <c r="D65" s="94">
        <v>87.505764976625997</v>
      </c>
      <c r="E65" s="94">
        <v>6.7209437759703006</v>
      </c>
      <c r="F65" s="94">
        <v>86.299445610345359</v>
      </c>
      <c r="G65" s="94">
        <v>6.765290718769335</v>
      </c>
      <c r="H65" s="94">
        <v>79.336676439663506</v>
      </c>
      <c r="I65" s="94">
        <v>15.34191445765852</v>
      </c>
      <c r="J65" s="94">
        <v>21070.776063666908</v>
      </c>
      <c r="K65" s="94">
        <v>4.5454090830935296</v>
      </c>
      <c r="L65" s="94">
        <v>18.376841013096101</v>
      </c>
      <c r="M65" s="94">
        <v>18.390457504517634</v>
      </c>
      <c r="N65" s="94">
        <v>18.384653844021297</v>
      </c>
      <c r="O65" s="94">
        <v>25.136814455727912</v>
      </c>
    </row>
    <row r="66" spans="1:15" x14ac:dyDescent="0.25">
      <c r="A66" s="89">
        <v>44593.833333333336</v>
      </c>
      <c r="B66" s="94">
        <v>359.80107660244352</v>
      </c>
      <c r="C66" s="94">
        <v>302.53578378598189</v>
      </c>
      <c r="D66" s="94">
        <v>87.545755005188425</v>
      </c>
      <c r="E66" s="94">
        <v>6.7241086761485427</v>
      </c>
      <c r="F66" s="94">
        <v>86.317415539722788</v>
      </c>
      <c r="G66" s="94">
        <v>6.7678428713682877</v>
      </c>
      <c r="H66" s="94">
        <v>79.373475769009019</v>
      </c>
      <c r="I66" s="94">
        <v>15.349211085489284</v>
      </c>
      <c r="J66" s="94">
        <v>21080.575357823396</v>
      </c>
      <c r="K66" s="94">
        <v>4.5468265806411416</v>
      </c>
      <c r="L66" s="94">
        <v>18.385374351715381</v>
      </c>
      <c r="M66" s="94">
        <v>18.398879436183211</v>
      </c>
      <c r="N66" s="94">
        <v>18.393080192463398</v>
      </c>
      <c r="O66" s="94">
        <v>25.148741180325107</v>
      </c>
    </row>
    <row r="67" spans="1:15" x14ac:dyDescent="0.25">
      <c r="A67" s="89">
        <v>44594.333333333336</v>
      </c>
      <c r="B67" s="94">
        <v>359.80953136803487</v>
      </c>
      <c r="C67" s="94">
        <v>302.53710382151053</v>
      </c>
      <c r="D67" s="94">
        <v>87.585745033750854</v>
      </c>
      <c r="E67" s="94">
        <v>6.7272735763267839</v>
      </c>
      <c r="F67" s="94">
        <v>86.335385469100203</v>
      </c>
      <c r="G67" s="94">
        <v>6.7703950239672395</v>
      </c>
      <c r="H67" s="94">
        <v>79.410275098354546</v>
      </c>
      <c r="I67" s="94">
        <v>15.356507713320051</v>
      </c>
      <c r="J67" s="94">
        <v>21090.374651979884</v>
      </c>
      <c r="K67" s="94">
        <v>4.5482440781887554</v>
      </c>
      <c r="L67" s="94">
        <v>18.393907690334657</v>
      </c>
      <c r="M67" s="94">
        <v>18.407301367848785</v>
      </c>
      <c r="N67" s="94">
        <v>18.401506540905498</v>
      </c>
      <c r="O67" s="94">
        <v>25.160667904922295</v>
      </c>
    </row>
    <row r="68" spans="1:15" x14ac:dyDescent="0.25">
      <c r="A68" s="89">
        <v>44594.833333333336</v>
      </c>
      <c r="B68" s="94">
        <v>359.81798613362622</v>
      </c>
      <c r="C68" s="94">
        <v>302.53842385703911</v>
      </c>
      <c r="D68" s="94">
        <v>87.625735062313282</v>
      </c>
      <c r="E68" s="94">
        <v>6.7304384765050251</v>
      </c>
      <c r="F68" s="94">
        <v>86.353355398477632</v>
      </c>
      <c r="G68" s="94">
        <v>6.7729471765661913</v>
      </c>
      <c r="H68" s="94">
        <v>79.447074427700059</v>
      </c>
      <c r="I68" s="94">
        <v>15.363804341150818</v>
      </c>
      <c r="J68" s="94">
        <v>21100.173946136372</v>
      </c>
      <c r="K68" s="94">
        <v>4.5496615757363683</v>
      </c>
      <c r="L68" s="94">
        <v>18.402441028953938</v>
      </c>
      <c r="M68" s="94">
        <v>18.415723299514362</v>
      </c>
      <c r="N68" s="94">
        <v>18.409932889347598</v>
      </c>
      <c r="O68" s="94">
        <v>25.172594629519487</v>
      </c>
    </row>
    <row r="69" spans="1:15" x14ac:dyDescent="0.25">
      <c r="A69" s="89">
        <v>44595.333333333336</v>
      </c>
      <c r="B69" s="94">
        <v>359.82644089921757</v>
      </c>
      <c r="C69" s="94">
        <v>302.53974389256774</v>
      </c>
      <c r="D69" s="94">
        <v>87.665725090875711</v>
      </c>
      <c r="E69" s="94">
        <v>6.7336033766832681</v>
      </c>
      <c r="F69" s="94">
        <v>86.371325327855061</v>
      </c>
      <c r="G69" s="94">
        <v>6.775499329165144</v>
      </c>
      <c r="H69" s="94">
        <v>79.483873757045572</v>
      </c>
      <c r="I69" s="94">
        <v>15.371100968981585</v>
      </c>
      <c r="J69" s="94">
        <v>21109.973240292857</v>
      </c>
      <c r="K69" s="94">
        <v>4.5510790732839812</v>
      </c>
      <c r="L69" s="94">
        <v>18.410974367573218</v>
      </c>
      <c r="M69" s="94">
        <v>18.424145231179939</v>
      </c>
      <c r="N69" s="94">
        <v>18.418359237789698</v>
      </c>
      <c r="O69" s="94">
        <v>25.184521354116679</v>
      </c>
    </row>
    <row r="70" spans="1:15" x14ac:dyDescent="0.25">
      <c r="A70" s="89">
        <v>44595.833333333336</v>
      </c>
      <c r="B70" s="94">
        <v>359.83489566480898</v>
      </c>
      <c r="C70" s="94">
        <v>302.54106392809638</v>
      </c>
      <c r="D70" s="94">
        <v>87.705715119438139</v>
      </c>
      <c r="E70" s="94">
        <v>6.7367682768615094</v>
      </c>
      <c r="F70" s="94">
        <v>86.389295257232476</v>
      </c>
      <c r="G70" s="94">
        <v>6.7780514817640958</v>
      </c>
      <c r="H70" s="94">
        <v>79.520673086391085</v>
      </c>
      <c r="I70" s="94">
        <v>15.378397596812349</v>
      </c>
      <c r="J70" s="94">
        <v>21119.772534449345</v>
      </c>
      <c r="K70" s="94">
        <v>4.552496570831595</v>
      </c>
      <c r="L70" s="94">
        <v>18.419507706192494</v>
      </c>
      <c r="M70" s="94">
        <v>18.432567162845515</v>
      </c>
      <c r="N70" s="94">
        <v>18.426785586231798</v>
      </c>
      <c r="O70" s="94">
        <v>25.196448078713871</v>
      </c>
    </row>
    <row r="71" spans="1:15" x14ac:dyDescent="0.25">
      <c r="A71" s="89">
        <v>44596.333333333336</v>
      </c>
      <c r="B71" s="94">
        <v>359.84335043040033</v>
      </c>
      <c r="C71" s="94">
        <v>302.54238396362501</v>
      </c>
      <c r="D71" s="94">
        <v>87.745705148000567</v>
      </c>
      <c r="E71" s="94">
        <v>6.7399331770397506</v>
      </c>
      <c r="F71" s="94">
        <v>86.407265186609905</v>
      </c>
      <c r="G71" s="94">
        <v>6.7806036343630485</v>
      </c>
      <c r="H71" s="94">
        <v>79.557472415736598</v>
      </c>
      <c r="I71" s="94">
        <v>15.385694224643116</v>
      </c>
      <c r="J71" s="94">
        <v>21129.571828605833</v>
      </c>
      <c r="K71" s="94">
        <v>4.5539140683792079</v>
      </c>
      <c r="L71" s="94">
        <v>18.428041044811771</v>
      </c>
      <c r="M71" s="94">
        <v>18.440989094511092</v>
      </c>
      <c r="N71" s="94">
        <v>18.435211934673898</v>
      </c>
      <c r="O71" s="94">
        <v>25.208374803311067</v>
      </c>
    </row>
    <row r="72" spans="1:15" x14ac:dyDescent="0.25">
      <c r="A72" s="89">
        <v>44596.833333333336</v>
      </c>
      <c r="B72" s="94">
        <v>359.85180519599169</v>
      </c>
      <c r="C72" s="94">
        <v>302.54370399915365</v>
      </c>
      <c r="D72" s="94">
        <v>87.785695176562996</v>
      </c>
      <c r="E72" s="94">
        <v>6.7430980772179927</v>
      </c>
      <c r="F72" s="94">
        <v>86.425235115987334</v>
      </c>
      <c r="G72" s="94">
        <v>6.7831557869620003</v>
      </c>
      <c r="H72" s="94">
        <v>79.594271745082111</v>
      </c>
      <c r="I72" s="94">
        <v>15.392990852473883</v>
      </c>
      <c r="J72" s="94">
        <v>21139.371122762321</v>
      </c>
      <c r="K72" s="94">
        <v>4.5553315659268208</v>
      </c>
      <c r="L72" s="94">
        <v>18.436574383431051</v>
      </c>
      <c r="M72" s="94">
        <v>18.449411026176669</v>
      </c>
      <c r="N72" s="94">
        <v>18.443638283115998</v>
      </c>
      <c r="O72" s="94">
        <v>25.220301527908255</v>
      </c>
    </row>
    <row r="73" spans="1:15" x14ac:dyDescent="0.25">
      <c r="A73" s="89">
        <v>44597.333333333336</v>
      </c>
      <c r="B73" s="94">
        <v>359.86025996158304</v>
      </c>
      <c r="C73" s="94">
        <v>302.54502403468229</v>
      </c>
      <c r="D73" s="94">
        <v>87.825685205125424</v>
      </c>
      <c r="E73" s="94">
        <v>6.7462629773962348</v>
      </c>
      <c r="F73" s="94">
        <v>86.443205045364749</v>
      </c>
      <c r="G73" s="94">
        <v>6.785707939560953</v>
      </c>
      <c r="H73" s="94">
        <v>79.631071074427638</v>
      </c>
      <c r="I73" s="94">
        <v>15.400287480304648</v>
      </c>
      <c r="J73" s="94">
        <v>21149.170416918805</v>
      </c>
      <c r="K73" s="94">
        <v>4.5567490634744345</v>
      </c>
      <c r="L73" s="94">
        <v>18.445107722050331</v>
      </c>
      <c r="M73" s="94">
        <v>18.457832957842243</v>
      </c>
      <c r="N73" s="94">
        <v>18.452064631558098</v>
      </c>
      <c r="O73" s="94">
        <v>25.23222825250545</v>
      </c>
    </row>
    <row r="74" spans="1:15" x14ac:dyDescent="0.25">
      <c r="A74" s="89">
        <v>44597.833333333336</v>
      </c>
      <c r="B74" s="94">
        <v>359.86871472717445</v>
      </c>
      <c r="C74" s="94">
        <v>302.54634407021092</v>
      </c>
      <c r="D74" s="94">
        <v>87.865675233687853</v>
      </c>
      <c r="E74" s="94">
        <v>6.749427877574476</v>
      </c>
      <c r="F74" s="94">
        <v>86.461174974742178</v>
      </c>
      <c r="G74" s="94">
        <v>6.7882600921599048</v>
      </c>
      <c r="H74" s="94">
        <v>79.667870403773151</v>
      </c>
      <c r="I74" s="94">
        <v>15.407584108135413</v>
      </c>
      <c r="J74" s="94">
        <v>21158.969711075293</v>
      </c>
      <c r="K74" s="94">
        <v>4.5581665610220465</v>
      </c>
      <c r="L74" s="94">
        <v>18.453641060669607</v>
      </c>
      <c r="M74" s="94">
        <v>18.46625488950782</v>
      </c>
      <c r="N74" s="94">
        <v>18.460490980000198</v>
      </c>
      <c r="O74" s="94">
        <v>25.244154977102639</v>
      </c>
    </row>
    <row r="75" spans="1:15" x14ac:dyDescent="0.25">
      <c r="A75" s="89">
        <v>44598.333333333336</v>
      </c>
      <c r="B75" s="94">
        <v>359.8771694927658</v>
      </c>
      <c r="C75" s="94">
        <v>302.54766410573956</v>
      </c>
      <c r="D75" s="94">
        <v>87.905665262250295</v>
      </c>
      <c r="E75" s="94">
        <v>6.7525927777527182</v>
      </c>
      <c r="F75" s="94">
        <v>86.479144904119593</v>
      </c>
      <c r="G75" s="94">
        <v>6.7908122447588575</v>
      </c>
      <c r="H75" s="94">
        <v>79.704669733118664</v>
      </c>
      <c r="I75" s="94">
        <v>15.414880735966181</v>
      </c>
      <c r="J75" s="94">
        <v>21168.769005231785</v>
      </c>
      <c r="K75" s="94">
        <v>4.5595840585696603</v>
      </c>
      <c r="L75" s="94">
        <v>18.462174399288887</v>
      </c>
      <c r="M75" s="94">
        <v>18.474676821173396</v>
      </c>
      <c r="N75" s="94">
        <v>18.468917328442298</v>
      </c>
      <c r="O75" s="94">
        <v>25.256081701699834</v>
      </c>
    </row>
    <row r="76" spans="1:15" x14ac:dyDescent="0.25">
      <c r="A76" s="89">
        <v>44598.833333333336</v>
      </c>
      <c r="B76" s="94">
        <v>359.88562425835715</v>
      </c>
      <c r="C76" s="94">
        <v>302.54898414126819</v>
      </c>
      <c r="D76" s="94">
        <v>87.945655290812709</v>
      </c>
      <c r="E76" s="94">
        <v>6.7557576779309594</v>
      </c>
      <c r="F76" s="94">
        <v>86.497114833497022</v>
      </c>
      <c r="G76" s="94">
        <v>6.7933643973578093</v>
      </c>
      <c r="H76" s="94">
        <v>79.741469062464176</v>
      </c>
      <c r="I76" s="94">
        <v>15.422177363796946</v>
      </c>
      <c r="J76" s="94">
        <v>21178.568299388269</v>
      </c>
      <c r="K76" s="94">
        <v>4.5610015561172732</v>
      </c>
      <c r="L76" s="94">
        <v>18.470707737908164</v>
      </c>
      <c r="M76" s="94">
        <v>18.483098752838973</v>
      </c>
      <c r="N76" s="94">
        <v>18.477343676884399</v>
      </c>
      <c r="O76" s="94">
        <v>25.268008426297026</v>
      </c>
    </row>
    <row r="77" spans="1:15" x14ac:dyDescent="0.25">
      <c r="A77" s="89">
        <v>44599.333333333336</v>
      </c>
      <c r="B77" s="94">
        <v>359.89407902394851</v>
      </c>
      <c r="C77" s="94">
        <v>302.55030417679683</v>
      </c>
      <c r="D77" s="94">
        <v>87.985645319375138</v>
      </c>
      <c r="E77" s="94">
        <v>6.7589225781092015</v>
      </c>
      <c r="F77" s="94">
        <v>86.515084762874437</v>
      </c>
      <c r="G77" s="94">
        <v>6.795916549956762</v>
      </c>
      <c r="H77" s="94">
        <v>79.778268391809689</v>
      </c>
      <c r="I77" s="94">
        <v>15.429473991627713</v>
      </c>
      <c r="J77" s="94">
        <v>21188.367593544757</v>
      </c>
      <c r="K77" s="94">
        <v>4.5624190536648861</v>
      </c>
      <c r="L77" s="94">
        <v>18.479241076527444</v>
      </c>
      <c r="M77" s="94">
        <v>18.49152068450455</v>
      </c>
      <c r="N77" s="94">
        <v>18.485770025326499</v>
      </c>
      <c r="O77" s="94">
        <v>25.279935150894218</v>
      </c>
    </row>
    <row r="78" spans="1:15" x14ac:dyDescent="0.25">
      <c r="A78" s="89">
        <v>44599.833333333336</v>
      </c>
      <c r="B78" s="94">
        <v>359.90253378953992</v>
      </c>
      <c r="C78" s="94">
        <v>302.55162421232546</v>
      </c>
      <c r="D78" s="94">
        <v>88.02563534793758</v>
      </c>
      <c r="E78" s="94">
        <v>6.7620874782874436</v>
      </c>
      <c r="F78" s="94">
        <v>86.533054692251866</v>
      </c>
      <c r="G78" s="94">
        <v>6.7984687025557138</v>
      </c>
      <c r="H78" s="94">
        <v>79.815067721155216</v>
      </c>
      <c r="I78" s="94">
        <v>15.43677061945848</v>
      </c>
      <c r="J78" s="94">
        <v>21198.166887701242</v>
      </c>
      <c r="K78" s="94">
        <v>4.5638365512124999</v>
      </c>
      <c r="L78" s="94">
        <v>18.48777441514672</v>
      </c>
      <c r="M78" s="94">
        <v>18.499942616170127</v>
      </c>
      <c r="N78" s="94">
        <v>18.494196373768599</v>
      </c>
      <c r="O78" s="94">
        <v>25.29186187549141</v>
      </c>
    </row>
    <row r="79" spans="1:15" x14ac:dyDescent="0.25">
      <c r="A79" s="89">
        <v>44600.333333333336</v>
      </c>
      <c r="B79" s="94">
        <v>359.91098855513127</v>
      </c>
      <c r="C79" s="94">
        <v>302.5529442478541</v>
      </c>
      <c r="D79" s="94">
        <v>88.065625376499995</v>
      </c>
      <c r="E79" s="94">
        <v>6.7652523784656848</v>
      </c>
      <c r="F79" s="94">
        <v>86.551024621629296</v>
      </c>
      <c r="G79" s="94">
        <v>6.8010208551546665</v>
      </c>
      <c r="H79" s="94">
        <v>79.851867050500729</v>
      </c>
      <c r="I79" s="94">
        <v>15.444067247289246</v>
      </c>
      <c r="J79" s="94">
        <v>21207.966181857733</v>
      </c>
      <c r="K79" s="94">
        <v>4.5652540487601128</v>
      </c>
      <c r="L79" s="94">
        <v>18.496307753766001</v>
      </c>
      <c r="M79" s="94">
        <v>18.508364547835704</v>
      </c>
      <c r="N79" s="94">
        <v>18.502622722210699</v>
      </c>
      <c r="O79" s="94">
        <v>25.303788600088602</v>
      </c>
    </row>
    <row r="80" spans="1:15" x14ac:dyDescent="0.25">
      <c r="A80" s="89">
        <v>44600.833333333336</v>
      </c>
      <c r="B80" s="94">
        <v>359.91944332072262</v>
      </c>
      <c r="C80" s="94">
        <v>302.55426428338274</v>
      </c>
      <c r="D80" s="94">
        <v>88.105615405062437</v>
      </c>
      <c r="E80" s="94">
        <v>6.7684172786439261</v>
      </c>
      <c r="F80" s="94">
        <v>86.56899455100671</v>
      </c>
      <c r="G80" s="94">
        <v>6.8035730077536183</v>
      </c>
      <c r="H80" s="94">
        <v>79.888666379846242</v>
      </c>
      <c r="I80" s="94">
        <v>15.451363875120011</v>
      </c>
      <c r="J80" s="94">
        <v>21217.765476014218</v>
      </c>
      <c r="K80" s="94">
        <v>4.5666715463077256</v>
      </c>
      <c r="L80" s="94">
        <v>18.504841092385277</v>
      </c>
      <c r="M80" s="94">
        <v>18.516786479501281</v>
      </c>
      <c r="N80" s="94">
        <v>18.511049070652799</v>
      </c>
      <c r="O80" s="94">
        <v>25.315715324685794</v>
      </c>
    </row>
    <row r="81" spans="1:15" x14ac:dyDescent="0.25">
      <c r="A81" s="89">
        <v>44601.333333333336</v>
      </c>
      <c r="B81" s="94">
        <v>359.92789808631397</v>
      </c>
      <c r="C81" s="94">
        <v>302.55558431891137</v>
      </c>
      <c r="D81" s="94">
        <v>88.145605433624866</v>
      </c>
      <c r="E81" s="94">
        <v>6.7715821788221682</v>
      </c>
      <c r="F81" s="94">
        <v>86.58696448038414</v>
      </c>
      <c r="G81" s="94">
        <v>6.8061251603525701</v>
      </c>
      <c r="H81" s="94">
        <v>79.925465709191755</v>
      </c>
      <c r="I81" s="94">
        <v>15.458660502950778</v>
      </c>
      <c r="J81" s="94">
        <v>21227.564770170706</v>
      </c>
      <c r="K81" s="94">
        <v>4.5680890438553394</v>
      </c>
      <c r="L81" s="94">
        <v>18.513374431004557</v>
      </c>
      <c r="M81" s="94">
        <v>18.525208411166858</v>
      </c>
      <c r="N81" s="94">
        <v>18.519475419094903</v>
      </c>
      <c r="O81" s="94">
        <v>25.327642049282986</v>
      </c>
    </row>
    <row r="82" spans="1:15" x14ac:dyDescent="0.25">
      <c r="A82" s="89">
        <v>44601.833333333336</v>
      </c>
      <c r="B82" s="94">
        <v>359.93635285190538</v>
      </c>
      <c r="C82" s="94">
        <v>302.55690435443995</v>
      </c>
      <c r="D82" s="94">
        <v>88.18559546218728</v>
      </c>
      <c r="E82" s="94">
        <v>6.7747470790004103</v>
      </c>
      <c r="F82" s="94">
        <v>86.604934409761569</v>
      </c>
      <c r="G82" s="94">
        <v>6.8086773129515228</v>
      </c>
      <c r="H82" s="94">
        <v>79.962265038537268</v>
      </c>
      <c r="I82" s="94">
        <v>15.465957130781545</v>
      </c>
      <c r="J82" s="94">
        <v>21237.36406432719</v>
      </c>
      <c r="K82" s="94">
        <v>4.5695065414029514</v>
      </c>
      <c r="L82" s="94">
        <v>18.521907769623837</v>
      </c>
      <c r="M82" s="94">
        <v>18.533630342832435</v>
      </c>
      <c r="N82" s="94">
        <v>18.527901767537003</v>
      </c>
      <c r="O82" s="94">
        <v>25.339568773880178</v>
      </c>
    </row>
    <row r="83" spans="1:15" x14ac:dyDescent="0.25">
      <c r="A83" s="89">
        <v>44602.333333333336</v>
      </c>
      <c r="B83" s="94">
        <v>359.94480761749674</v>
      </c>
      <c r="C83" s="94">
        <v>302.55822438996859</v>
      </c>
      <c r="D83" s="94">
        <v>88.225585490749722</v>
      </c>
      <c r="E83" s="94">
        <v>6.7779119791786515</v>
      </c>
      <c r="F83" s="94">
        <v>86.622904339138984</v>
      </c>
      <c r="G83" s="94">
        <v>6.8112294655504746</v>
      </c>
      <c r="H83" s="94">
        <v>79.999064367882781</v>
      </c>
      <c r="I83" s="94">
        <v>15.473253758612309</v>
      </c>
      <c r="J83" s="94">
        <v>21247.163358483682</v>
      </c>
      <c r="K83" s="94">
        <v>4.5709240389505652</v>
      </c>
      <c r="L83" s="94">
        <v>18.530441108243114</v>
      </c>
      <c r="M83" s="94">
        <v>18.542052274498008</v>
      </c>
      <c r="N83" s="94">
        <v>18.536328115979103</v>
      </c>
      <c r="O83" s="94">
        <v>25.351495498477369</v>
      </c>
    </row>
    <row r="84" spans="1:15" x14ac:dyDescent="0.25">
      <c r="A84" s="89">
        <v>44602.833333333336</v>
      </c>
      <c r="B84" s="94">
        <v>359.95326238308809</v>
      </c>
      <c r="C84" s="94">
        <v>302.55954442549722</v>
      </c>
      <c r="D84" s="94">
        <v>88.265575519312151</v>
      </c>
      <c r="E84" s="94">
        <v>6.7810768793568936</v>
      </c>
      <c r="F84" s="94">
        <v>86.640874268516399</v>
      </c>
      <c r="G84" s="94">
        <v>6.8137816181494273</v>
      </c>
      <c r="H84" s="94">
        <v>80.035863697228308</v>
      </c>
      <c r="I84" s="94">
        <v>15.480550386443076</v>
      </c>
      <c r="J84" s="94">
        <v>21256.96265264017</v>
      </c>
      <c r="K84" s="94">
        <v>4.5723415364981772</v>
      </c>
      <c r="L84" s="94">
        <v>18.53897444686239</v>
      </c>
      <c r="M84" s="94">
        <v>18.550474206163585</v>
      </c>
      <c r="N84" s="94">
        <v>18.544754464421203</v>
      </c>
      <c r="O84" s="94">
        <v>25.363422223074561</v>
      </c>
    </row>
    <row r="85" spans="1:15" x14ac:dyDescent="0.25">
      <c r="A85" s="89">
        <v>44603.333333333336</v>
      </c>
      <c r="B85" s="94">
        <v>359.96171714867944</v>
      </c>
      <c r="C85" s="94">
        <v>302.56086446102586</v>
      </c>
      <c r="D85" s="94">
        <v>88.305565547874579</v>
      </c>
      <c r="E85" s="94">
        <v>6.7842417795351349</v>
      </c>
      <c r="F85" s="94">
        <v>86.658844197893828</v>
      </c>
      <c r="G85" s="94">
        <v>6.8163337707483791</v>
      </c>
      <c r="H85" s="94">
        <v>80.072663026573821</v>
      </c>
      <c r="I85" s="94">
        <v>15.487847014273843</v>
      </c>
      <c r="J85" s="94">
        <v>21266.761946796654</v>
      </c>
      <c r="K85" s="94">
        <v>4.573759034045791</v>
      </c>
      <c r="L85" s="94">
        <v>18.54750778548167</v>
      </c>
      <c r="M85" s="94">
        <v>18.558896137829162</v>
      </c>
      <c r="N85" s="94">
        <v>18.553180812863303</v>
      </c>
      <c r="O85" s="94">
        <v>25.375348947671753</v>
      </c>
    </row>
    <row r="86" spans="1:15" x14ac:dyDescent="0.25">
      <c r="A86" s="89">
        <v>44603.833333333336</v>
      </c>
      <c r="B86" s="94">
        <v>359.97017191427085</v>
      </c>
      <c r="C86" s="94">
        <v>302.56218449655449</v>
      </c>
      <c r="D86" s="94">
        <v>88.345555576437008</v>
      </c>
      <c r="E86" s="94">
        <v>6.787406679713377</v>
      </c>
      <c r="F86" s="94">
        <v>86.676814127271257</v>
      </c>
      <c r="G86" s="94">
        <v>6.8188859233473309</v>
      </c>
      <c r="H86" s="94">
        <v>80.109462355919334</v>
      </c>
      <c r="I86" s="94">
        <v>15.49514364210461</v>
      </c>
      <c r="J86" s="94">
        <v>21276.561240953142</v>
      </c>
      <c r="K86" s="94">
        <v>4.5751765315934039</v>
      </c>
      <c r="L86" s="94">
        <v>18.55604112410095</v>
      </c>
      <c r="M86" s="94">
        <v>18.567318069494739</v>
      </c>
      <c r="N86" s="94">
        <v>18.561607161305403</v>
      </c>
      <c r="O86" s="94">
        <v>25.387275672268949</v>
      </c>
    </row>
    <row r="87" spans="1:15" x14ac:dyDescent="0.25">
      <c r="A87" s="89">
        <v>44604.333333333336</v>
      </c>
      <c r="B87" s="94">
        <v>359.9786266798622</v>
      </c>
      <c r="C87" s="94">
        <v>302.56350453208313</v>
      </c>
      <c r="D87" s="94">
        <v>88.385545604999436</v>
      </c>
      <c r="E87" s="94">
        <v>6.7905715798916182</v>
      </c>
      <c r="F87" s="94">
        <v>86.694784056648672</v>
      </c>
      <c r="G87" s="94">
        <v>6.8214380759462836</v>
      </c>
      <c r="H87" s="94">
        <v>80.146261685264847</v>
      </c>
      <c r="I87" s="94">
        <v>15.502440269935374</v>
      </c>
      <c r="J87" s="94">
        <v>21286.36053510963</v>
      </c>
      <c r="K87" s="94">
        <v>4.5765940291410168</v>
      </c>
      <c r="L87" s="94">
        <v>18.564574462720227</v>
      </c>
      <c r="M87" s="94">
        <v>18.575740001160316</v>
      </c>
      <c r="N87" s="94">
        <v>18.570033509747503</v>
      </c>
      <c r="O87" s="94">
        <v>25.399202396866137</v>
      </c>
    </row>
    <row r="88" spans="1:15" x14ac:dyDescent="0.25">
      <c r="A88" s="89">
        <v>44604.833333333336</v>
      </c>
      <c r="B88" s="94">
        <v>359.98708144545355</v>
      </c>
      <c r="C88" s="94">
        <v>302.56482456761177</v>
      </c>
      <c r="D88" s="94">
        <v>88.425535633561864</v>
      </c>
      <c r="E88" s="94">
        <v>6.7937364800698603</v>
      </c>
      <c r="F88" s="94">
        <v>86.712753986026101</v>
      </c>
      <c r="G88" s="94">
        <v>6.8239902285452363</v>
      </c>
      <c r="H88" s="94">
        <v>80.18306101461036</v>
      </c>
      <c r="I88" s="94">
        <v>15.509736897766141</v>
      </c>
      <c r="J88" s="94">
        <v>21296.159829266118</v>
      </c>
      <c r="K88" s="94">
        <v>4.5780115266886305</v>
      </c>
      <c r="L88" s="94">
        <v>18.573107801339507</v>
      </c>
      <c r="M88" s="94">
        <v>18.584161932825893</v>
      </c>
      <c r="N88" s="94">
        <v>18.578459858189603</v>
      </c>
      <c r="O88" s="94">
        <v>25.411129121463333</v>
      </c>
    </row>
    <row r="89" spans="1:15" x14ac:dyDescent="0.25">
      <c r="A89" s="89">
        <v>44605.333333333336</v>
      </c>
      <c r="B89" s="94">
        <v>359.99553621104491</v>
      </c>
      <c r="C89" s="94">
        <v>302.5661446031404</v>
      </c>
      <c r="D89" s="94">
        <v>88.465525662124293</v>
      </c>
      <c r="E89" s="94">
        <v>6.7969013802481015</v>
      </c>
      <c r="F89" s="94">
        <v>86.73072391540353</v>
      </c>
      <c r="G89" s="94">
        <v>6.8265423811441881</v>
      </c>
      <c r="H89" s="94">
        <v>80.219860343955872</v>
      </c>
      <c r="I89" s="94">
        <v>15.517033525596908</v>
      </c>
      <c r="J89" s="94">
        <v>21305.959123422603</v>
      </c>
      <c r="K89" s="94">
        <v>4.5794290242362434</v>
      </c>
      <c r="L89" s="94">
        <v>18.581641139958787</v>
      </c>
      <c r="M89" s="94">
        <v>18.59258386449147</v>
      </c>
      <c r="N89" s="94">
        <v>18.586886206631704</v>
      </c>
      <c r="O89" s="94">
        <v>25.423055846060521</v>
      </c>
    </row>
    <row r="90" spans="1:15" x14ac:dyDescent="0.25">
      <c r="A90" s="89">
        <v>44605.833333333336</v>
      </c>
      <c r="B90" s="94">
        <v>360.00399097663632</v>
      </c>
      <c r="C90" s="94">
        <v>302.56746463866904</v>
      </c>
      <c r="D90" s="94">
        <v>88.505515690686721</v>
      </c>
      <c r="E90" s="94">
        <v>6.8000662804263436</v>
      </c>
      <c r="F90" s="94">
        <v>86.748693844780945</v>
      </c>
      <c r="G90" s="94">
        <v>6.8290945337431408</v>
      </c>
      <c r="H90" s="94">
        <v>80.256659673301399</v>
      </c>
      <c r="I90" s="94">
        <v>15.524330153427673</v>
      </c>
      <c r="J90" s="94">
        <v>21315.758417579091</v>
      </c>
      <c r="K90" s="94">
        <v>4.5808465217838563</v>
      </c>
      <c r="L90" s="94">
        <v>18.590174478578064</v>
      </c>
      <c r="M90" s="94">
        <v>18.601005796157043</v>
      </c>
      <c r="N90" s="94">
        <v>18.595312555073804</v>
      </c>
      <c r="O90" s="94">
        <v>25.434982570657713</v>
      </c>
    </row>
    <row r="91" spans="1:15" x14ac:dyDescent="0.25">
      <c r="A91" s="89">
        <v>44606.333333333336</v>
      </c>
      <c r="B91" s="94">
        <v>360.01244574222767</v>
      </c>
      <c r="C91" s="94">
        <v>302.56878467419767</v>
      </c>
      <c r="D91" s="94">
        <v>88.545505719249149</v>
      </c>
      <c r="E91" s="94">
        <v>6.8032311806045858</v>
      </c>
      <c r="F91" s="94">
        <v>86.766663774158374</v>
      </c>
      <c r="G91" s="94">
        <v>6.8316466863420926</v>
      </c>
      <c r="H91" s="94">
        <v>80.293459002646912</v>
      </c>
      <c r="I91" s="94">
        <v>15.531626781258439</v>
      </c>
      <c r="J91" s="94">
        <v>21325.557711735579</v>
      </c>
      <c r="K91" s="94">
        <v>4.5822640193314701</v>
      </c>
      <c r="L91" s="94">
        <v>18.598707817197344</v>
      </c>
      <c r="M91" s="94">
        <v>18.60942772782262</v>
      </c>
      <c r="N91" s="94">
        <v>18.603738903515904</v>
      </c>
      <c r="O91" s="94">
        <v>25.446909295254908</v>
      </c>
    </row>
    <row r="92" spans="1:15" x14ac:dyDescent="0.25">
      <c r="A92" s="89">
        <v>44606.833333333336</v>
      </c>
      <c r="B92" s="94">
        <v>360.02090050781902</v>
      </c>
      <c r="C92" s="94">
        <v>302.57010470972631</v>
      </c>
      <c r="D92" s="94">
        <v>88.585495747811578</v>
      </c>
      <c r="E92" s="94">
        <v>6.806396080782827</v>
      </c>
      <c r="F92" s="94">
        <v>86.784633703535803</v>
      </c>
      <c r="G92" s="94">
        <v>6.8341988389410444</v>
      </c>
      <c r="H92" s="94">
        <v>80.330258331992425</v>
      </c>
      <c r="I92" s="94">
        <v>15.538923409089206</v>
      </c>
      <c r="J92" s="94">
        <v>21335.357005892067</v>
      </c>
      <c r="K92" s="94">
        <v>4.5836815168790821</v>
      </c>
      <c r="L92" s="94">
        <v>18.607241155816624</v>
      </c>
      <c r="M92" s="94">
        <v>18.617849659488201</v>
      </c>
      <c r="N92" s="94">
        <v>18.612165251958004</v>
      </c>
      <c r="O92" s="94">
        <v>25.458836019852097</v>
      </c>
    </row>
    <row r="93" spans="1:15" x14ac:dyDescent="0.25">
      <c r="A93" s="89">
        <v>44607.333333333336</v>
      </c>
      <c r="B93" s="94">
        <v>360.02935527341037</v>
      </c>
      <c r="C93" s="94">
        <v>302.57142474525494</v>
      </c>
      <c r="D93" s="94">
        <v>88.625485776374006</v>
      </c>
      <c r="E93" s="94">
        <v>6.8095609809610682</v>
      </c>
      <c r="F93" s="94">
        <v>86.802603632913218</v>
      </c>
      <c r="G93" s="94">
        <v>6.8367509915399971</v>
      </c>
      <c r="H93" s="94">
        <v>80.367057661337938</v>
      </c>
      <c r="I93" s="94">
        <v>15.546220036919971</v>
      </c>
      <c r="J93" s="94">
        <v>21345.156300048555</v>
      </c>
      <c r="K93" s="94">
        <v>4.5850990144266959</v>
      </c>
      <c r="L93" s="94">
        <v>18.6157744944359</v>
      </c>
      <c r="M93" s="94">
        <v>18.626271591153774</v>
      </c>
      <c r="N93" s="94">
        <v>18.620591600400104</v>
      </c>
      <c r="O93" s="94">
        <v>25.470762744449292</v>
      </c>
    </row>
    <row r="94" spans="1:15" x14ac:dyDescent="0.25">
      <c r="A94" s="89">
        <v>44607.833333333336</v>
      </c>
      <c r="B94" s="94">
        <v>360.03781003900178</v>
      </c>
      <c r="C94" s="94">
        <v>302.57274478078358</v>
      </c>
      <c r="D94" s="94">
        <v>88.665475804936435</v>
      </c>
      <c r="E94" s="94">
        <v>6.8127258811393112</v>
      </c>
      <c r="F94" s="94">
        <v>86.820573562290633</v>
      </c>
      <c r="G94" s="94">
        <v>6.8393031441389489</v>
      </c>
      <c r="H94" s="94">
        <v>80.403856990683451</v>
      </c>
      <c r="I94" s="94">
        <v>15.553516664750738</v>
      </c>
      <c r="J94" s="94">
        <v>21354.955594205039</v>
      </c>
      <c r="K94" s="94">
        <v>4.5865165119743088</v>
      </c>
      <c r="L94" s="94">
        <v>18.624307833055177</v>
      </c>
      <c r="M94" s="94">
        <v>18.634693522819351</v>
      </c>
      <c r="N94" s="94">
        <v>18.629017948842204</v>
      </c>
      <c r="O94" s="94">
        <v>25.482689469046484</v>
      </c>
    </row>
    <row r="95" spans="1:15" x14ac:dyDescent="0.25">
      <c r="A95" s="89">
        <v>44608.333333333336</v>
      </c>
      <c r="B95" s="94">
        <v>360.04626480459314</v>
      </c>
      <c r="C95" s="94">
        <v>302.57406481631222</v>
      </c>
      <c r="D95" s="94">
        <v>88.705465833498863</v>
      </c>
      <c r="E95" s="94">
        <v>6.8158907813175524</v>
      </c>
      <c r="F95" s="94">
        <v>86.838543491668077</v>
      </c>
      <c r="G95" s="94">
        <v>6.8418552967379016</v>
      </c>
      <c r="H95" s="94">
        <v>80.440656320028978</v>
      </c>
      <c r="I95" s="94">
        <v>15.560813292581503</v>
      </c>
      <c r="J95" s="94">
        <v>21364.754888361527</v>
      </c>
      <c r="K95" s="94">
        <v>4.5879340095219217</v>
      </c>
      <c r="L95" s="94">
        <v>18.632841171674457</v>
      </c>
      <c r="M95" s="94">
        <v>18.643115454484928</v>
      </c>
      <c r="N95" s="94">
        <v>18.637444297284308</v>
      </c>
      <c r="O95" s="94">
        <v>25.494616193643676</v>
      </c>
    </row>
    <row r="96" spans="1:15" x14ac:dyDescent="0.25">
      <c r="A96" s="89">
        <v>44608.833333333336</v>
      </c>
      <c r="B96" s="94">
        <v>360.05471957018449</v>
      </c>
      <c r="C96" s="94">
        <v>302.57538485184079</v>
      </c>
      <c r="D96" s="94">
        <v>88.745455862061306</v>
      </c>
      <c r="E96" s="94">
        <v>6.8190556814957937</v>
      </c>
      <c r="F96" s="94">
        <v>86.856513421045491</v>
      </c>
      <c r="G96" s="94">
        <v>6.8444074493368534</v>
      </c>
      <c r="H96" s="94">
        <v>80.477455649374491</v>
      </c>
      <c r="I96" s="94">
        <v>15.568109920412271</v>
      </c>
      <c r="J96" s="94">
        <v>21374.554182518015</v>
      </c>
      <c r="K96" s="94">
        <v>4.5893515070695354</v>
      </c>
      <c r="L96" s="94">
        <v>18.641374510293737</v>
      </c>
      <c r="M96" s="94">
        <v>18.651537386150505</v>
      </c>
      <c r="N96" s="94">
        <v>18.645870645726408</v>
      </c>
      <c r="O96" s="94">
        <v>25.506542918240868</v>
      </c>
    </row>
    <row r="97" spans="1:15" x14ac:dyDescent="0.25">
      <c r="A97" s="89">
        <v>44609.333333333336</v>
      </c>
      <c r="B97" s="94">
        <v>360.06317433577584</v>
      </c>
      <c r="C97" s="94">
        <v>302.57670488736943</v>
      </c>
      <c r="D97" s="94">
        <v>88.78544589062372</v>
      </c>
      <c r="E97" s="94">
        <v>6.8222205816740358</v>
      </c>
      <c r="F97" s="94">
        <v>86.874483350422906</v>
      </c>
      <c r="G97" s="94">
        <v>6.8469596019358052</v>
      </c>
      <c r="H97" s="94">
        <v>80.514254978720004</v>
      </c>
      <c r="I97" s="94">
        <v>15.575406548243036</v>
      </c>
      <c r="J97" s="94">
        <v>21384.353476674503</v>
      </c>
      <c r="K97" s="94">
        <v>4.5907690046171483</v>
      </c>
      <c r="L97" s="94">
        <v>18.649907848913013</v>
      </c>
      <c r="M97" s="94">
        <v>18.659959317816082</v>
      </c>
      <c r="N97" s="94">
        <v>18.654296994168508</v>
      </c>
      <c r="O97" s="94">
        <v>25.51846964283806</v>
      </c>
    </row>
    <row r="98" spans="1:15" x14ac:dyDescent="0.25">
      <c r="A98" s="89">
        <v>44609.833333333336</v>
      </c>
      <c r="B98" s="94">
        <v>360.07162910136725</v>
      </c>
      <c r="C98" s="94">
        <v>302.57802492289807</v>
      </c>
      <c r="D98" s="94">
        <v>88.825435919186162</v>
      </c>
      <c r="E98" s="94">
        <v>6.8253854818522779</v>
      </c>
      <c r="F98" s="94">
        <v>86.892453279800336</v>
      </c>
      <c r="G98" s="94">
        <v>6.8495117545347579</v>
      </c>
      <c r="H98" s="94">
        <v>80.551054308065517</v>
      </c>
      <c r="I98" s="94">
        <v>15.582703176073803</v>
      </c>
      <c r="J98" s="94">
        <v>21394.152770830988</v>
      </c>
      <c r="K98" s="94">
        <v>4.5921865021647612</v>
      </c>
      <c r="L98" s="94">
        <v>18.658441187532294</v>
      </c>
      <c r="M98" s="94">
        <v>18.668381249481659</v>
      </c>
      <c r="N98" s="94">
        <v>18.662723342610608</v>
      </c>
      <c r="O98" s="94">
        <v>25.530396367435252</v>
      </c>
    </row>
    <row r="99" spans="1:15" x14ac:dyDescent="0.25">
      <c r="A99" s="89">
        <v>44610.333333333336</v>
      </c>
      <c r="B99" s="94">
        <v>360.0800838669586</v>
      </c>
      <c r="C99" s="94">
        <v>302.5793449584267</v>
      </c>
      <c r="D99" s="94">
        <v>88.865425947748591</v>
      </c>
      <c r="E99" s="94">
        <v>6.8285503820305191</v>
      </c>
      <c r="F99" s="94">
        <v>86.910423209177765</v>
      </c>
      <c r="G99" s="94">
        <v>6.8520639071337106</v>
      </c>
      <c r="H99" s="94">
        <v>80.58785363741103</v>
      </c>
      <c r="I99" s="94">
        <v>15.589999803904568</v>
      </c>
      <c r="J99" s="94">
        <v>21403.952064987476</v>
      </c>
      <c r="K99" s="94">
        <v>4.593603999712375</v>
      </c>
      <c r="L99" s="94">
        <v>18.66697452615157</v>
      </c>
      <c r="M99" s="94">
        <v>18.676803181147235</v>
      </c>
      <c r="N99" s="94">
        <v>18.671149691052708</v>
      </c>
      <c r="O99" s="94">
        <v>25.542323092032444</v>
      </c>
    </row>
    <row r="100" spans="1:15" x14ac:dyDescent="0.25">
      <c r="A100" s="89">
        <v>44610.833333333336</v>
      </c>
      <c r="B100" s="94">
        <v>360.08853863254996</v>
      </c>
      <c r="C100" s="94">
        <v>302.58066499395534</v>
      </c>
      <c r="D100" s="94">
        <v>88.905415976311005</v>
      </c>
      <c r="E100" s="94">
        <v>6.8317152822087612</v>
      </c>
      <c r="F100" s="94">
        <v>86.92839313855518</v>
      </c>
      <c r="G100" s="94">
        <v>6.8546160597326624</v>
      </c>
      <c r="H100" s="94">
        <v>80.624652966756543</v>
      </c>
      <c r="I100" s="94">
        <v>15.597296431735334</v>
      </c>
      <c r="J100" s="94">
        <v>21413.751359143964</v>
      </c>
      <c r="K100" s="94">
        <v>4.595021497259987</v>
      </c>
      <c r="L100" s="94">
        <v>18.67550786477085</v>
      </c>
      <c r="M100" s="94">
        <v>18.685225112812809</v>
      </c>
      <c r="N100" s="94">
        <v>18.679576039494808</v>
      </c>
      <c r="O100" s="94">
        <v>25.554249816629635</v>
      </c>
    </row>
    <row r="101" spans="1:15" x14ac:dyDescent="0.25">
      <c r="A101" s="89">
        <v>44611.333333333336</v>
      </c>
      <c r="B101" s="94">
        <v>360.09699339814131</v>
      </c>
      <c r="C101" s="94">
        <v>302.58198502948397</v>
      </c>
      <c r="D101" s="94">
        <v>88.945406004873448</v>
      </c>
      <c r="E101" s="94">
        <v>6.8348801823870025</v>
      </c>
      <c r="F101" s="94">
        <v>86.946363067932609</v>
      </c>
      <c r="G101" s="94">
        <v>6.8571682123316151</v>
      </c>
      <c r="H101" s="94">
        <v>80.66145229610207</v>
      </c>
      <c r="I101" s="94">
        <v>15.604593059566101</v>
      </c>
      <c r="J101" s="94">
        <v>21423.550653300452</v>
      </c>
      <c r="K101" s="94">
        <v>4.5964389948076008</v>
      </c>
      <c r="L101" s="94">
        <v>18.684041203390127</v>
      </c>
      <c r="M101" s="94">
        <v>18.693647044478386</v>
      </c>
      <c r="N101" s="94">
        <v>18.688002387936908</v>
      </c>
      <c r="O101" s="94">
        <v>25.566176541226827</v>
      </c>
    </row>
    <row r="102" spans="1:15" x14ac:dyDescent="0.25">
      <c r="A102" s="89">
        <v>44611.833333333336</v>
      </c>
      <c r="B102" s="94">
        <v>360.10544816373272</v>
      </c>
      <c r="C102" s="94">
        <v>302.58330506501261</v>
      </c>
      <c r="D102" s="94">
        <v>88.985396033435876</v>
      </c>
      <c r="E102" s="94">
        <v>6.8380450825652446</v>
      </c>
      <c r="F102" s="94">
        <v>86.964332997310038</v>
      </c>
      <c r="G102" s="94">
        <v>6.8597203649305669</v>
      </c>
      <c r="H102" s="94">
        <v>80.698251625447583</v>
      </c>
      <c r="I102" s="94">
        <v>15.611889687396868</v>
      </c>
      <c r="J102" s="94">
        <v>21433.34994745694</v>
      </c>
      <c r="K102" s="94">
        <v>4.5978564923552137</v>
      </c>
      <c r="L102" s="94">
        <v>18.692574542009407</v>
      </c>
      <c r="M102" s="94">
        <v>18.702068976143963</v>
      </c>
      <c r="N102" s="94">
        <v>18.696428736379008</v>
      </c>
      <c r="O102" s="94">
        <v>25.578103265824019</v>
      </c>
    </row>
    <row r="103" spans="1:15" x14ac:dyDescent="0.25">
      <c r="A103" s="89">
        <v>44612.333333333336</v>
      </c>
      <c r="B103" s="94">
        <v>360.11390292932407</v>
      </c>
      <c r="C103" s="94">
        <v>302.58462510054125</v>
      </c>
      <c r="D103" s="94">
        <v>89.025386061998304</v>
      </c>
      <c r="E103" s="94">
        <v>6.8412099827434867</v>
      </c>
      <c r="F103" s="94">
        <v>86.982302926687453</v>
      </c>
      <c r="G103" s="94">
        <v>6.8622725175295187</v>
      </c>
      <c r="H103" s="94">
        <v>80.735050954793095</v>
      </c>
      <c r="I103" s="94">
        <v>15.619186315227635</v>
      </c>
      <c r="J103" s="94">
        <v>21443.149241613424</v>
      </c>
      <c r="K103" s="94">
        <v>4.5992739899028265</v>
      </c>
      <c r="L103" s="94">
        <v>18.701107880628683</v>
      </c>
      <c r="M103" s="94">
        <v>18.71049090780954</v>
      </c>
      <c r="N103" s="94">
        <v>18.704855084821109</v>
      </c>
      <c r="O103" s="94">
        <v>25.590029990421211</v>
      </c>
    </row>
    <row r="104" spans="1:15" x14ac:dyDescent="0.25">
      <c r="A104" s="89">
        <v>44612.833333333336</v>
      </c>
      <c r="B104" s="94">
        <v>360.12235769491542</v>
      </c>
      <c r="C104" s="94">
        <v>302.58594513606988</v>
      </c>
      <c r="D104" s="94">
        <v>89.065376090560733</v>
      </c>
      <c r="E104" s="94">
        <v>6.8443748829217279</v>
      </c>
      <c r="F104" s="94">
        <v>87.000272856064868</v>
      </c>
      <c r="G104" s="94">
        <v>6.8648246701284714</v>
      </c>
      <c r="H104" s="94">
        <v>80.771850284138608</v>
      </c>
      <c r="I104" s="94">
        <v>15.626482943058399</v>
      </c>
      <c r="J104" s="94">
        <v>21452.948535769912</v>
      </c>
      <c r="K104" s="94">
        <v>4.6006914874504403</v>
      </c>
      <c r="L104" s="94">
        <v>18.709641219247963</v>
      </c>
      <c r="M104" s="94">
        <v>18.718912839475117</v>
      </c>
      <c r="N104" s="94">
        <v>18.713281433263209</v>
      </c>
      <c r="O104" s="94">
        <v>25.601956715018403</v>
      </c>
    </row>
    <row r="105" spans="1:15" x14ac:dyDescent="0.25">
      <c r="A105" s="89">
        <v>44613.333333333336</v>
      </c>
      <c r="B105" s="94">
        <v>360.13081246050677</v>
      </c>
      <c r="C105" s="94">
        <v>302.58726517159852</v>
      </c>
      <c r="D105" s="94">
        <v>89.105366119123161</v>
      </c>
      <c r="E105" s="94">
        <v>6.8475397830999691</v>
      </c>
      <c r="F105" s="94">
        <v>87.018242785442311</v>
      </c>
      <c r="G105" s="94">
        <v>6.8673768227274232</v>
      </c>
      <c r="H105" s="94">
        <v>80.808649613484121</v>
      </c>
      <c r="I105" s="94">
        <v>15.633779570889166</v>
      </c>
      <c r="J105" s="94">
        <v>21462.7478299264</v>
      </c>
      <c r="K105" s="94">
        <v>4.6021089849980523</v>
      </c>
      <c r="L105" s="94">
        <v>18.718174557867243</v>
      </c>
      <c r="M105" s="94">
        <v>18.727334771140693</v>
      </c>
      <c r="N105" s="94">
        <v>18.721707781705309</v>
      </c>
      <c r="O105" s="94">
        <v>25.613883439615595</v>
      </c>
    </row>
    <row r="106" spans="1:15" x14ac:dyDescent="0.25">
      <c r="A106" s="89">
        <v>44613.833333333336</v>
      </c>
      <c r="B106" s="94">
        <v>360.13926722609818</v>
      </c>
      <c r="C106" s="94">
        <v>302.58858520712715</v>
      </c>
      <c r="D106" s="94">
        <v>89.14535614768559</v>
      </c>
      <c r="E106" s="94">
        <v>6.8507046832782112</v>
      </c>
      <c r="F106" s="94">
        <v>87.036212714819726</v>
      </c>
      <c r="G106" s="94">
        <v>6.8699289753263759</v>
      </c>
      <c r="H106" s="94">
        <v>80.845448942829648</v>
      </c>
      <c r="I106" s="94">
        <v>15.641076198719933</v>
      </c>
      <c r="J106" s="94">
        <v>21472.547124082888</v>
      </c>
      <c r="K106" s="94">
        <v>4.6035264825456661</v>
      </c>
      <c r="L106" s="94">
        <v>18.72670789648652</v>
      </c>
      <c r="M106" s="94">
        <v>18.73575670280627</v>
      </c>
      <c r="N106" s="94">
        <v>18.730134130147409</v>
      </c>
      <c r="O106" s="94">
        <v>25.62581016421279</v>
      </c>
    </row>
    <row r="107" spans="1:15" x14ac:dyDescent="0.25">
      <c r="A107" s="89">
        <v>44614.333333333336</v>
      </c>
      <c r="B107" s="94">
        <v>360.14772199168954</v>
      </c>
      <c r="C107" s="94">
        <v>302.58990524265579</v>
      </c>
      <c r="D107" s="94">
        <v>89.185346176248018</v>
      </c>
      <c r="E107" s="94">
        <v>6.8538695834564534</v>
      </c>
      <c r="F107" s="94">
        <v>87.054182644197141</v>
      </c>
      <c r="G107" s="94">
        <v>6.8724811279253277</v>
      </c>
      <c r="H107" s="94">
        <v>80.882248272175161</v>
      </c>
      <c r="I107" s="94">
        <v>15.648372826550698</v>
      </c>
      <c r="J107" s="94">
        <v>21482.346418239373</v>
      </c>
      <c r="K107" s="94">
        <v>4.604943980093279</v>
      </c>
      <c r="L107" s="94">
        <v>18.735241235105796</v>
      </c>
      <c r="M107" s="94">
        <v>18.744178634471844</v>
      </c>
      <c r="N107" s="94">
        <v>18.738560478589509</v>
      </c>
      <c r="O107" s="94">
        <v>25.637736888809979</v>
      </c>
    </row>
    <row r="108" spans="1:15" x14ac:dyDescent="0.25">
      <c r="A108" s="89">
        <v>44614.833333333336</v>
      </c>
      <c r="B108" s="94">
        <v>360.15617675728089</v>
      </c>
      <c r="C108" s="94">
        <v>302.59122527818442</v>
      </c>
      <c r="D108" s="94">
        <v>89.225336204810446</v>
      </c>
      <c r="E108" s="94">
        <v>6.8570344836346946</v>
      </c>
      <c r="F108" s="94">
        <v>87.07215257357457</v>
      </c>
      <c r="G108" s="94">
        <v>6.8750332805242795</v>
      </c>
      <c r="H108" s="94">
        <v>80.919047601520674</v>
      </c>
      <c r="I108" s="94">
        <v>15.655669454381464</v>
      </c>
      <c r="J108" s="94">
        <v>21492.145712395861</v>
      </c>
      <c r="K108" s="94">
        <v>4.6063614776408919</v>
      </c>
      <c r="L108" s="94">
        <v>18.743774573725076</v>
      </c>
      <c r="M108" s="94">
        <v>18.752600566137424</v>
      </c>
      <c r="N108" s="94">
        <v>18.746986827031609</v>
      </c>
      <c r="O108" s="94">
        <v>25.649663613407174</v>
      </c>
    </row>
    <row r="109" spans="1:15" x14ac:dyDescent="0.25">
      <c r="A109" s="89">
        <v>44615.333333333336</v>
      </c>
      <c r="B109" s="94">
        <v>360.16463152287224</v>
      </c>
      <c r="C109" s="94">
        <v>302.59254531371306</v>
      </c>
      <c r="D109" s="94">
        <v>89.265326233372875</v>
      </c>
      <c r="E109" s="94">
        <v>6.8601993838129358</v>
      </c>
      <c r="F109" s="94">
        <v>87.090122502951999</v>
      </c>
      <c r="G109" s="94">
        <v>6.8775854331232322</v>
      </c>
      <c r="H109" s="94">
        <v>80.955846930866187</v>
      </c>
      <c r="I109" s="94">
        <v>15.662966082212231</v>
      </c>
      <c r="J109" s="94">
        <v>21501.945006552349</v>
      </c>
      <c r="K109" s="94">
        <v>4.6077789751885057</v>
      </c>
      <c r="L109" s="94">
        <v>18.752307912344357</v>
      </c>
      <c r="M109" s="94">
        <v>18.761022497803001</v>
      </c>
      <c r="N109" s="94">
        <v>18.755413175473709</v>
      </c>
      <c r="O109" s="94">
        <v>25.661590338004366</v>
      </c>
    </row>
    <row r="110" spans="1:15" x14ac:dyDescent="0.25">
      <c r="A110" s="89">
        <v>44615.833333333336</v>
      </c>
      <c r="B110" s="94">
        <v>360.17308628846365</v>
      </c>
      <c r="C110" s="94">
        <v>302.5938653492417</v>
      </c>
      <c r="D110" s="94">
        <v>89.305316261935303</v>
      </c>
      <c r="E110" s="94">
        <v>6.8633642839911788</v>
      </c>
      <c r="F110" s="94">
        <v>87.108092432329414</v>
      </c>
      <c r="G110" s="94">
        <v>6.880137585722184</v>
      </c>
      <c r="H110" s="94">
        <v>80.9926462602117</v>
      </c>
      <c r="I110" s="94">
        <v>15.670262710042996</v>
      </c>
      <c r="J110" s="94">
        <v>21511.744300708837</v>
      </c>
      <c r="K110" s="94">
        <v>4.6091964727361177</v>
      </c>
      <c r="L110" s="94">
        <v>18.760841250963633</v>
      </c>
      <c r="M110" s="94">
        <v>18.769444429468574</v>
      </c>
      <c r="N110" s="94">
        <v>18.763839523915809</v>
      </c>
      <c r="O110" s="94">
        <v>25.673517062601558</v>
      </c>
    </row>
    <row r="111" spans="1:15" x14ac:dyDescent="0.25">
      <c r="A111" s="89">
        <v>44616.333333333336</v>
      </c>
      <c r="B111" s="94">
        <v>360.181541054055</v>
      </c>
      <c r="C111" s="94">
        <v>302.59518538477028</v>
      </c>
      <c r="D111" s="94">
        <v>89.345306290497732</v>
      </c>
      <c r="E111" s="94">
        <v>6.86652918416942</v>
      </c>
      <c r="F111" s="94">
        <v>87.126062361706843</v>
      </c>
      <c r="G111" s="94">
        <v>6.8826897383211367</v>
      </c>
      <c r="H111" s="94">
        <v>81.029445589557227</v>
      </c>
      <c r="I111" s="94">
        <v>15.677559337873763</v>
      </c>
      <c r="J111" s="94">
        <v>21521.543594865325</v>
      </c>
      <c r="K111" s="94">
        <v>4.6106139702837314</v>
      </c>
      <c r="L111" s="94">
        <v>18.769374589582913</v>
      </c>
      <c r="M111" s="94">
        <v>18.777866361134151</v>
      </c>
      <c r="N111" s="94">
        <v>18.772265872357909</v>
      </c>
      <c r="O111" s="94">
        <v>25.68544378719875</v>
      </c>
    </row>
    <row r="112" spans="1:15" x14ac:dyDescent="0.25">
      <c r="A112" s="89">
        <v>44616.833333333336</v>
      </c>
      <c r="B112" s="94">
        <v>360.18999581964636</v>
      </c>
      <c r="C112" s="94">
        <v>302.59650542029891</v>
      </c>
      <c r="D112" s="94">
        <v>89.38529631906016</v>
      </c>
      <c r="E112" s="94">
        <v>6.8696940843476613</v>
      </c>
      <c r="F112" s="94">
        <v>87.144032291084272</v>
      </c>
      <c r="G112" s="94">
        <v>6.8852418909200894</v>
      </c>
      <c r="H112" s="94">
        <v>81.06624491890274</v>
      </c>
      <c r="I112" s="94">
        <v>15.684855965704529</v>
      </c>
      <c r="J112" s="94">
        <v>21531.342889021809</v>
      </c>
      <c r="K112" s="94">
        <v>4.6120314678313443</v>
      </c>
      <c r="L112" s="94">
        <v>18.777907928202193</v>
      </c>
      <c r="M112" s="94">
        <v>18.786288292799728</v>
      </c>
      <c r="N112" s="94">
        <v>18.78069222080001</v>
      </c>
      <c r="O112" s="94">
        <v>25.697370511795938</v>
      </c>
    </row>
    <row r="113" spans="1:15" x14ac:dyDescent="0.25">
      <c r="A113" s="89">
        <v>44617.333333333336</v>
      </c>
      <c r="B113" s="94">
        <v>360.19845058523771</v>
      </c>
      <c r="C113" s="94">
        <v>302.59782545582755</v>
      </c>
      <c r="D113" s="94">
        <v>89.425286347622588</v>
      </c>
      <c r="E113" s="94">
        <v>6.8728589845259034</v>
      </c>
      <c r="F113" s="94">
        <v>87.162002220461687</v>
      </c>
      <c r="G113" s="94">
        <v>6.8877940435190403</v>
      </c>
      <c r="H113" s="94">
        <v>81.103044248248253</v>
      </c>
      <c r="I113" s="94">
        <v>15.692152593535296</v>
      </c>
      <c r="J113" s="94">
        <v>21541.142183178297</v>
      </c>
      <c r="K113" s="94">
        <v>4.6134489653789572</v>
      </c>
      <c r="L113" s="94">
        <v>18.78644126682147</v>
      </c>
      <c r="M113" s="94">
        <v>18.794710224465305</v>
      </c>
      <c r="N113" s="94">
        <v>18.78911856924211</v>
      </c>
      <c r="O113" s="94">
        <v>25.709297236393134</v>
      </c>
    </row>
    <row r="114" spans="1:15" x14ac:dyDescent="0.25">
      <c r="A114" s="89">
        <v>44617.833333333336</v>
      </c>
      <c r="B114" s="94">
        <v>360.20690535082912</v>
      </c>
      <c r="C114" s="94">
        <v>302.59914549135618</v>
      </c>
      <c r="D114" s="94">
        <v>89.465276376185031</v>
      </c>
      <c r="E114" s="94">
        <v>6.8760238847041446</v>
      </c>
      <c r="F114" s="94">
        <v>87.179972149839116</v>
      </c>
      <c r="G114" s="94">
        <v>6.890346196117993</v>
      </c>
      <c r="H114" s="94">
        <v>81.139843577593766</v>
      </c>
      <c r="I114" s="94">
        <v>15.699449221366061</v>
      </c>
      <c r="J114" s="94">
        <v>21550.941477334785</v>
      </c>
      <c r="K114" s="94">
        <v>4.614866462926571</v>
      </c>
      <c r="L114" s="94">
        <v>18.794974605440746</v>
      </c>
      <c r="M114" s="94">
        <v>18.803132156130882</v>
      </c>
      <c r="N114" s="94">
        <v>18.79754491768421</v>
      </c>
      <c r="O114" s="94">
        <v>25.721223960990326</v>
      </c>
    </row>
    <row r="115" spans="1:15" x14ac:dyDescent="0.25">
      <c r="A115" s="89">
        <v>44618.333333333336</v>
      </c>
      <c r="B115" s="94">
        <v>360.21536011642047</v>
      </c>
      <c r="C115" s="94">
        <v>302.60046552688482</v>
      </c>
      <c r="D115" s="94">
        <v>89.505266404747445</v>
      </c>
      <c r="E115" s="94">
        <v>6.8791887848823867</v>
      </c>
      <c r="F115" s="94">
        <v>87.197942079216546</v>
      </c>
      <c r="G115" s="94">
        <v>6.8928983487169457</v>
      </c>
      <c r="H115" s="94">
        <v>81.176642906939279</v>
      </c>
      <c r="I115" s="94">
        <v>15.706745849196828</v>
      </c>
      <c r="J115" s="94">
        <v>21560.740771491273</v>
      </c>
      <c r="K115" s="94">
        <v>4.616283960474183</v>
      </c>
      <c r="L115" s="94">
        <v>18.803507944060026</v>
      </c>
      <c r="M115" s="94">
        <v>18.811554087796459</v>
      </c>
      <c r="N115" s="94">
        <v>18.80597126612631</v>
      </c>
      <c r="O115" s="94">
        <v>25.733150685587518</v>
      </c>
    </row>
    <row r="116" spans="1:15" x14ac:dyDescent="0.25">
      <c r="A116" s="89">
        <v>44618.833333333336</v>
      </c>
      <c r="B116" s="94">
        <v>360.22381488201182</v>
      </c>
      <c r="C116" s="94">
        <v>302.60178556241345</v>
      </c>
      <c r="D116" s="94">
        <v>89.545256433309874</v>
      </c>
      <c r="E116" s="94">
        <v>6.8823536850606288</v>
      </c>
      <c r="F116" s="94">
        <v>87.215912008593961</v>
      </c>
      <c r="G116" s="94">
        <v>6.8954505013158975</v>
      </c>
      <c r="H116" s="94">
        <v>81.213442236284806</v>
      </c>
      <c r="I116" s="94">
        <v>15.714042477027593</v>
      </c>
      <c r="J116" s="94">
        <v>21570.540065647758</v>
      </c>
      <c r="K116" s="94">
        <v>4.6177014580217968</v>
      </c>
      <c r="L116" s="94">
        <v>18.812041282679306</v>
      </c>
      <c r="M116" s="94">
        <v>18.819976019462036</v>
      </c>
      <c r="N116" s="94">
        <v>18.81439761456841</v>
      </c>
      <c r="O116" s="94">
        <v>25.74507741018471</v>
      </c>
    </row>
    <row r="117" spans="1:15" x14ac:dyDescent="0.25">
      <c r="A117" s="89">
        <v>44619.333333333336</v>
      </c>
      <c r="B117" s="94">
        <v>360.23226964760318</v>
      </c>
      <c r="C117" s="94">
        <v>302.60310559794209</v>
      </c>
      <c r="D117" s="94">
        <v>89.585246461872316</v>
      </c>
      <c r="E117" s="94">
        <v>6.8855185852388701</v>
      </c>
      <c r="F117" s="94">
        <v>87.233881937971375</v>
      </c>
      <c r="G117" s="94">
        <v>6.8980026539148502</v>
      </c>
      <c r="H117" s="94">
        <v>81.250241565630319</v>
      </c>
      <c r="I117" s="94">
        <v>15.721339104858359</v>
      </c>
      <c r="J117" s="94">
        <v>21580.339359804246</v>
      </c>
      <c r="K117" s="94">
        <v>4.6191189555694097</v>
      </c>
      <c r="L117" s="94">
        <v>18.820574621298583</v>
      </c>
      <c r="M117" s="94">
        <v>18.828397951127609</v>
      </c>
      <c r="N117" s="94">
        <v>18.82282396301051</v>
      </c>
      <c r="O117" s="94">
        <v>25.757004134781901</v>
      </c>
    </row>
    <row r="118" spans="1:15" x14ac:dyDescent="0.25">
      <c r="A118" s="89">
        <v>44619.833333333336</v>
      </c>
      <c r="B118" s="94">
        <v>360.24072441319458</v>
      </c>
      <c r="C118" s="94">
        <v>302.60442563347073</v>
      </c>
      <c r="D118" s="94">
        <v>89.62523649043473</v>
      </c>
      <c r="E118" s="94">
        <v>6.8886834854171113</v>
      </c>
      <c r="F118" s="94">
        <v>87.251851867348819</v>
      </c>
      <c r="G118" s="94">
        <v>6.900554806513802</v>
      </c>
      <c r="H118" s="94">
        <v>81.287040894975831</v>
      </c>
      <c r="I118" s="94">
        <v>15.728635732689126</v>
      </c>
      <c r="J118" s="94">
        <v>21590.138653960737</v>
      </c>
      <c r="K118" s="94">
        <v>4.6205364531170225</v>
      </c>
      <c r="L118" s="94">
        <v>18.829107959917863</v>
      </c>
      <c r="M118" s="94">
        <v>18.836819882793186</v>
      </c>
      <c r="N118" s="94">
        <v>18.83125031145261</v>
      </c>
      <c r="O118" s="94">
        <v>25.768930859379093</v>
      </c>
    </row>
    <row r="119" spans="1:15" x14ac:dyDescent="0.25">
      <c r="A119" s="89">
        <v>44620.333333333336</v>
      </c>
      <c r="B119" s="94">
        <v>360.24917917878594</v>
      </c>
      <c r="C119" s="94">
        <v>302.60574566899936</v>
      </c>
      <c r="D119" s="94">
        <v>89.665226518997173</v>
      </c>
      <c r="E119" s="94">
        <v>6.8918483855953543</v>
      </c>
      <c r="F119" s="94">
        <v>87.269821796726234</v>
      </c>
      <c r="G119" s="94">
        <v>6.9031069591127538</v>
      </c>
      <c r="H119" s="94">
        <v>81.323840224321344</v>
      </c>
      <c r="I119" s="94">
        <v>15.735932360519893</v>
      </c>
      <c r="J119" s="94">
        <v>21599.937948117222</v>
      </c>
      <c r="K119" s="94">
        <v>4.6219539506646363</v>
      </c>
      <c r="L119" s="94">
        <v>18.83764129853714</v>
      </c>
      <c r="M119" s="94">
        <v>18.845241814458763</v>
      </c>
      <c r="N119" s="94">
        <v>18.83967665989471</v>
      </c>
      <c r="O119" s="94">
        <v>25.780857583976285</v>
      </c>
    </row>
    <row r="120" spans="1:15" x14ac:dyDescent="0.25">
      <c r="A120" s="89">
        <v>44620.833333333336</v>
      </c>
      <c r="B120" s="94">
        <v>360.25763394437729</v>
      </c>
      <c r="C120" s="94">
        <v>302.607065704528</v>
      </c>
      <c r="D120" s="94">
        <v>89.705216547559601</v>
      </c>
      <c r="E120" s="94">
        <v>6.8950132857735955</v>
      </c>
      <c r="F120" s="94">
        <v>87.287791726103649</v>
      </c>
      <c r="G120" s="94">
        <v>6.9056591117117065</v>
      </c>
      <c r="H120" s="94">
        <v>81.360639553666857</v>
      </c>
      <c r="I120" s="94">
        <v>15.743228988350658</v>
      </c>
      <c r="J120" s="94">
        <v>21609.73724227371</v>
      </c>
      <c r="K120" s="94">
        <v>4.6233714482122492</v>
      </c>
      <c r="L120" s="94">
        <v>18.84617463715642</v>
      </c>
      <c r="M120" s="94">
        <v>18.85366374612434</v>
      </c>
      <c r="N120" s="94">
        <v>18.84810300833681</v>
      </c>
      <c r="O120" s="94">
        <v>25.792784308573477</v>
      </c>
    </row>
    <row r="121" spans="1:15" x14ac:dyDescent="0.25">
      <c r="A121" s="89">
        <v>44621.333333333336</v>
      </c>
      <c r="B121" s="94">
        <v>360.26608870996864</v>
      </c>
      <c r="C121" s="94">
        <v>302.60838574005663</v>
      </c>
      <c r="D121" s="94">
        <v>89.74520657612203</v>
      </c>
      <c r="E121" s="94">
        <v>6.8981781859518367</v>
      </c>
      <c r="F121" s="94">
        <v>87.305761655481078</v>
      </c>
      <c r="G121" s="94">
        <v>6.9082112643106584</v>
      </c>
      <c r="H121" s="94">
        <v>81.397438883012384</v>
      </c>
      <c r="I121" s="94">
        <v>15.750525616181424</v>
      </c>
      <c r="J121" s="94">
        <v>21619.536536430194</v>
      </c>
      <c r="K121" s="94">
        <v>4.6247889457598621</v>
      </c>
      <c r="L121" s="94">
        <v>18.854707975775696</v>
      </c>
      <c r="M121" s="94">
        <v>18.862085677789917</v>
      </c>
      <c r="N121" s="94">
        <v>18.856529356778911</v>
      </c>
      <c r="O121" s="94">
        <v>25.804711033170673</v>
      </c>
    </row>
    <row r="122" spans="1:15" x14ac:dyDescent="0.25">
      <c r="A122" s="89">
        <v>44621.833333333336</v>
      </c>
      <c r="B122" s="94">
        <v>360.27454347556005</v>
      </c>
      <c r="C122" s="94">
        <v>302.60970577558527</v>
      </c>
      <c r="D122" s="94">
        <v>89.785196604684458</v>
      </c>
      <c r="E122" s="94">
        <v>6.9013430861300789</v>
      </c>
      <c r="F122" s="94">
        <v>87.323731584858507</v>
      </c>
      <c r="G122" s="94">
        <v>6.910763416909611</v>
      </c>
      <c r="H122" s="94">
        <v>81.434238212357897</v>
      </c>
      <c r="I122" s="94">
        <v>15.757822244012191</v>
      </c>
      <c r="J122" s="94">
        <v>21629.335830586686</v>
      </c>
      <c r="K122" s="94">
        <v>4.6262064433074759</v>
      </c>
      <c r="L122" s="94">
        <v>18.863241314394976</v>
      </c>
      <c r="M122" s="94">
        <v>18.870507609455494</v>
      </c>
      <c r="N122" s="94">
        <v>18.864955705221011</v>
      </c>
      <c r="O122" s="94">
        <v>25.816637757767861</v>
      </c>
    </row>
    <row r="123" spans="1:15" x14ac:dyDescent="0.25">
      <c r="A123" s="89">
        <v>44622.333333333336</v>
      </c>
      <c r="B123" s="94">
        <v>360.2829982411514</v>
      </c>
      <c r="C123" s="94">
        <v>302.6110258111139</v>
      </c>
      <c r="D123" s="94">
        <v>89.825186633246886</v>
      </c>
      <c r="E123" s="94">
        <v>6.904507986308321</v>
      </c>
      <c r="F123" s="94">
        <v>87.341701514235922</v>
      </c>
      <c r="G123" s="94">
        <v>6.9133155695085637</v>
      </c>
      <c r="H123" s="94">
        <v>81.47103754170341</v>
      </c>
      <c r="I123" s="94">
        <v>15.765118871842958</v>
      </c>
      <c r="J123" s="94">
        <v>21639.13512474317</v>
      </c>
      <c r="K123" s="94">
        <v>4.6276239408550879</v>
      </c>
      <c r="L123" s="94">
        <v>18.871774653014256</v>
      </c>
      <c r="M123" s="94">
        <v>18.878929541121067</v>
      </c>
      <c r="N123" s="94">
        <v>18.873382053663111</v>
      </c>
      <c r="O123" s="94">
        <v>25.828564482365053</v>
      </c>
    </row>
    <row r="124" spans="1:15" x14ac:dyDescent="0.25">
      <c r="A124" s="89">
        <v>44622.833333333336</v>
      </c>
      <c r="B124" s="94">
        <v>360.29145300674276</v>
      </c>
      <c r="C124" s="94">
        <v>302.61234584664254</v>
      </c>
      <c r="D124" s="94">
        <v>89.865176661809315</v>
      </c>
      <c r="E124" s="94">
        <v>6.9076728864865622</v>
      </c>
      <c r="F124" s="94">
        <v>87.359671443613351</v>
      </c>
      <c r="G124" s="94">
        <v>6.9158677221075147</v>
      </c>
      <c r="H124" s="94">
        <v>81.507836871048923</v>
      </c>
      <c r="I124" s="94">
        <v>15.772415499673723</v>
      </c>
      <c r="J124" s="94">
        <v>21648.934418899658</v>
      </c>
      <c r="K124" s="94">
        <v>4.6290414384027017</v>
      </c>
      <c r="L124" s="94">
        <v>18.880307991633533</v>
      </c>
      <c r="M124" s="94">
        <v>18.887351472786648</v>
      </c>
      <c r="N124" s="94">
        <v>18.881808402105214</v>
      </c>
      <c r="O124" s="94">
        <v>25.840491206962248</v>
      </c>
    </row>
    <row r="125" spans="1:15" x14ac:dyDescent="0.25">
      <c r="A125" s="89">
        <v>44623.333333333336</v>
      </c>
      <c r="B125" s="94">
        <v>360.29990777233411</v>
      </c>
      <c r="C125" s="94">
        <v>302.61366588217112</v>
      </c>
      <c r="D125" s="94">
        <v>89.905166690371743</v>
      </c>
      <c r="E125" s="94">
        <v>6.9108377866648043</v>
      </c>
      <c r="F125" s="94">
        <v>87.37764137299078</v>
      </c>
      <c r="G125" s="94">
        <v>6.9184198747064674</v>
      </c>
      <c r="H125" s="94">
        <v>81.544636200394436</v>
      </c>
      <c r="I125" s="94">
        <v>15.779712127504489</v>
      </c>
      <c r="J125" s="94">
        <v>21658.733713056143</v>
      </c>
      <c r="K125" s="94">
        <v>4.6304589359503145</v>
      </c>
      <c r="L125" s="94">
        <v>18.888841330252813</v>
      </c>
      <c r="M125" s="94">
        <v>18.895773404452225</v>
      </c>
      <c r="N125" s="94">
        <v>18.890234750547314</v>
      </c>
      <c r="O125" s="94">
        <v>25.852417931559437</v>
      </c>
    </row>
    <row r="126" spans="1:15" x14ac:dyDescent="0.25">
      <c r="A126" s="89">
        <v>44623.833333333336</v>
      </c>
      <c r="B126" s="94">
        <v>360.30836253792552</v>
      </c>
      <c r="C126" s="94">
        <v>302.61498591769976</v>
      </c>
      <c r="D126" s="94">
        <v>89.945156718934172</v>
      </c>
      <c r="E126" s="94">
        <v>6.9140026868430455</v>
      </c>
      <c r="F126" s="94">
        <v>87.395611302368195</v>
      </c>
      <c r="G126" s="94">
        <v>6.92097202730542</v>
      </c>
      <c r="H126" s="94">
        <v>81.581435529739963</v>
      </c>
      <c r="I126" s="94">
        <v>15.787008755335256</v>
      </c>
      <c r="J126" s="94">
        <v>21668.533007212634</v>
      </c>
      <c r="K126" s="94">
        <v>4.6318764334979274</v>
      </c>
      <c r="L126" s="94">
        <v>18.897374668872089</v>
      </c>
      <c r="M126" s="94">
        <v>18.904195336117798</v>
      </c>
      <c r="N126" s="94">
        <v>18.898661098989415</v>
      </c>
      <c r="O126" s="94">
        <v>25.864344656156632</v>
      </c>
    </row>
    <row r="127" spans="1:15" x14ac:dyDescent="0.25">
      <c r="A127" s="89">
        <v>44624.333333333336</v>
      </c>
      <c r="B127" s="94">
        <v>360.31681730351687</v>
      </c>
      <c r="C127" s="94">
        <v>302.61630595322839</v>
      </c>
      <c r="D127" s="94">
        <v>89.9851467474966</v>
      </c>
      <c r="E127" s="94">
        <v>6.9171675870212876</v>
      </c>
      <c r="F127" s="94">
        <v>87.41358123174561</v>
      </c>
      <c r="G127" s="94">
        <v>6.9235241799043719</v>
      </c>
      <c r="H127" s="94">
        <v>81.618234859085476</v>
      </c>
      <c r="I127" s="94">
        <v>15.794305383166021</v>
      </c>
      <c r="J127" s="94">
        <v>21678.332301369122</v>
      </c>
      <c r="K127" s="94">
        <v>4.6332939310455403</v>
      </c>
      <c r="L127" s="94">
        <v>18.905908007491369</v>
      </c>
      <c r="M127" s="94">
        <v>18.912617267783375</v>
      </c>
      <c r="N127" s="94">
        <v>18.907087447431515</v>
      </c>
      <c r="O127" s="94">
        <v>25.87627138075382</v>
      </c>
    </row>
    <row r="128" spans="1:15" x14ac:dyDescent="0.25">
      <c r="A128" s="89">
        <v>44624.833333333336</v>
      </c>
      <c r="B128" s="94">
        <v>360.32527206910822</v>
      </c>
      <c r="C128" s="94">
        <v>302.61762598875703</v>
      </c>
      <c r="D128" s="94">
        <v>90.025136776059028</v>
      </c>
      <c r="E128" s="94">
        <v>6.9203324871995289</v>
      </c>
      <c r="F128" s="94">
        <v>87.431551161123053</v>
      </c>
      <c r="G128" s="94">
        <v>6.9260763325033246</v>
      </c>
      <c r="H128" s="94">
        <v>81.655034188430989</v>
      </c>
      <c r="I128" s="94">
        <v>15.801602010996788</v>
      </c>
      <c r="J128" s="94">
        <v>21688.131595525607</v>
      </c>
      <c r="K128" s="94">
        <v>4.6347114285931532</v>
      </c>
      <c r="L128" s="94">
        <v>18.914441346110646</v>
      </c>
      <c r="M128" s="94">
        <v>18.921039199448952</v>
      </c>
      <c r="N128" s="94">
        <v>18.915513795873615</v>
      </c>
      <c r="O128" s="94">
        <v>25.888198105351016</v>
      </c>
    </row>
    <row r="129" spans="1:15" x14ac:dyDescent="0.25">
      <c r="A129" s="89">
        <v>44625.333333333336</v>
      </c>
      <c r="B129" s="94">
        <v>360.33372683469958</v>
      </c>
      <c r="C129" s="94">
        <v>302.61894602428566</v>
      </c>
      <c r="D129" s="94">
        <v>90.065126804621457</v>
      </c>
      <c r="E129" s="94">
        <v>6.923497387377771</v>
      </c>
      <c r="F129" s="94">
        <v>87.449521090500468</v>
      </c>
      <c r="G129" s="94">
        <v>6.9286284851022764</v>
      </c>
      <c r="H129" s="94">
        <v>81.691833517776502</v>
      </c>
      <c r="I129" s="94">
        <v>15.808898638827554</v>
      </c>
      <c r="J129" s="94">
        <v>21697.930889682095</v>
      </c>
      <c r="K129" s="94">
        <v>4.636128926140767</v>
      </c>
      <c r="L129" s="94">
        <v>18.922974684729926</v>
      </c>
      <c r="M129" s="94">
        <v>18.929461131114529</v>
      </c>
      <c r="N129" s="94">
        <v>18.923940144315715</v>
      </c>
      <c r="O129" s="94">
        <v>25.900124829948208</v>
      </c>
    </row>
    <row r="130" spans="1:15" x14ac:dyDescent="0.25">
      <c r="A130" s="89">
        <v>44625.833333333336</v>
      </c>
      <c r="B130" s="94">
        <v>360.34218160029098</v>
      </c>
      <c r="C130" s="94">
        <v>302.6202660598143</v>
      </c>
      <c r="D130" s="94">
        <v>90.105116833183885</v>
      </c>
      <c r="E130" s="94">
        <v>6.9266622875560122</v>
      </c>
      <c r="F130" s="94">
        <v>87.467491019877883</v>
      </c>
      <c r="G130" s="94">
        <v>6.9311806377012282</v>
      </c>
      <c r="H130" s="94">
        <v>81.728632847122014</v>
      </c>
      <c r="I130" s="94">
        <v>15.816195266658321</v>
      </c>
      <c r="J130" s="94">
        <v>21707.730183838583</v>
      </c>
      <c r="K130" s="94">
        <v>4.6375464236883799</v>
      </c>
      <c r="L130" s="94">
        <v>18.931508023349203</v>
      </c>
      <c r="M130" s="94">
        <v>18.937883062780106</v>
      </c>
      <c r="N130" s="94">
        <v>18.932366492757815</v>
      </c>
      <c r="O130" s="94">
        <v>25.9120515545454</v>
      </c>
    </row>
    <row r="131" spans="1:15" x14ac:dyDescent="0.25">
      <c r="A131" s="89">
        <v>44626.333333333336</v>
      </c>
      <c r="B131" s="94">
        <v>360.35063636588234</v>
      </c>
      <c r="C131" s="94">
        <v>302.62158609534293</v>
      </c>
      <c r="D131" s="94">
        <v>90.145106861746314</v>
      </c>
      <c r="E131" s="94">
        <v>6.9298271877342543</v>
      </c>
      <c r="F131" s="94">
        <v>87.485460949255327</v>
      </c>
      <c r="G131" s="94">
        <v>6.9337327903001809</v>
      </c>
      <c r="H131" s="94">
        <v>81.765432176467542</v>
      </c>
      <c r="I131" s="94">
        <v>15.823491894489086</v>
      </c>
      <c r="J131" s="94">
        <v>21717.529477995071</v>
      </c>
      <c r="K131" s="94">
        <v>4.6389639212359928</v>
      </c>
      <c r="L131" s="94">
        <v>18.940041361968483</v>
      </c>
      <c r="M131" s="94">
        <v>18.946304994445683</v>
      </c>
      <c r="N131" s="94">
        <v>18.940792841199915</v>
      </c>
      <c r="O131" s="94">
        <v>25.923978279142592</v>
      </c>
    </row>
    <row r="132" spans="1:15" x14ac:dyDescent="0.25">
      <c r="A132" s="89">
        <v>44626.833333333336</v>
      </c>
      <c r="B132" s="94">
        <v>360.35909113147369</v>
      </c>
      <c r="C132" s="94">
        <v>302.62290613087157</v>
      </c>
      <c r="D132" s="94">
        <v>90.185096890308742</v>
      </c>
      <c r="E132" s="94">
        <v>6.9329920879124964</v>
      </c>
      <c r="F132" s="94">
        <v>87.503430878632741</v>
      </c>
      <c r="G132" s="94">
        <v>6.9362849428991327</v>
      </c>
      <c r="H132" s="94">
        <v>81.802231505813054</v>
      </c>
      <c r="I132" s="94">
        <v>15.830788522319853</v>
      </c>
      <c r="J132" s="94">
        <v>21727.328772151555</v>
      </c>
      <c r="K132" s="94">
        <v>4.6403814187836065</v>
      </c>
      <c r="L132" s="94">
        <v>18.948574700587763</v>
      </c>
      <c r="M132" s="94">
        <v>18.95472692611126</v>
      </c>
      <c r="N132" s="94">
        <v>18.949219189642015</v>
      </c>
      <c r="O132" s="94">
        <v>25.935905003739784</v>
      </c>
    </row>
    <row r="133" spans="1:15" x14ac:dyDescent="0.25">
      <c r="A133" s="89">
        <v>44627.333333333336</v>
      </c>
      <c r="B133" s="94">
        <v>360.36754589706504</v>
      </c>
      <c r="C133" s="94">
        <v>302.62422616640021</v>
      </c>
      <c r="D133" s="94">
        <v>90.22508691887117</v>
      </c>
      <c r="E133" s="94">
        <v>6.9361569880907377</v>
      </c>
      <c r="F133" s="94">
        <v>87.521400808010156</v>
      </c>
      <c r="G133" s="94">
        <v>6.9388370954980854</v>
      </c>
      <c r="H133" s="94">
        <v>81.839030835158567</v>
      </c>
      <c r="I133" s="94">
        <v>15.838085150150619</v>
      </c>
      <c r="J133" s="94">
        <v>21737.128066308043</v>
      </c>
      <c r="K133" s="94">
        <v>4.6417989163312185</v>
      </c>
      <c r="L133" s="94">
        <v>18.957108039207039</v>
      </c>
      <c r="M133" s="94">
        <v>18.963148857776833</v>
      </c>
      <c r="N133" s="94">
        <v>18.957645538084115</v>
      </c>
      <c r="O133" s="94">
        <v>25.947831728336975</v>
      </c>
    </row>
    <row r="134" spans="1:15" x14ac:dyDescent="0.25">
      <c r="A134" s="89">
        <v>44627.833333333336</v>
      </c>
      <c r="B134" s="94">
        <v>360.37600066265645</v>
      </c>
      <c r="C134" s="94">
        <v>302.62554620192884</v>
      </c>
      <c r="D134" s="94">
        <v>90.265076947433599</v>
      </c>
      <c r="E134" s="94">
        <v>6.9393218882689789</v>
      </c>
      <c r="F134" s="94">
        <v>87.539370737387586</v>
      </c>
      <c r="G134" s="94">
        <v>6.9413892480970372</v>
      </c>
      <c r="H134" s="94">
        <v>81.87583016450408</v>
      </c>
      <c r="I134" s="94">
        <v>15.845381777981384</v>
      </c>
      <c r="J134" s="94">
        <v>21746.927360464531</v>
      </c>
      <c r="K134" s="94">
        <v>4.6432164138788323</v>
      </c>
      <c r="L134" s="94">
        <v>18.965641377826316</v>
      </c>
      <c r="M134" s="94">
        <v>18.97157078944241</v>
      </c>
      <c r="N134" s="94">
        <v>18.966071886526215</v>
      </c>
      <c r="O134" s="94">
        <v>25.959758452934167</v>
      </c>
    </row>
    <row r="135" spans="1:15" x14ac:dyDescent="0.25">
      <c r="A135" s="89">
        <v>44628.333333333336</v>
      </c>
      <c r="B135" s="94">
        <v>360.3844554282478</v>
      </c>
      <c r="C135" s="94">
        <v>302.62686623745748</v>
      </c>
      <c r="D135" s="94">
        <v>90.305066975996027</v>
      </c>
      <c r="E135" s="94">
        <v>6.9424867884472219</v>
      </c>
      <c r="F135" s="94">
        <v>87.557340666765015</v>
      </c>
      <c r="G135" s="94">
        <v>6.943941400695989</v>
      </c>
      <c r="H135" s="94">
        <v>81.912629493849607</v>
      </c>
      <c r="I135" s="94">
        <v>15.852678405812151</v>
      </c>
      <c r="J135" s="94">
        <v>21756.726654621019</v>
      </c>
      <c r="K135" s="94">
        <v>4.6446339114264452</v>
      </c>
      <c r="L135" s="94">
        <v>18.974174716445596</v>
      </c>
      <c r="M135" s="94">
        <v>18.979992721107987</v>
      </c>
      <c r="N135" s="94">
        <v>18.974498234968316</v>
      </c>
      <c r="O135" s="94">
        <v>25.971685177531359</v>
      </c>
    </row>
    <row r="136" spans="1:15" x14ac:dyDescent="0.25">
      <c r="A136" s="89">
        <v>44628.833333333336</v>
      </c>
      <c r="B136" s="94">
        <v>360.39291019383916</v>
      </c>
      <c r="C136" s="94">
        <v>302.62818627298611</v>
      </c>
      <c r="D136" s="94">
        <v>90.345057004558456</v>
      </c>
      <c r="E136" s="94">
        <v>6.9456516886254631</v>
      </c>
      <c r="F136" s="94">
        <v>87.57531059614243</v>
      </c>
      <c r="G136" s="94">
        <v>6.9464935532949417</v>
      </c>
      <c r="H136" s="94">
        <v>81.94942882319512</v>
      </c>
      <c r="I136" s="94">
        <v>15.859975033642918</v>
      </c>
      <c r="J136" s="94">
        <v>21766.525948777507</v>
      </c>
      <c r="K136" s="94">
        <v>4.6460514089740581</v>
      </c>
      <c r="L136" s="94">
        <v>18.982708055064876</v>
      </c>
      <c r="M136" s="94">
        <v>18.988414652773564</v>
      </c>
      <c r="N136" s="94">
        <v>18.982924583410416</v>
      </c>
      <c r="O136" s="94">
        <v>25.983611902128551</v>
      </c>
    </row>
    <row r="137" spans="1:15" x14ac:dyDescent="0.25">
      <c r="A137" s="89">
        <v>44629.333333333336</v>
      </c>
      <c r="B137" s="94">
        <v>360.40136495943051</v>
      </c>
      <c r="C137" s="94">
        <v>302.62950630851475</v>
      </c>
      <c r="D137" s="94">
        <v>90.385047033120898</v>
      </c>
      <c r="E137" s="94">
        <v>6.9488165888037043</v>
      </c>
      <c r="F137" s="94">
        <v>87.593280525519859</v>
      </c>
      <c r="G137" s="94">
        <v>6.9490457058938935</v>
      </c>
      <c r="H137" s="94">
        <v>81.986228152540633</v>
      </c>
      <c r="I137" s="94">
        <v>15.867271661473684</v>
      </c>
      <c r="J137" s="94">
        <v>21776.325242933992</v>
      </c>
      <c r="K137" s="94">
        <v>4.6474689065216719</v>
      </c>
      <c r="L137" s="94">
        <v>18.991241393684152</v>
      </c>
      <c r="M137" s="94">
        <v>18.996836584439141</v>
      </c>
      <c r="N137" s="94">
        <v>18.991350931852516</v>
      </c>
      <c r="O137" s="94">
        <v>25.995538626725743</v>
      </c>
    </row>
    <row r="138" spans="1:15" x14ac:dyDescent="0.25">
      <c r="A138" s="89">
        <v>44629.833333333336</v>
      </c>
      <c r="B138" s="94">
        <v>360.40981972502192</v>
      </c>
      <c r="C138" s="94">
        <v>302.69110484318088</v>
      </c>
      <c r="D138" s="94">
        <v>90.7</v>
      </c>
      <c r="E138" s="94">
        <v>6.96</v>
      </c>
      <c r="F138" s="94">
        <v>87.4</v>
      </c>
      <c r="G138" s="94">
        <v>6.9647998046875008</v>
      </c>
      <c r="H138" s="94">
        <v>81.354446176835907</v>
      </c>
      <c r="I138" s="94">
        <v>15.862108190091</v>
      </c>
      <c r="J138" s="94">
        <v>22510</v>
      </c>
      <c r="K138" s="94">
        <v>4.7018276376449037</v>
      </c>
      <c r="L138" s="94">
        <v>18.999774732303433</v>
      </c>
      <c r="M138" s="94">
        <v>20</v>
      </c>
      <c r="N138" s="94">
        <v>18.999777280294616</v>
      </c>
      <c r="O138" s="94">
        <v>26.381762414576624</v>
      </c>
    </row>
    <row r="139" spans="1:15" x14ac:dyDescent="0.25">
      <c r="A139" s="89">
        <v>44630.333333333336</v>
      </c>
      <c r="B139" s="94">
        <v>360.7</v>
      </c>
      <c r="C139" s="94">
        <v>302.7</v>
      </c>
      <c r="D139" s="94">
        <v>90.391674013491041</v>
      </c>
      <c r="E139" s="94">
        <v>7.0150693159411492</v>
      </c>
      <c r="F139" s="94">
        <v>87.878998263078486</v>
      </c>
      <c r="G139" s="94">
        <v>6.9950830456852797</v>
      </c>
      <c r="H139" s="94">
        <v>81.861039862235586</v>
      </c>
      <c r="I139" s="94">
        <v>15.89</v>
      </c>
      <c r="J139" s="94">
        <v>22289.912604038564</v>
      </c>
      <c r="K139" s="94">
        <v>4.6894613477230012</v>
      </c>
      <c r="L139" s="94">
        <v>9</v>
      </c>
      <c r="M139" s="94">
        <v>10</v>
      </c>
      <c r="N139" s="94">
        <v>10</v>
      </c>
      <c r="O139" s="94">
        <v>10</v>
      </c>
    </row>
    <row r="140" spans="1:15" x14ac:dyDescent="0.25">
      <c r="A140" s="89">
        <v>44630.833333333336</v>
      </c>
      <c r="B140" s="94">
        <v>360.7</v>
      </c>
      <c r="C140" s="94">
        <v>302.7700993154379</v>
      </c>
      <c r="D140" s="94">
        <v>90.670394239723748</v>
      </c>
      <c r="E140" s="94">
        <v>6.9766033308796462</v>
      </c>
      <c r="F140" s="94">
        <v>88.051940557654987</v>
      </c>
      <c r="G140" s="94">
        <v>6.99</v>
      </c>
      <c r="H140" s="94">
        <v>81.8</v>
      </c>
      <c r="I140" s="94">
        <v>15.980697563941778</v>
      </c>
      <c r="J140" s="94">
        <v>23079.996021920037</v>
      </c>
      <c r="K140" s="94">
        <v>4.7483836478425454</v>
      </c>
      <c r="L140" s="94">
        <v>11</v>
      </c>
      <c r="M140" s="94">
        <v>13</v>
      </c>
      <c r="N140" s="94">
        <v>11</v>
      </c>
      <c r="O140" s="94">
        <v>10</v>
      </c>
    </row>
    <row r="141" spans="1:15" x14ac:dyDescent="0.25">
      <c r="A141" s="89">
        <v>44631.333333333336</v>
      </c>
      <c r="B141" s="94">
        <v>360.87</v>
      </c>
      <c r="C141" s="94">
        <v>302.74978256286283</v>
      </c>
      <c r="D141" s="94">
        <v>90.3</v>
      </c>
      <c r="E141" s="94">
        <v>7.0380943732318118</v>
      </c>
      <c r="F141" s="94">
        <v>87.806547391301024</v>
      </c>
      <c r="G141" s="94">
        <v>7.0073152685589291</v>
      </c>
      <c r="H141" s="94">
        <v>81.566991729647299</v>
      </c>
      <c r="I141" s="94">
        <v>15.947855900621118</v>
      </c>
      <c r="J141" s="94">
        <v>22559.978311129817</v>
      </c>
      <c r="K141" s="94">
        <v>4.7065269962713954</v>
      </c>
      <c r="L141" s="94">
        <v>11</v>
      </c>
      <c r="M141" s="94">
        <v>12</v>
      </c>
      <c r="N141" s="94">
        <v>0</v>
      </c>
      <c r="O141" s="94">
        <v>0</v>
      </c>
    </row>
    <row r="142" spans="1:15" x14ac:dyDescent="0.25">
      <c r="A142" s="89">
        <v>44631.833333333336</v>
      </c>
      <c r="B142" s="94">
        <v>360.87</v>
      </c>
      <c r="C142" s="94">
        <v>302.71611859821644</v>
      </c>
      <c r="D142" s="94">
        <v>90.7</v>
      </c>
      <c r="E142" s="94">
        <v>6.9808466129329974</v>
      </c>
      <c r="F142" s="94">
        <v>88.003065999348962</v>
      </c>
      <c r="G142" s="94">
        <v>6.9823666666666666</v>
      </c>
      <c r="H142" s="94">
        <v>81.5</v>
      </c>
      <c r="I142" s="94">
        <v>15.883346001036449</v>
      </c>
      <c r="J142" s="94">
        <v>22569.999556262395</v>
      </c>
      <c r="K142" s="94">
        <v>4.7069999999999999</v>
      </c>
      <c r="L142" s="94">
        <v>11</v>
      </c>
      <c r="M142" s="94">
        <v>13</v>
      </c>
      <c r="N142" s="94">
        <v>0</v>
      </c>
      <c r="O142" s="94">
        <v>0</v>
      </c>
    </row>
    <row r="143" spans="1:15" x14ac:dyDescent="0.25">
      <c r="A143" s="89">
        <v>44632.333333333336</v>
      </c>
      <c r="B143" s="94">
        <v>360.87</v>
      </c>
      <c r="C143" s="94">
        <v>302.71355275847213</v>
      </c>
      <c r="D143" s="94">
        <v>90.339768117833955</v>
      </c>
      <c r="E143" s="94">
        <v>7.0054235380027992</v>
      </c>
      <c r="F143" s="94">
        <v>87.876605947328912</v>
      </c>
      <c r="G143" s="94">
        <v>6.9815334065755215</v>
      </c>
      <c r="H143" s="94">
        <v>81.952988716292239</v>
      </c>
      <c r="I143" s="94">
        <v>15.96</v>
      </c>
      <c r="J143" s="94">
        <v>22104.988242135656</v>
      </c>
      <c r="K143" s="94">
        <v>4.6701315268002261</v>
      </c>
      <c r="L143" s="94">
        <v>11</v>
      </c>
      <c r="M143" s="94">
        <v>13</v>
      </c>
      <c r="N143" s="94">
        <v>0</v>
      </c>
      <c r="O143" s="94">
        <v>0</v>
      </c>
    </row>
    <row r="144" spans="1:15" x14ac:dyDescent="0.25">
      <c r="A144" s="89">
        <v>44632.833333333336</v>
      </c>
      <c r="B144" s="94">
        <v>360.87</v>
      </c>
      <c r="C144" s="94">
        <v>302.26821873349814</v>
      </c>
      <c r="D144" s="94">
        <v>87.31144713055734</v>
      </c>
      <c r="E144" s="94">
        <v>7.0423073155800422</v>
      </c>
      <c r="F144" s="94">
        <v>84.410691218815685</v>
      </c>
      <c r="G144" s="94">
        <v>7.0489343317532649</v>
      </c>
      <c r="H144" s="94">
        <v>80.437411146194648</v>
      </c>
      <c r="I144" s="94">
        <v>15.861294426902678</v>
      </c>
      <c r="J144" s="94">
        <v>16800.607534165185</v>
      </c>
      <c r="K144" s="94">
        <v>4.2398132000650799</v>
      </c>
      <c r="L144" s="94">
        <v>11</v>
      </c>
      <c r="M144" s="94">
        <v>13</v>
      </c>
      <c r="N144" s="94">
        <v>0</v>
      </c>
      <c r="O144" s="94">
        <v>0</v>
      </c>
    </row>
    <row r="145" spans="1:15" x14ac:dyDescent="0.25">
      <c r="A145" s="89">
        <v>44633.333333333336</v>
      </c>
      <c r="B145" s="94">
        <v>360.87</v>
      </c>
      <c r="C145" s="94">
        <v>302.31763102797294</v>
      </c>
      <c r="D145" s="94">
        <v>86.7</v>
      </c>
      <c r="E145" s="94">
        <v>6.9779931820037557</v>
      </c>
      <c r="F145" s="94">
        <v>84.002152114311031</v>
      </c>
      <c r="G145" s="94">
        <v>7.0209126249253888</v>
      </c>
      <c r="H145" s="94">
        <v>80.971830920633707</v>
      </c>
      <c r="I145" s="94">
        <v>15.918589146339601</v>
      </c>
      <c r="J145" s="94">
        <v>17590.182251616287</v>
      </c>
      <c r="K145" s="94">
        <v>4.3093713607370088</v>
      </c>
      <c r="L145" s="94">
        <v>11</v>
      </c>
      <c r="M145" s="94">
        <v>13</v>
      </c>
      <c r="N145" s="94">
        <v>0</v>
      </c>
      <c r="O145" s="94">
        <v>0</v>
      </c>
    </row>
    <row r="146" spans="1:15" x14ac:dyDescent="0.25">
      <c r="A146" s="89">
        <v>44633.833333333336</v>
      </c>
      <c r="B146" s="94">
        <v>360.87</v>
      </c>
      <c r="C146" s="94">
        <v>302.08</v>
      </c>
      <c r="D146" s="94">
        <v>86.869987836769454</v>
      </c>
      <c r="E146" s="94">
        <v>7.01</v>
      </c>
      <c r="F146" s="94">
        <v>84.3</v>
      </c>
      <c r="G146" s="94">
        <v>7.0129892537204501</v>
      </c>
      <c r="H146" s="94">
        <v>80.213209751824635</v>
      </c>
      <c r="I146" s="94">
        <v>15.900258986557176</v>
      </c>
      <c r="J146" s="94">
        <v>14800.252632743965</v>
      </c>
      <c r="K146" s="94">
        <v>4.0495861279103993</v>
      </c>
      <c r="L146" s="94">
        <v>11</v>
      </c>
      <c r="M146" s="94">
        <v>13</v>
      </c>
      <c r="N146" s="94">
        <v>0</v>
      </c>
      <c r="O146" s="94">
        <v>0</v>
      </c>
    </row>
    <row r="147" spans="1:15" x14ac:dyDescent="0.25">
      <c r="A147" s="89">
        <v>44634.333333333336</v>
      </c>
      <c r="B147" s="94">
        <v>360.59</v>
      </c>
      <c r="C147" s="94">
        <v>302.06281615893602</v>
      </c>
      <c r="D147" s="94">
        <v>86.685911945708995</v>
      </c>
      <c r="E147" s="94">
        <v>7</v>
      </c>
      <c r="F147" s="94">
        <v>84.03796546423294</v>
      </c>
      <c r="G147" s="94">
        <v>7.0093473620006099</v>
      </c>
      <c r="H147" s="94">
        <v>81.3</v>
      </c>
      <c r="I147" s="94">
        <v>16.012748282036764</v>
      </c>
      <c r="J147" s="94">
        <v>14490.08565213733</v>
      </c>
      <c r="K147" s="94">
        <v>4.019530718871291</v>
      </c>
      <c r="L147" s="94">
        <v>11</v>
      </c>
      <c r="M147" s="94">
        <v>13</v>
      </c>
      <c r="N147" s="94">
        <v>0</v>
      </c>
      <c r="O147" s="94">
        <v>0</v>
      </c>
    </row>
    <row r="148" spans="1:15" x14ac:dyDescent="0.25">
      <c r="A148" s="89">
        <v>44634.833333333336</v>
      </c>
      <c r="B148" s="94">
        <v>360.59</v>
      </c>
      <c r="C148" s="94">
        <v>301.84499480964001</v>
      </c>
      <c r="D148" s="94">
        <v>88.014571425670809</v>
      </c>
      <c r="E148" s="94">
        <v>6.9429142851341616</v>
      </c>
      <c r="F148" s="94">
        <v>86.221922683325445</v>
      </c>
      <c r="G148" s="94">
        <v>6.94</v>
      </c>
      <c r="H148" s="94">
        <v>80.187971701343713</v>
      </c>
      <c r="I148" s="94">
        <v>16.012520145846739</v>
      </c>
      <c r="J148" s="94">
        <v>12350.03110307403</v>
      </c>
      <c r="K148" s="94">
        <v>3.8063604506009039</v>
      </c>
      <c r="L148" s="94">
        <v>0</v>
      </c>
      <c r="M148" s="94">
        <v>0</v>
      </c>
      <c r="N148" s="94">
        <v>0</v>
      </c>
      <c r="O148" s="94">
        <v>0</v>
      </c>
    </row>
    <row r="149" spans="1:15" x14ac:dyDescent="0.25">
      <c r="A149" s="89">
        <v>44635.333333333336</v>
      </c>
      <c r="B149" s="94">
        <v>360.53</v>
      </c>
      <c r="C149" s="94">
        <v>301.84162002037522</v>
      </c>
      <c r="D149" s="94">
        <v>88.237743107664414</v>
      </c>
      <c r="E149" s="94">
        <v>6.9651074246630262</v>
      </c>
      <c r="F149" s="94">
        <v>86.2</v>
      </c>
      <c r="G149" s="94">
        <v>6.9427543515007537</v>
      </c>
      <c r="H149" s="94">
        <v>79.900000000000006</v>
      </c>
      <c r="I149" s="94">
        <v>15.787442262660891</v>
      </c>
      <c r="J149" s="94">
        <v>12120.058908778425</v>
      </c>
      <c r="K149" s="94">
        <v>3.7813457387458547</v>
      </c>
      <c r="L149" s="94">
        <v>0</v>
      </c>
      <c r="M149" s="94">
        <v>0</v>
      </c>
      <c r="N149" s="94">
        <v>0</v>
      </c>
      <c r="O149" s="94">
        <v>0</v>
      </c>
    </row>
    <row r="150" spans="1:15" x14ac:dyDescent="0.25">
      <c r="A150" s="89">
        <v>44635.833333333336</v>
      </c>
      <c r="B150" s="94">
        <v>360.53</v>
      </c>
      <c r="C150" s="94">
        <v>301.72834488689989</v>
      </c>
      <c r="D150" s="94">
        <v>88.448899611148434</v>
      </c>
      <c r="E150" s="94">
        <v>6.9564157771678357</v>
      </c>
      <c r="F150" s="94">
        <v>85.7</v>
      </c>
      <c r="G150" s="94">
        <v>6.9246200561523441</v>
      </c>
      <c r="H150" s="94">
        <v>80.3</v>
      </c>
      <c r="I150" s="94">
        <v>15.99075044587735</v>
      </c>
      <c r="J150" s="94">
        <v>11194.99379322769</v>
      </c>
      <c r="K150" s="94">
        <v>3.68</v>
      </c>
      <c r="L150" s="94">
        <v>11</v>
      </c>
      <c r="M150" s="94">
        <v>0</v>
      </c>
      <c r="N150" s="94">
        <v>0</v>
      </c>
      <c r="O150" s="94">
        <v>0</v>
      </c>
    </row>
    <row r="151" spans="1:15" x14ac:dyDescent="0.25">
      <c r="A151" s="89">
        <v>44636.333333333336</v>
      </c>
      <c r="B151" s="94">
        <v>360.45</v>
      </c>
      <c r="C151" s="94">
        <v>301.70372901038155</v>
      </c>
      <c r="D151" s="94">
        <v>88.2</v>
      </c>
      <c r="E151" s="94">
        <v>6.9409297180175784</v>
      </c>
      <c r="F151" s="94">
        <v>86.16199998121995</v>
      </c>
      <c r="G151" s="94">
        <v>6.9493200683593752</v>
      </c>
      <c r="H151" s="94">
        <v>80.061974809688465</v>
      </c>
      <c r="I151" s="94">
        <v>15.808367378330155</v>
      </c>
      <c r="J151" s="94">
        <v>10909.986443604315</v>
      </c>
      <c r="K151" s="94">
        <v>3.6512423212121909</v>
      </c>
      <c r="L151" s="94">
        <v>11</v>
      </c>
      <c r="M151" s="94">
        <v>0</v>
      </c>
      <c r="N151" s="94">
        <v>0</v>
      </c>
      <c r="O151" s="94">
        <v>0</v>
      </c>
    </row>
    <row r="152" spans="1:15" x14ac:dyDescent="0.25">
      <c r="A152" s="89">
        <v>44636.833333333336</v>
      </c>
      <c r="B152" s="94">
        <v>360.45</v>
      </c>
      <c r="C152" s="94">
        <v>301.66858049607521</v>
      </c>
      <c r="D152" s="94">
        <v>88.22275658855655</v>
      </c>
      <c r="E152" s="94">
        <v>6.9795339079905121</v>
      </c>
      <c r="F152" s="94">
        <v>86.697848579983074</v>
      </c>
      <c r="G152" s="94">
        <v>6.9595323561468021</v>
      </c>
      <c r="H152" s="94">
        <v>80.477260548965475</v>
      </c>
      <c r="I152" s="94">
        <v>15.997364886472658</v>
      </c>
      <c r="J152" s="94">
        <v>10800</v>
      </c>
      <c r="K152" s="94">
        <v>3.6304852090102764</v>
      </c>
      <c r="L152" s="94">
        <v>11</v>
      </c>
      <c r="M152" s="94">
        <v>0</v>
      </c>
      <c r="N152" s="94">
        <v>0</v>
      </c>
      <c r="O152" s="94">
        <v>0</v>
      </c>
    </row>
    <row r="153" spans="1:15" x14ac:dyDescent="0.25">
      <c r="A153" s="89">
        <v>44637.333333333336</v>
      </c>
      <c r="B153" s="94">
        <v>360.36</v>
      </c>
      <c r="C153" s="94">
        <v>301.69497054809278</v>
      </c>
      <c r="D153" s="94">
        <v>88.280981550439279</v>
      </c>
      <c r="E153" s="94">
        <v>6.9625341858569394</v>
      </c>
      <c r="F153" s="94">
        <v>86.3</v>
      </c>
      <c r="G153" s="94">
        <v>6.962919769287109</v>
      </c>
      <c r="H153" s="94">
        <v>80.349160659396958</v>
      </c>
      <c r="I153" s="94">
        <v>15.944067425302745</v>
      </c>
      <c r="J153" s="94">
        <v>10769.257684011041</v>
      </c>
      <c r="K153" s="94">
        <v>3.6274715576133492</v>
      </c>
      <c r="L153" s="94">
        <v>23</v>
      </c>
      <c r="M153" s="94">
        <v>0</v>
      </c>
      <c r="N153" s="94">
        <v>0</v>
      </c>
      <c r="O153" s="94">
        <v>0</v>
      </c>
    </row>
    <row r="154" spans="1:15" x14ac:dyDescent="0.25">
      <c r="A154" s="89">
        <v>44637.833333333336</v>
      </c>
      <c r="B154" s="94">
        <v>360.36</v>
      </c>
      <c r="C154" s="94">
        <v>301.61</v>
      </c>
      <c r="D154" s="94">
        <v>88.343478668062474</v>
      </c>
      <c r="E154" s="94">
        <v>6.9492094088895682</v>
      </c>
      <c r="F154" s="94">
        <v>86.2</v>
      </c>
      <c r="G154" s="94">
        <v>6.9747666422526047</v>
      </c>
      <c r="H154" s="94">
        <v>79.856541177768634</v>
      </c>
      <c r="I154" s="94">
        <v>15.906235194442091</v>
      </c>
      <c r="J154" s="94">
        <v>10022.972004438067</v>
      </c>
      <c r="K154" s="94">
        <v>3.5424902967194911</v>
      </c>
      <c r="L154" s="94">
        <v>0</v>
      </c>
      <c r="M154" s="94">
        <v>0</v>
      </c>
      <c r="N154" s="94">
        <v>0</v>
      </c>
      <c r="O154" s="94">
        <v>0</v>
      </c>
    </row>
    <row r="155" spans="1:15" x14ac:dyDescent="0.25">
      <c r="A155" s="89">
        <v>44638.333333333336</v>
      </c>
      <c r="B155" s="94">
        <v>360.34944021890055</v>
      </c>
      <c r="C155" s="94">
        <v>301.72971922045133</v>
      </c>
      <c r="D155" s="94">
        <v>89.06524814245013</v>
      </c>
      <c r="E155" s="94">
        <v>6.96</v>
      </c>
      <c r="F155" s="94">
        <v>86.543815520034229</v>
      </c>
      <c r="G155" s="94">
        <v>6.9649492126406605</v>
      </c>
      <c r="H155" s="94">
        <v>81</v>
      </c>
      <c r="I155" s="94">
        <v>15.895065734094493</v>
      </c>
      <c r="J155" s="94">
        <v>10220</v>
      </c>
      <c r="K155" s="94">
        <v>3.5727584860713302</v>
      </c>
      <c r="L155" s="94">
        <v>34</v>
      </c>
      <c r="M155" s="94">
        <v>38</v>
      </c>
      <c r="N155" s="94">
        <v>38.934515134447217</v>
      </c>
      <c r="O155" s="94">
        <v>39</v>
      </c>
    </row>
    <row r="156" spans="1:15" x14ac:dyDescent="0.25">
      <c r="A156" s="89">
        <v>44638.833333333336</v>
      </c>
      <c r="B156" s="94">
        <v>360.29</v>
      </c>
      <c r="C156" s="94">
        <v>301.72469773356124</v>
      </c>
      <c r="D156" s="94">
        <v>89.303202944815254</v>
      </c>
      <c r="E156" s="94">
        <v>6.9603202944815266</v>
      </c>
      <c r="F156" s="94">
        <v>87.247194197338132</v>
      </c>
      <c r="G156" s="94">
        <v>6.9403698730468752</v>
      </c>
      <c r="H156" s="94">
        <v>80.343114165070574</v>
      </c>
      <c r="I156" s="94">
        <v>15.96</v>
      </c>
      <c r="J156" s="94">
        <v>10220</v>
      </c>
      <c r="K156" s="94">
        <v>3.5721971690297312</v>
      </c>
      <c r="L156" s="94">
        <v>34</v>
      </c>
      <c r="M156" s="94">
        <v>38</v>
      </c>
      <c r="N156" s="94">
        <v>39</v>
      </c>
      <c r="O156" s="94">
        <v>39</v>
      </c>
    </row>
    <row r="157" spans="1:15" x14ac:dyDescent="0.25">
      <c r="A157" s="89">
        <v>44639.333333333336</v>
      </c>
      <c r="B157" s="94">
        <v>360.29</v>
      </c>
      <c r="C157" s="94">
        <v>301.72351738971213</v>
      </c>
      <c r="D157" s="94">
        <v>89.192001342773438</v>
      </c>
      <c r="E157" s="94">
        <v>6.95</v>
      </c>
      <c r="F157" s="94">
        <v>86.904842175935443</v>
      </c>
      <c r="G157" s="94">
        <v>6.9691383053542486</v>
      </c>
      <c r="H157" s="94">
        <v>80.8</v>
      </c>
      <c r="I157" s="94">
        <v>15.839700911262227</v>
      </c>
      <c r="J157" s="94">
        <v>10230</v>
      </c>
      <c r="K157" s="94">
        <v>3.5729412449706475</v>
      </c>
      <c r="L157" s="94">
        <v>34</v>
      </c>
      <c r="M157" s="94">
        <v>38</v>
      </c>
      <c r="N157" s="94">
        <v>39</v>
      </c>
      <c r="O157" s="94">
        <v>39</v>
      </c>
    </row>
    <row r="158" spans="1:15" x14ac:dyDescent="0.25">
      <c r="A158" s="89">
        <v>44639.833333333336</v>
      </c>
      <c r="B158" s="94">
        <v>360.29</v>
      </c>
      <c r="C158" s="94">
        <v>301.67510156285772</v>
      </c>
      <c r="D158" s="94">
        <v>89.428699271788091</v>
      </c>
      <c r="E158" s="94">
        <v>6.9954213742913431</v>
      </c>
      <c r="F158" s="94">
        <v>87.07498840464379</v>
      </c>
      <c r="G158" s="94">
        <v>6.9375598144531256</v>
      </c>
      <c r="H158" s="94">
        <v>80.798538099016454</v>
      </c>
      <c r="I158" s="94">
        <v>15.962936648272919</v>
      </c>
      <c r="J158" s="94">
        <v>9869.9877533529161</v>
      </c>
      <c r="K158" s="94">
        <v>3.5251438846428367</v>
      </c>
      <c r="L158" s="94">
        <v>20</v>
      </c>
      <c r="M158" s="94">
        <v>38</v>
      </c>
      <c r="N158" s="94">
        <v>39</v>
      </c>
      <c r="O158" s="94">
        <v>39</v>
      </c>
    </row>
    <row r="159" spans="1:15" x14ac:dyDescent="0.25">
      <c r="A159" s="89">
        <v>44640.333333333336</v>
      </c>
      <c r="B159" s="94">
        <v>360.29</v>
      </c>
      <c r="C159" s="94">
        <v>301.67393951870071</v>
      </c>
      <c r="D159" s="94">
        <v>89.020614916142492</v>
      </c>
      <c r="E159" s="94">
        <v>6.9669332885742188</v>
      </c>
      <c r="F159" s="94">
        <v>86.915997418143419</v>
      </c>
      <c r="G159" s="94">
        <v>6.9686815749759914</v>
      </c>
      <c r="H159" s="94">
        <v>81.012477392955006</v>
      </c>
      <c r="I159" s="94">
        <v>15.933217481440833</v>
      </c>
      <c r="J159" s="94">
        <v>9866.0048175474221</v>
      </c>
      <c r="K159" s="94">
        <v>3.5243043840934192</v>
      </c>
      <c r="L159" s="94">
        <v>19.761397893733768</v>
      </c>
      <c r="M159" s="94">
        <v>38</v>
      </c>
      <c r="N159" s="94">
        <v>38.434133062925476</v>
      </c>
      <c r="O159" s="94">
        <v>38.624716151490119</v>
      </c>
    </row>
    <row r="160" spans="1:15" x14ac:dyDescent="0.25">
      <c r="A160" s="89">
        <v>44640.833333333336</v>
      </c>
      <c r="B160" s="94">
        <v>360.29</v>
      </c>
      <c r="C160" s="94">
        <v>301.56581140061417</v>
      </c>
      <c r="D160" s="94">
        <v>89.7</v>
      </c>
      <c r="E160" s="94">
        <v>6.97</v>
      </c>
      <c r="F160" s="94">
        <v>86.380901027734765</v>
      </c>
      <c r="G160" s="94">
        <v>6.9575951379863925</v>
      </c>
      <c r="H160" s="94">
        <v>80.071943084560729</v>
      </c>
      <c r="I160" s="94">
        <v>15.864339904785156</v>
      </c>
      <c r="J160" s="94">
        <v>9006.0027769345052</v>
      </c>
      <c r="K160" s="94">
        <v>3.4186090740499431</v>
      </c>
      <c r="L160" s="94">
        <v>0</v>
      </c>
      <c r="M160" s="94">
        <v>38</v>
      </c>
      <c r="N160" s="94">
        <v>39</v>
      </c>
      <c r="O160" s="94">
        <v>30</v>
      </c>
    </row>
    <row r="161" spans="1:15" x14ac:dyDescent="0.25">
      <c r="A161" s="89">
        <v>44641.333333333336</v>
      </c>
      <c r="B161" s="94">
        <v>360.1</v>
      </c>
      <c r="C161" s="94">
        <v>301.56</v>
      </c>
      <c r="D161" s="94">
        <v>89.467626033417162</v>
      </c>
      <c r="E161" s="94">
        <v>6.9784588448461902</v>
      </c>
      <c r="F161" s="94">
        <v>87.04222378645521</v>
      </c>
      <c r="G161" s="94">
        <v>6.929109802246094</v>
      </c>
      <c r="H161" s="94">
        <v>80.962172549287033</v>
      </c>
      <c r="I161" s="94">
        <v>15.889428715874621</v>
      </c>
      <c r="J161" s="94">
        <v>8998.9891606784859</v>
      </c>
      <c r="K161" s="94">
        <v>3.4169999999999998</v>
      </c>
      <c r="L161" s="94">
        <v>0</v>
      </c>
      <c r="M161" s="94">
        <v>37.81139895691625</v>
      </c>
      <c r="N161" s="94">
        <v>38.811756819783128</v>
      </c>
      <c r="O161" s="94">
        <v>29.912542645616188</v>
      </c>
    </row>
    <row r="162" spans="1:15" x14ac:dyDescent="0.25">
      <c r="A162" s="89">
        <v>44641.833333333336</v>
      </c>
      <c r="B162" s="94">
        <v>360.1</v>
      </c>
      <c r="C162" s="94">
        <v>301.56047206336615</v>
      </c>
      <c r="D162" s="94">
        <v>89.7</v>
      </c>
      <c r="E162" s="94">
        <v>6.9412104283054008</v>
      </c>
      <c r="F162" s="94">
        <v>86.9</v>
      </c>
      <c r="G162" s="94">
        <v>6.9616854547943952</v>
      </c>
      <c r="H162" s="94">
        <v>80.367482293423805</v>
      </c>
      <c r="I162" s="94">
        <v>15.930742424242425</v>
      </c>
      <c r="J162" s="94">
        <v>9012.9974484579234</v>
      </c>
      <c r="K162" s="94">
        <v>3.418775402544572</v>
      </c>
      <c r="L162" s="94">
        <v>0</v>
      </c>
      <c r="M162" s="94">
        <v>38</v>
      </c>
      <c r="N162" s="94">
        <v>39</v>
      </c>
      <c r="O162" s="94">
        <v>30</v>
      </c>
    </row>
    <row r="163" spans="1:15" x14ac:dyDescent="0.25">
      <c r="A163" s="89">
        <v>44642.333333333336</v>
      </c>
      <c r="B163" s="94">
        <v>360.08588635878823</v>
      </c>
      <c r="C163" s="94">
        <v>301.56527378269556</v>
      </c>
      <c r="D163" s="94">
        <v>89.473699821640437</v>
      </c>
      <c r="E163" s="94">
        <v>6.9697642019068562</v>
      </c>
      <c r="F163" s="94">
        <v>86.599675991027084</v>
      </c>
      <c r="G163" s="94">
        <v>6.9670019496279787</v>
      </c>
      <c r="H163" s="94">
        <v>80.99284948726627</v>
      </c>
      <c r="I163" s="94">
        <v>15.906995283863651</v>
      </c>
      <c r="J163" s="94">
        <v>9008.5449015944741</v>
      </c>
      <c r="K163" s="94">
        <v>3.4160225249562028</v>
      </c>
      <c r="L163" s="94">
        <v>0</v>
      </c>
      <c r="M163" s="94">
        <v>37.823730321345757</v>
      </c>
      <c r="N163" s="94">
        <v>38.451421438760953</v>
      </c>
      <c r="O163" s="94">
        <v>29</v>
      </c>
    </row>
    <row r="164" spans="1:15" x14ac:dyDescent="0.25">
      <c r="A164" s="89">
        <v>44642.833333333336</v>
      </c>
      <c r="B164" s="94">
        <v>360.02</v>
      </c>
      <c r="C164" s="94">
        <v>301.56847152440793</v>
      </c>
      <c r="D164" s="94">
        <v>90.3</v>
      </c>
      <c r="E164" s="94">
        <v>6.9817427182982366</v>
      </c>
      <c r="F164" s="94">
        <v>87.264835901891743</v>
      </c>
      <c r="G164" s="94">
        <v>6.9916716137404356</v>
      </c>
      <c r="H164" s="94">
        <v>80.304410212846591</v>
      </c>
      <c r="I164" s="94">
        <v>15.948438320609139</v>
      </c>
      <c r="J164" s="94">
        <v>1589.9874628393964</v>
      </c>
      <c r="K164" s="94">
        <v>2.1043509667567197</v>
      </c>
      <c r="L164" s="94">
        <v>0</v>
      </c>
      <c r="M164" s="94">
        <v>38</v>
      </c>
      <c r="N164" s="94">
        <v>39</v>
      </c>
      <c r="O164" s="94">
        <v>30</v>
      </c>
    </row>
    <row r="165" spans="1:15" x14ac:dyDescent="0.25">
      <c r="A165" s="89">
        <v>44643.333333333336</v>
      </c>
      <c r="B165" s="94">
        <v>360.00255191383712</v>
      </c>
      <c r="C165" s="94">
        <v>301.44</v>
      </c>
      <c r="D165" s="94">
        <v>90.256980376815093</v>
      </c>
      <c r="E165" s="94">
        <v>7.0243775469559093</v>
      </c>
      <c r="F165" s="94">
        <v>87.009491313169221</v>
      </c>
      <c r="G165" s="94">
        <v>6.9916066315771426</v>
      </c>
      <c r="H165" s="94">
        <v>80.923267261752613</v>
      </c>
      <c r="I165" s="94">
        <v>15.97447052252552</v>
      </c>
      <c r="J165" s="94">
        <v>303.99268372502951</v>
      </c>
      <c r="K165" s="94">
        <v>1.4098585198957847</v>
      </c>
      <c r="L165" s="94">
        <v>0</v>
      </c>
      <c r="M165" s="94">
        <v>0</v>
      </c>
      <c r="N165" s="94">
        <v>39</v>
      </c>
      <c r="O165" s="94">
        <v>32.56466494849677</v>
      </c>
    </row>
    <row r="166" spans="1:15" x14ac:dyDescent="0.25">
      <c r="A166" s="89">
        <v>44643.833333333336</v>
      </c>
      <c r="B166" s="94">
        <v>359.93</v>
      </c>
      <c r="C166" s="94">
        <v>301.39376673484333</v>
      </c>
      <c r="D166" s="94">
        <v>90.295280428165768</v>
      </c>
      <c r="E166" s="94">
        <v>6.97771742782954</v>
      </c>
      <c r="F166" s="94">
        <v>87.2</v>
      </c>
      <c r="G166" s="94">
        <v>6.9727624444410505</v>
      </c>
      <c r="H166" s="94">
        <v>80.400000000000006</v>
      </c>
      <c r="I166" s="94">
        <v>15.972941284939379</v>
      </c>
      <c r="J166" s="94">
        <v>7867.0050258064221</v>
      </c>
      <c r="K166" s="94">
        <v>3.2724684904641079</v>
      </c>
      <c r="L166" s="94">
        <v>0</v>
      </c>
      <c r="M166" s="94">
        <v>0</v>
      </c>
      <c r="N166" s="94">
        <v>28.105818945910013</v>
      </c>
      <c r="O166" s="94">
        <v>33.442293758206617</v>
      </c>
    </row>
    <row r="167" spans="1:15" x14ac:dyDescent="0.25">
      <c r="A167" s="89">
        <v>44644.333333333336</v>
      </c>
      <c r="B167" s="94">
        <v>359.91759902133288</v>
      </c>
      <c r="C167" s="94">
        <v>301.39890146062191</v>
      </c>
      <c r="D167" s="94">
        <v>90.10348332652714</v>
      </c>
      <c r="E167" s="94">
        <v>7.0402160570829793</v>
      </c>
      <c r="F167" s="94">
        <v>87.2</v>
      </c>
      <c r="G167" s="94">
        <v>7.0057097381635582</v>
      </c>
      <c r="H167" s="94">
        <v>81.075013827237214</v>
      </c>
      <c r="I167" s="94">
        <v>15.907135102165295</v>
      </c>
      <c r="J167" s="94">
        <v>7867</v>
      </c>
      <c r="K167" s="94">
        <v>3.2718406561164617</v>
      </c>
      <c r="L167" s="94">
        <v>0</v>
      </c>
      <c r="M167" s="94">
        <v>0</v>
      </c>
      <c r="N167" s="94">
        <v>28</v>
      </c>
      <c r="O167" s="94">
        <v>33</v>
      </c>
    </row>
    <row r="168" spans="1:15" x14ac:dyDescent="0.25">
      <c r="A168" s="89">
        <v>44644.833333333336</v>
      </c>
      <c r="B168" s="94">
        <v>359.87</v>
      </c>
      <c r="C168" s="94">
        <v>301.29515430633069</v>
      </c>
      <c r="D168" s="94">
        <v>89.925554788615528</v>
      </c>
      <c r="E168" s="94">
        <v>7.0137737895219185</v>
      </c>
      <c r="F168" s="94">
        <v>87.155452164359716</v>
      </c>
      <c r="G168" s="94">
        <v>7.0039841308593749</v>
      </c>
      <c r="H168" s="94">
        <v>80.231114112526356</v>
      </c>
      <c r="I168" s="94">
        <v>15.95</v>
      </c>
      <c r="J168" s="94">
        <v>7053.0433743112626</v>
      </c>
      <c r="K168" s="94">
        <v>3.1598788235053519</v>
      </c>
      <c r="L168" s="94">
        <v>0</v>
      </c>
      <c r="M168" s="94">
        <v>0</v>
      </c>
      <c r="N168" s="94">
        <v>0</v>
      </c>
      <c r="O168" s="94">
        <v>39</v>
      </c>
    </row>
    <row r="169" spans="1:15" x14ac:dyDescent="0.25">
      <c r="A169" s="89">
        <v>44645.333333333336</v>
      </c>
      <c r="B169" s="94">
        <v>359.85681397593606</v>
      </c>
      <c r="C169" s="94">
        <v>301.29000000000002</v>
      </c>
      <c r="D169" s="94">
        <v>89.7</v>
      </c>
      <c r="E169" s="94">
        <v>7.0369312282416177</v>
      </c>
      <c r="F169" s="94">
        <v>86.958407295872561</v>
      </c>
      <c r="G169" s="94">
        <v>6.990293273925781</v>
      </c>
      <c r="H169" s="94">
        <v>81</v>
      </c>
      <c r="I169" s="94">
        <v>15.949161001188987</v>
      </c>
      <c r="J169" s="94">
        <v>7102</v>
      </c>
      <c r="K169" s="94">
        <v>3.16544890647608</v>
      </c>
      <c r="L169" s="94">
        <v>0</v>
      </c>
      <c r="M169" s="94">
        <v>0</v>
      </c>
      <c r="N169" s="94">
        <v>0</v>
      </c>
      <c r="O169" s="94">
        <v>38</v>
      </c>
    </row>
    <row r="170" spans="1:15" x14ac:dyDescent="0.25">
      <c r="A170" s="89">
        <v>44645.833333333336</v>
      </c>
      <c r="B170" s="94">
        <v>359.81</v>
      </c>
      <c r="C170" s="94">
        <v>301.22175138195536</v>
      </c>
      <c r="D170" s="94">
        <v>90.171652229198131</v>
      </c>
      <c r="E170" s="94">
        <v>6.9866697692871096</v>
      </c>
      <c r="F170" s="94">
        <v>87.036878925376371</v>
      </c>
      <c r="G170" s="94">
        <v>6.9871258013918709</v>
      </c>
      <c r="H170" s="94">
        <v>80.3</v>
      </c>
      <c r="I170" s="94">
        <v>15.912573602551349</v>
      </c>
      <c r="J170" s="94">
        <v>6580</v>
      </c>
      <c r="K170" s="94">
        <v>3.0815365971454227</v>
      </c>
      <c r="L170" s="94">
        <v>0</v>
      </c>
      <c r="M170" s="94">
        <v>0</v>
      </c>
      <c r="N170" s="94">
        <v>0</v>
      </c>
      <c r="O170" s="94">
        <v>23</v>
      </c>
    </row>
    <row r="171" spans="1:15" x14ac:dyDescent="0.25">
      <c r="A171" s="89">
        <v>44646.333333333336</v>
      </c>
      <c r="B171" s="94">
        <v>359.81</v>
      </c>
      <c r="C171" s="94">
        <v>301.3</v>
      </c>
      <c r="D171" s="94">
        <v>89.502974955240887</v>
      </c>
      <c r="E171" s="94">
        <v>6.98</v>
      </c>
      <c r="F171" s="94">
        <v>86.682150268554693</v>
      </c>
      <c r="G171" s="94">
        <v>6.9616208950664431</v>
      </c>
      <c r="H171" s="94">
        <v>80.687160807480979</v>
      </c>
      <c r="I171" s="94">
        <v>15.855209045901077</v>
      </c>
      <c r="J171" s="94">
        <v>5925.0388479195099</v>
      </c>
      <c r="K171" s="94">
        <v>2.9971398531069258</v>
      </c>
      <c r="L171" s="94">
        <v>0</v>
      </c>
      <c r="M171" s="94">
        <v>0</v>
      </c>
      <c r="N171" s="94">
        <v>0</v>
      </c>
      <c r="O171" s="94">
        <v>40</v>
      </c>
    </row>
    <row r="172" spans="1:15" x14ac:dyDescent="0.25">
      <c r="A172" s="89">
        <v>44646.833333333336</v>
      </c>
      <c r="B172" s="94">
        <v>359.81</v>
      </c>
      <c r="C172" s="94">
        <v>301.19684743812616</v>
      </c>
      <c r="D172" s="94">
        <v>89.7</v>
      </c>
      <c r="E172" s="94">
        <v>7.001420135498047</v>
      </c>
      <c r="F172" s="94">
        <v>86.802947755346281</v>
      </c>
      <c r="G172" s="94">
        <v>7.0086113228255238</v>
      </c>
      <c r="H172" s="94">
        <v>80.391285931244369</v>
      </c>
      <c r="I172" s="94">
        <v>15.917271497613909</v>
      </c>
      <c r="J172" s="94">
        <v>3470.0393700747363</v>
      </c>
      <c r="K172" s="94">
        <v>2.5725127378256198</v>
      </c>
      <c r="L172" s="94">
        <v>0</v>
      </c>
      <c r="M172" s="94">
        <v>0</v>
      </c>
      <c r="N172" s="94">
        <v>0</v>
      </c>
      <c r="O172" s="94">
        <v>15</v>
      </c>
    </row>
    <row r="173" spans="1:15" x14ac:dyDescent="0.25">
      <c r="A173" s="89">
        <v>44647.333333333336</v>
      </c>
      <c r="B173" s="94">
        <v>359.81</v>
      </c>
      <c r="C173" s="94">
        <v>301.17079908142216</v>
      </c>
      <c r="D173" s="94">
        <v>89.514999606420787</v>
      </c>
      <c r="E173" s="94">
        <v>6.997139892578125</v>
      </c>
      <c r="F173" s="94">
        <v>86.7</v>
      </c>
      <c r="G173" s="94">
        <v>7</v>
      </c>
      <c r="H173" s="94">
        <v>80.408711254853273</v>
      </c>
      <c r="I173" s="94">
        <v>15.92717122420656</v>
      </c>
      <c r="J173" s="94">
        <v>3695</v>
      </c>
      <c r="K173" s="94">
        <v>2.614223821097224</v>
      </c>
      <c r="L173" s="94">
        <v>0</v>
      </c>
      <c r="M173" s="94">
        <v>0</v>
      </c>
      <c r="N173" s="94">
        <v>0</v>
      </c>
      <c r="O173" s="94">
        <v>11</v>
      </c>
    </row>
    <row r="174" spans="1:15" x14ac:dyDescent="0.25">
      <c r="A174" s="89">
        <v>44647.833333333336</v>
      </c>
      <c r="B174" s="94">
        <v>359.81</v>
      </c>
      <c r="C174" s="94">
        <v>300.97328173703772</v>
      </c>
      <c r="D174" s="94">
        <v>84.1</v>
      </c>
      <c r="E174" s="94">
        <v>7.0230315559181253</v>
      </c>
      <c r="F174" s="94">
        <v>43</v>
      </c>
      <c r="G174" s="94">
        <v>2.4648394775390625</v>
      </c>
      <c r="H174" s="94">
        <v>80.099999999999994</v>
      </c>
      <c r="I174" s="94">
        <v>15.856579218028029</v>
      </c>
      <c r="J174" s="94">
        <v>2696.0661768013051</v>
      </c>
      <c r="K174" s="94">
        <v>2.4038193588716799</v>
      </c>
      <c r="L174" s="94">
        <v>0</v>
      </c>
      <c r="M174" s="94">
        <v>0</v>
      </c>
      <c r="N174" s="94">
        <v>0</v>
      </c>
      <c r="O174" s="94">
        <v>0</v>
      </c>
    </row>
    <row r="175" spans="1:15" x14ac:dyDescent="0.25">
      <c r="A175" s="89">
        <v>44648.333333333336</v>
      </c>
      <c r="B175" s="94">
        <v>359.67</v>
      </c>
      <c r="C175" s="94">
        <v>300.97000000000003</v>
      </c>
      <c r="D175" s="94">
        <v>83.8</v>
      </c>
      <c r="E175" s="94">
        <v>6.9517283774561234</v>
      </c>
      <c r="F175" s="94">
        <v>42.830728694180841</v>
      </c>
      <c r="G175" s="94">
        <v>2.4504011386767477</v>
      </c>
      <c r="H175" s="94">
        <v>80.008219648149876</v>
      </c>
      <c r="I175" s="94">
        <v>15.802552314036964</v>
      </c>
      <c r="J175" s="94">
        <v>2915.9848694179677</v>
      </c>
      <c r="K175" s="94">
        <v>2.4556925487981882</v>
      </c>
      <c r="L175" s="94">
        <v>0</v>
      </c>
      <c r="M175" s="94">
        <v>0</v>
      </c>
      <c r="N175" s="94">
        <v>0</v>
      </c>
      <c r="O175" s="94">
        <v>0</v>
      </c>
    </row>
    <row r="176" spans="1:15" x14ac:dyDescent="0.25">
      <c r="A176" s="89">
        <v>44648.833333333336</v>
      </c>
      <c r="B176" s="94">
        <v>359.67</v>
      </c>
      <c r="C176" s="94">
        <v>301.10324716386543</v>
      </c>
      <c r="D176" s="94">
        <v>89.46223353256768</v>
      </c>
      <c r="E176" s="94">
        <v>6.9948934130270697</v>
      </c>
      <c r="F176" s="94">
        <v>86.385800170898449</v>
      </c>
      <c r="G176" s="94">
        <v>6.97</v>
      </c>
      <c r="H176" s="94">
        <v>80.02795427863478</v>
      </c>
      <c r="I176" s="94">
        <v>15.920458984374999</v>
      </c>
      <c r="J176" s="94">
        <v>5759.7172441778248</v>
      </c>
      <c r="K176" s="94">
        <v>2.9697537678757935</v>
      </c>
      <c r="L176" s="94">
        <v>0</v>
      </c>
      <c r="M176" s="94">
        <v>0</v>
      </c>
      <c r="N176" s="94">
        <v>0</v>
      </c>
      <c r="O176" s="94">
        <v>0</v>
      </c>
    </row>
    <row r="177" spans="1:15" x14ac:dyDescent="0.25">
      <c r="A177" s="89">
        <v>44649.333333333336</v>
      </c>
      <c r="B177" s="94">
        <v>359.63</v>
      </c>
      <c r="C177" s="94">
        <v>301.11928248126691</v>
      </c>
      <c r="D177" s="94">
        <v>89.2</v>
      </c>
      <c r="E177" s="94">
        <v>6.9652446971486937</v>
      </c>
      <c r="F177" s="94">
        <v>86.148902409251136</v>
      </c>
      <c r="G177" s="94">
        <v>6.9426409891139569</v>
      </c>
      <c r="H177" s="94">
        <v>80.463681809960278</v>
      </c>
      <c r="I177" s="94">
        <v>15.901801560996471</v>
      </c>
      <c r="J177" s="94">
        <v>5762.004274241016</v>
      </c>
      <c r="K177" s="94">
        <v>2.970132872078199</v>
      </c>
      <c r="L177" s="94">
        <v>0</v>
      </c>
      <c r="M177" s="94">
        <v>0</v>
      </c>
      <c r="N177" s="94">
        <v>0</v>
      </c>
      <c r="O177" s="94">
        <v>0</v>
      </c>
    </row>
    <row r="178" spans="1:15" x14ac:dyDescent="0.25">
      <c r="A178" s="89">
        <v>44649.833333333336</v>
      </c>
      <c r="B178" s="94">
        <v>359.63</v>
      </c>
      <c r="C178" s="94">
        <v>301.23457831046846</v>
      </c>
      <c r="D178" s="94">
        <v>89.84999947528047</v>
      </c>
      <c r="E178" s="94">
        <v>6.9524192906808384</v>
      </c>
      <c r="F178" s="94">
        <v>86.562464237085379</v>
      </c>
      <c r="G178" s="94">
        <v>6.9622877700035062</v>
      </c>
      <c r="H178" s="94">
        <v>80.352795606952327</v>
      </c>
      <c r="I178" s="94">
        <v>15.832462390160867</v>
      </c>
      <c r="J178" s="94">
        <v>6634.5305206274898</v>
      </c>
      <c r="K178" s="94">
        <v>3.0965239503393946</v>
      </c>
      <c r="L178" s="94">
        <v>0</v>
      </c>
      <c r="M178" s="94">
        <v>0</v>
      </c>
      <c r="N178" s="94">
        <v>10</v>
      </c>
      <c r="O178" s="94">
        <v>13</v>
      </c>
    </row>
    <row r="179" spans="1:15" x14ac:dyDescent="0.25">
      <c r="A179" s="89">
        <v>44650.333333333336</v>
      </c>
      <c r="B179" s="94">
        <v>359.6</v>
      </c>
      <c r="C179" s="94">
        <v>301.24672893559182</v>
      </c>
      <c r="D179" s="94">
        <v>89.617839965820309</v>
      </c>
      <c r="E179" s="94">
        <v>6.951099048333627</v>
      </c>
      <c r="F179" s="94">
        <v>86.5</v>
      </c>
      <c r="G179" s="94">
        <v>6.94</v>
      </c>
      <c r="H179" s="94">
        <v>80.434832805525332</v>
      </c>
      <c r="I179" s="94">
        <v>15.800449652073516</v>
      </c>
      <c r="J179" s="94">
        <v>6660.1206487532199</v>
      </c>
      <c r="K179" s="94">
        <v>3.1016745111849513</v>
      </c>
      <c r="L179" s="94">
        <v>0</v>
      </c>
      <c r="M179" s="94">
        <v>0</v>
      </c>
      <c r="N179" s="94">
        <v>11</v>
      </c>
      <c r="O179" s="94">
        <v>12.648044216932671</v>
      </c>
    </row>
    <row r="180" spans="1:15" x14ac:dyDescent="0.25">
      <c r="A180" s="89">
        <v>44650.833333333336</v>
      </c>
      <c r="B180" s="94">
        <v>359.6</v>
      </c>
      <c r="C180" s="94">
        <v>301.17</v>
      </c>
      <c r="D180" s="94">
        <v>89.75014594772162</v>
      </c>
      <c r="E180" s="94">
        <v>6.9932469035532998</v>
      </c>
      <c r="F180" s="94">
        <v>86.981483938614048</v>
      </c>
      <c r="G180" s="94">
        <v>6.9448256556928136</v>
      </c>
      <c r="H180" s="94">
        <v>80.311390888773445</v>
      </c>
      <c r="I180" s="94">
        <v>15.960069955704903</v>
      </c>
      <c r="J180" s="94">
        <v>6093.2332502267091</v>
      </c>
      <c r="K180" s="94">
        <v>3.0202711847018686</v>
      </c>
      <c r="L180" s="94">
        <v>0</v>
      </c>
      <c r="M180" s="94">
        <v>0</v>
      </c>
      <c r="N180" s="94">
        <v>0</v>
      </c>
      <c r="O180" s="94">
        <v>10</v>
      </c>
    </row>
    <row r="181" spans="1:15" x14ac:dyDescent="0.25">
      <c r="A181" s="89">
        <v>44651.333333333336</v>
      </c>
      <c r="B181" s="94">
        <v>359.54</v>
      </c>
      <c r="C181" s="94">
        <v>301.16201233682415</v>
      </c>
      <c r="D181" s="94">
        <v>89.6</v>
      </c>
      <c r="E181" s="94">
        <v>6.96</v>
      </c>
      <c r="F181" s="94">
        <v>85.791969237368633</v>
      </c>
      <c r="G181" s="94">
        <v>6.9508589742612594</v>
      </c>
      <c r="H181" s="94">
        <v>81</v>
      </c>
      <c r="I181" s="94">
        <v>15.839241932782066</v>
      </c>
      <c r="J181" s="94">
        <v>6093.1970405261818</v>
      </c>
      <c r="K181" s="94">
        <v>3.0203464535925439</v>
      </c>
      <c r="L181" s="94">
        <v>0</v>
      </c>
      <c r="M181" s="94">
        <v>0</v>
      </c>
      <c r="N181" s="94">
        <v>0</v>
      </c>
      <c r="O181" s="94">
        <v>10</v>
      </c>
    </row>
    <row r="182" spans="1:15" x14ac:dyDescent="0.25">
      <c r="A182" s="89">
        <v>44651.833333333336</v>
      </c>
      <c r="B182" s="94">
        <v>359.54</v>
      </c>
      <c r="C182" s="94">
        <v>301.2</v>
      </c>
      <c r="D182" s="94">
        <v>89.7</v>
      </c>
      <c r="E182" s="94">
        <v>6.9864518614648388</v>
      </c>
      <c r="F182" s="94">
        <v>87.176194167084603</v>
      </c>
      <c r="G182" s="94">
        <v>6.947672291580921</v>
      </c>
      <c r="H182" s="94">
        <v>80.599999999999994</v>
      </c>
      <c r="I182" s="94">
        <v>15.902837261059114</v>
      </c>
      <c r="J182" s="94">
        <v>6329.2892583566436</v>
      </c>
      <c r="K182" s="94">
        <v>3.0543110446540633</v>
      </c>
      <c r="L182" s="94">
        <v>0</v>
      </c>
      <c r="M182" s="94">
        <v>0</v>
      </c>
      <c r="N182" s="94">
        <v>0</v>
      </c>
      <c r="O182" s="94">
        <v>17</v>
      </c>
    </row>
    <row r="183" spans="1:15" x14ac:dyDescent="0.25">
      <c r="A183" s="89">
        <v>44652.333333333336</v>
      </c>
      <c r="B183" s="94">
        <v>359.5</v>
      </c>
      <c r="C183" s="94">
        <v>301.19812166650667</v>
      </c>
      <c r="D183" s="94">
        <v>89.2</v>
      </c>
      <c r="E183" s="94">
        <v>6.98</v>
      </c>
      <c r="F183" s="94">
        <v>87.309613570380833</v>
      </c>
      <c r="G183" s="94">
        <v>6.9668615952762618</v>
      </c>
      <c r="H183" s="94">
        <v>81.7</v>
      </c>
      <c r="I183" s="94">
        <v>16.036269273330873</v>
      </c>
      <c r="J183" s="94">
        <v>6369.9720606411893</v>
      </c>
      <c r="K183" s="94">
        <v>3.0600935427542519</v>
      </c>
      <c r="L183" s="94">
        <v>0</v>
      </c>
      <c r="M183" s="94">
        <v>0</v>
      </c>
      <c r="N183" s="94">
        <v>0</v>
      </c>
      <c r="O183" s="94">
        <v>16.610183898267564</v>
      </c>
    </row>
    <row r="184" spans="1:15" x14ac:dyDescent="0.25">
      <c r="A184" s="89">
        <v>44652.833333333336</v>
      </c>
      <c r="B184" s="94">
        <v>359.5</v>
      </c>
      <c r="C184" s="94">
        <v>301.17</v>
      </c>
      <c r="D184" s="94">
        <v>89.992799377441401</v>
      </c>
      <c r="E184" s="94">
        <v>6.9671168914481223</v>
      </c>
      <c r="F184" s="94">
        <v>87.14562886798889</v>
      </c>
      <c r="G184" s="94">
        <v>6.9527481361028443</v>
      </c>
      <c r="H184" s="94">
        <v>80.8</v>
      </c>
      <c r="I184" s="94">
        <v>15.880009201183887</v>
      </c>
      <c r="J184" s="94">
        <v>6165.6051479954658</v>
      </c>
      <c r="K184" s="94">
        <v>3.0291906877154844</v>
      </c>
      <c r="L184" s="94">
        <v>0</v>
      </c>
      <c r="M184" s="94">
        <v>0</v>
      </c>
      <c r="N184" s="94">
        <v>0</v>
      </c>
      <c r="O184" s="94">
        <v>11.667136482966241</v>
      </c>
    </row>
    <row r="185" spans="1:15" x14ac:dyDescent="0.25">
      <c r="A185" s="89">
        <v>44653.333333333336</v>
      </c>
      <c r="B185" s="94">
        <v>359.5</v>
      </c>
      <c r="C185" s="94">
        <v>301.17641201578152</v>
      </c>
      <c r="D185" s="94">
        <v>89.7</v>
      </c>
      <c r="E185" s="94">
        <v>6.9777373188129097</v>
      </c>
      <c r="F185" s="94">
        <v>86.9</v>
      </c>
      <c r="G185" s="94">
        <v>6.9958145021316751</v>
      </c>
      <c r="H185" s="94">
        <v>81.7</v>
      </c>
      <c r="I185" s="94">
        <v>15.922451009664492</v>
      </c>
      <c r="J185" s="94">
        <v>6186.6244294460457</v>
      </c>
      <c r="K185" s="94">
        <v>3.0338283362672418</v>
      </c>
      <c r="L185" s="94">
        <v>0</v>
      </c>
      <c r="M185" s="94">
        <v>0</v>
      </c>
      <c r="N185" s="94">
        <v>0</v>
      </c>
      <c r="O185" s="94">
        <v>12</v>
      </c>
    </row>
    <row r="186" spans="1:15" x14ac:dyDescent="0.25">
      <c r="A186" s="89">
        <v>44653.833333333336</v>
      </c>
      <c r="B186" s="94">
        <v>359.5</v>
      </c>
      <c r="C186" s="94">
        <v>301.17883959119268</v>
      </c>
      <c r="D186" s="94">
        <v>89.7</v>
      </c>
      <c r="E186" s="94">
        <v>6.9881516126086822</v>
      </c>
      <c r="F186" s="94">
        <v>87</v>
      </c>
      <c r="G186" s="94">
        <v>6.9789079476993505</v>
      </c>
      <c r="H186" s="94">
        <v>81.371574854623333</v>
      </c>
      <c r="I186" s="94">
        <v>15.82</v>
      </c>
      <c r="J186" s="94">
        <v>6160</v>
      </c>
      <c r="K186" s="94">
        <v>3.0282199919416728</v>
      </c>
      <c r="L186" s="94">
        <v>0</v>
      </c>
      <c r="M186" s="94">
        <v>0</v>
      </c>
      <c r="N186" s="94">
        <v>0</v>
      </c>
      <c r="O186" s="94">
        <v>11</v>
      </c>
    </row>
    <row r="187" spans="1:15" x14ac:dyDescent="0.25">
      <c r="A187" s="89">
        <v>44654.333333333336</v>
      </c>
      <c r="B187" s="94">
        <v>359.5</v>
      </c>
      <c r="C187" s="94">
        <v>301.17</v>
      </c>
      <c r="D187" s="94">
        <v>89.525215266301075</v>
      </c>
      <c r="E187" s="94">
        <v>6.9518009098819906</v>
      </c>
      <c r="F187" s="94">
        <v>87.030441077338111</v>
      </c>
      <c r="G187" s="94">
        <v>6.9846448516845703</v>
      </c>
      <c r="H187" s="94">
        <v>81.783661514673469</v>
      </c>
      <c r="I187" s="94">
        <v>15.917687006526402</v>
      </c>
      <c r="J187" s="94">
        <v>6178.2297752420609</v>
      </c>
      <c r="K187" s="94">
        <v>3.0329999999999999</v>
      </c>
      <c r="L187" s="94">
        <v>0</v>
      </c>
      <c r="M187" s="94">
        <v>0</v>
      </c>
      <c r="N187" s="94">
        <v>0</v>
      </c>
      <c r="O187" s="94">
        <v>11</v>
      </c>
    </row>
    <row r="188" spans="1:15" x14ac:dyDescent="0.25">
      <c r="A188" s="89">
        <v>44654.833333333336</v>
      </c>
      <c r="B188" s="94">
        <v>359.5</v>
      </c>
      <c r="C188" s="94">
        <v>301.01582879798065</v>
      </c>
      <c r="D188" s="94">
        <v>69</v>
      </c>
      <c r="E188" s="94">
        <v>5.56</v>
      </c>
      <c r="F188" s="94">
        <v>67.721219113605628</v>
      </c>
      <c r="G188" s="94">
        <v>5.47</v>
      </c>
      <c r="H188" s="94">
        <v>81.699075546605954</v>
      </c>
      <c r="I188" s="94">
        <v>16.011361479469077</v>
      </c>
      <c r="J188" s="94">
        <v>5202.3758461515863</v>
      </c>
      <c r="K188" s="94">
        <v>2.8801529242866568</v>
      </c>
      <c r="L188" s="94">
        <v>0</v>
      </c>
      <c r="M188" s="94">
        <v>0</v>
      </c>
      <c r="N188" s="94">
        <v>0</v>
      </c>
      <c r="O188" s="94">
        <v>0</v>
      </c>
    </row>
    <row r="189" spans="1:15" x14ac:dyDescent="0.25">
      <c r="A189" s="89">
        <v>44655.333333333336</v>
      </c>
      <c r="B189" s="94">
        <v>359.48547014373258</v>
      </c>
      <c r="C189" s="94">
        <v>301.01253691054626</v>
      </c>
      <c r="D189" s="94">
        <v>68.215959328650598</v>
      </c>
      <c r="E189" s="94">
        <v>5.5046760379109427</v>
      </c>
      <c r="F189" s="94">
        <v>67.400000000000006</v>
      </c>
      <c r="G189" s="94">
        <v>5.474619371607675</v>
      </c>
      <c r="H189" s="94">
        <v>81.580520071260963</v>
      </c>
      <c r="I189" s="94">
        <v>16.013635577905241</v>
      </c>
      <c r="J189" s="94">
        <v>5200</v>
      </c>
      <c r="K189" s="94">
        <v>2.88</v>
      </c>
      <c r="L189" s="94">
        <v>0</v>
      </c>
      <c r="M189" s="94">
        <v>0</v>
      </c>
      <c r="N189" s="94">
        <v>0</v>
      </c>
      <c r="O189" s="94">
        <v>0</v>
      </c>
    </row>
    <row r="190" spans="1:15" x14ac:dyDescent="0.25">
      <c r="A190" s="89">
        <v>44655.833333333336</v>
      </c>
      <c r="B190" s="94">
        <v>359.3</v>
      </c>
      <c r="C190" s="94">
        <v>300.71342350547292</v>
      </c>
      <c r="D190" s="94">
        <v>71.599999999999994</v>
      </c>
      <c r="E190" s="94">
        <v>5.4971059323993154</v>
      </c>
      <c r="F190" s="94">
        <v>59.209496466431098</v>
      </c>
      <c r="G190" s="94">
        <v>4.0800478422655004</v>
      </c>
      <c r="H190" s="94">
        <v>48.70620796927863</v>
      </c>
      <c r="I190" s="94">
        <v>7.0429501163799006</v>
      </c>
      <c r="J190" s="94">
        <v>3545</v>
      </c>
      <c r="K190" s="94">
        <v>2.5868958385685925</v>
      </c>
      <c r="L190" s="94">
        <v>0</v>
      </c>
      <c r="M190" s="94">
        <v>0</v>
      </c>
      <c r="N190" s="94">
        <v>0</v>
      </c>
      <c r="O190" s="94">
        <v>0</v>
      </c>
    </row>
    <row r="191" spans="1:15" x14ac:dyDescent="0.25">
      <c r="A191" s="89">
        <v>44656.333333333336</v>
      </c>
      <c r="B191" s="94">
        <v>359.3</v>
      </c>
      <c r="C191" s="94">
        <v>300.70999999999998</v>
      </c>
      <c r="D191" s="94">
        <v>69.443271300551118</v>
      </c>
      <c r="E191" s="94">
        <v>5.5465862226974183</v>
      </c>
      <c r="F191" s="94">
        <v>60.8</v>
      </c>
      <c r="G191" s="94">
        <v>4.07</v>
      </c>
      <c r="H191" s="94">
        <v>49.066819192905619</v>
      </c>
      <c r="I191" s="94">
        <v>7.1292914850157008</v>
      </c>
      <c r="J191" s="94">
        <v>3536.6774366927361</v>
      </c>
      <c r="K191" s="94">
        <v>2.585212447825374</v>
      </c>
      <c r="L191" s="94">
        <v>0</v>
      </c>
      <c r="M191" s="94">
        <v>0</v>
      </c>
      <c r="N191" s="94">
        <v>0</v>
      </c>
      <c r="O191" s="94">
        <v>0</v>
      </c>
    </row>
    <row r="192" spans="1:15" x14ac:dyDescent="0.25">
      <c r="A192" s="89">
        <v>44656.833333333336</v>
      </c>
      <c r="B192" s="94">
        <v>359.3</v>
      </c>
      <c r="C192" s="94">
        <v>300.38</v>
      </c>
      <c r="D192" s="94">
        <v>63.84108937657674</v>
      </c>
      <c r="E192" s="94">
        <v>5.1324251296126864</v>
      </c>
      <c r="F192" s="94">
        <v>63.456355217321594</v>
      </c>
      <c r="G192" s="94">
        <v>5.0928047453974319</v>
      </c>
      <c r="H192" s="94">
        <v>0.3</v>
      </c>
      <c r="I192" s="94">
        <v>0</v>
      </c>
      <c r="J192" s="94">
        <v>1994.9828494383116</v>
      </c>
      <c r="K192" s="94">
        <v>2.2244276438183821</v>
      </c>
      <c r="L192" s="94">
        <v>0</v>
      </c>
      <c r="M192" s="94">
        <v>0</v>
      </c>
      <c r="N192" s="94">
        <v>0</v>
      </c>
      <c r="O192" s="94">
        <v>0</v>
      </c>
    </row>
    <row r="193" spans="1:15" x14ac:dyDescent="0.25">
      <c r="A193" s="89">
        <v>44657.333333333336</v>
      </c>
      <c r="B193" s="94">
        <v>359.32510395264552</v>
      </c>
      <c r="C193" s="94">
        <v>300.37260324085298</v>
      </c>
      <c r="D193" s="94">
        <v>63.5</v>
      </c>
      <c r="E193" s="94">
        <v>5.1001539152445501</v>
      </c>
      <c r="F193" s="94">
        <v>68</v>
      </c>
      <c r="G193" s="94">
        <v>5.0724550379755513</v>
      </c>
      <c r="H193" s="94">
        <v>1.0476576885821114</v>
      </c>
      <c r="I193" s="94">
        <v>0</v>
      </c>
      <c r="J193" s="94">
        <v>1985.501824467023</v>
      </c>
      <c r="K193" s="94">
        <v>2.2214694086551074</v>
      </c>
      <c r="L193" s="94">
        <v>0</v>
      </c>
      <c r="M193" s="94">
        <v>0</v>
      </c>
      <c r="N193" s="94">
        <v>0</v>
      </c>
      <c r="O193" s="94">
        <v>0</v>
      </c>
    </row>
    <row r="194" spans="1:15" x14ac:dyDescent="0.25">
      <c r="A194" s="89">
        <v>44657.833333333336</v>
      </c>
      <c r="B194" s="94">
        <v>359.38</v>
      </c>
      <c r="C194" s="94">
        <v>300.37865389407352</v>
      </c>
      <c r="D194" s="94">
        <v>63.3</v>
      </c>
      <c r="E194" s="94">
        <v>5.03</v>
      </c>
      <c r="F194" s="94">
        <v>68</v>
      </c>
      <c r="G194" s="94">
        <v>5.0736764123045033</v>
      </c>
      <c r="H194" s="94">
        <v>1.0699674894933691</v>
      </c>
      <c r="I194" s="94">
        <v>0</v>
      </c>
      <c r="J194" s="94">
        <v>1968.7902824896805</v>
      </c>
      <c r="K194" s="94">
        <v>2.218</v>
      </c>
      <c r="L194" s="94">
        <v>0</v>
      </c>
      <c r="M194" s="94">
        <v>0</v>
      </c>
      <c r="N194" s="94">
        <v>0</v>
      </c>
      <c r="O194" s="94">
        <v>0</v>
      </c>
    </row>
    <row r="195" spans="1:15" x14ac:dyDescent="0.25">
      <c r="A195" s="89">
        <v>44658.333333333336</v>
      </c>
      <c r="B195" s="94">
        <v>359.39266481312671</v>
      </c>
      <c r="C195" s="94">
        <v>300.37004349007884</v>
      </c>
      <c r="D195" s="94">
        <v>63.1</v>
      </c>
      <c r="E195" s="94">
        <v>5.08</v>
      </c>
      <c r="F195" s="94">
        <v>67.896753123023103</v>
      </c>
      <c r="G195" s="94">
        <v>5.1112699890136719</v>
      </c>
      <c r="H195" s="94">
        <v>1.1454636935255933</v>
      </c>
      <c r="I195" s="94">
        <v>0</v>
      </c>
      <c r="J195" s="94">
        <v>1985.4079304711563</v>
      </c>
      <c r="K195" s="94">
        <v>2.2217917664827147</v>
      </c>
      <c r="L195" s="94">
        <v>0</v>
      </c>
      <c r="M195" s="94">
        <v>0</v>
      </c>
      <c r="N195" s="94">
        <v>0</v>
      </c>
      <c r="O195" s="94">
        <v>0</v>
      </c>
    </row>
    <row r="196" spans="1:15" x14ac:dyDescent="0.25">
      <c r="A196" s="89">
        <v>44658.833333333336</v>
      </c>
      <c r="B196" s="94">
        <v>359.42</v>
      </c>
      <c r="C196" s="94">
        <v>300.37615052320973</v>
      </c>
      <c r="D196" s="94">
        <v>63.1</v>
      </c>
      <c r="E196" s="94">
        <v>5.0938241528115924</v>
      </c>
      <c r="F196" s="94">
        <v>68.099999999999994</v>
      </c>
      <c r="G196" s="94">
        <v>5.1049044615173127</v>
      </c>
      <c r="H196" s="94">
        <v>1.1946192488306751</v>
      </c>
      <c r="I196" s="94">
        <v>0</v>
      </c>
      <c r="J196" s="94">
        <v>1971.1973598425357</v>
      </c>
      <c r="K196" s="94">
        <v>2.2172278691413472</v>
      </c>
      <c r="L196" s="94">
        <v>0</v>
      </c>
      <c r="M196" s="94">
        <v>0</v>
      </c>
      <c r="N196" s="94">
        <v>0</v>
      </c>
      <c r="O196" s="94">
        <v>0</v>
      </c>
    </row>
    <row r="197" spans="1:15" x14ac:dyDescent="0.25">
      <c r="A197" s="89">
        <v>44659.333333333336</v>
      </c>
      <c r="B197" s="94">
        <v>359.43542262606286</v>
      </c>
      <c r="C197" s="94">
        <v>300.37992226420641</v>
      </c>
      <c r="D197" s="94">
        <v>62.993003500156327</v>
      </c>
      <c r="E197" s="94">
        <v>5.1213999938964845</v>
      </c>
      <c r="F197" s="94">
        <v>67.7</v>
      </c>
      <c r="G197" s="94">
        <v>5.09</v>
      </c>
      <c r="H197" s="94">
        <v>1.2</v>
      </c>
      <c r="I197" s="94">
        <v>0</v>
      </c>
      <c r="J197" s="94">
        <v>1974.2148287994812</v>
      </c>
      <c r="K197" s="94">
        <v>2.2186117244717192</v>
      </c>
      <c r="L197" s="94">
        <v>0</v>
      </c>
      <c r="M197" s="94">
        <v>0</v>
      </c>
      <c r="N197" s="94">
        <v>0</v>
      </c>
      <c r="O197" s="94">
        <v>0</v>
      </c>
    </row>
    <row r="198" spans="1:15" x14ac:dyDescent="0.25">
      <c r="A198" s="89">
        <v>44659.833333333336</v>
      </c>
      <c r="B198" s="94">
        <v>359.45</v>
      </c>
      <c r="C198" s="94">
        <v>300.37026200009677</v>
      </c>
      <c r="D198" s="94">
        <v>62.975542487598553</v>
      </c>
      <c r="E198" s="94">
        <v>5.0885008488446566</v>
      </c>
      <c r="F198" s="94">
        <v>67.775948968181353</v>
      </c>
      <c r="G198" s="94">
        <v>5.1371886468297943</v>
      </c>
      <c r="H198" s="94">
        <v>1.2</v>
      </c>
      <c r="I198" s="94">
        <v>0</v>
      </c>
      <c r="J198" s="94">
        <v>1975.2125323237603</v>
      </c>
      <c r="K198" s="94">
        <v>2.2189703224243633</v>
      </c>
      <c r="L198" s="94">
        <v>0</v>
      </c>
      <c r="M198" s="94">
        <v>0</v>
      </c>
      <c r="N198" s="94">
        <v>0</v>
      </c>
      <c r="O198" s="94">
        <v>0</v>
      </c>
    </row>
    <row r="199" spans="1:15" x14ac:dyDescent="0.25">
      <c r="A199" s="89">
        <v>44660.333333333336</v>
      </c>
      <c r="B199" s="94">
        <v>359.45</v>
      </c>
      <c r="C199" s="94">
        <v>300.37758207741854</v>
      </c>
      <c r="D199" s="94">
        <v>62.961244654630327</v>
      </c>
      <c r="E199" s="94">
        <v>5.1041595458984377</v>
      </c>
      <c r="F199" s="94">
        <v>67.754254553878411</v>
      </c>
      <c r="G199" s="94">
        <v>5.116986604711947</v>
      </c>
      <c r="H199" s="94">
        <v>1.2</v>
      </c>
      <c r="I199" s="94">
        <v>0</v>
      </c>
      <c r="J199" s="94">
        <v>1983</v>
      </c>
      <c r="K199" s="94">
        <v>2.2206954826188432</v>
      </c>
      <c r="L199" s="94">
        <v>0</v>
      </c>
      <c r="M199" s="94">
        <v>0</v>
      </c>
      <c r="N199" s="94">
        <v>0</v>
      </c>
      <c r="O199" s="94">
        <v>0</v>
      </c>
    </row>
    <row r="200" spans="1:15" x14ac:dyDescent="0.25">
      <c r="A200" s="89">
        <v>44660.833333333336</v>
      </c>
      <c r="B200" s="94">
        <v>359.45</v>
      </c>
      <c r="C200" s="94">
        <v>300.37900446365359</v>
      </c>
      <c r="D200" s="94">
        <v>63.087151585154565</v>
      </c>
      <c r="E200" s="94">
        <v>5.1291403032429299</v>
      </c>
      <c r="F200" s="94">
        <v>67.847800620668423</v>
      </c>
      <c r="G200" s="94">
        <v>5.1173733355601776</v>
      </c>
      <c r="H200" s="94">
        <v>1.2</v>
      </c>
      <c r="I200" s="94">
        <v>0</v>
      </c>
      <c r="J200" s="94">
        <v>1975.3269200280349</v>
      </c>
      <c r="K200" s="94">
        <v>2.218</v>
      </c>
      <c r="L200" s="94">
        <v>0</v>
      </c>
      <c r="M200" s="94">
        <v>0</v>
      </c>
      <c r="N200" s="94">
        <v>0</v>
      </c>
      <c r="O200" s="94">
        <v>0</v>
      </c>
    </row>
    <row r="201" spans="1:15" x14ac:dyDescent="0.25">
      <c r="A201" s="89">
        <v>44661.333333333336</v>
      </c>
      <c r="B201" s="94">
        <v>359.45</v>
      </c>
      <c r="C201" s="94">
        <v>300.37092364123913</v>
      </c>
      <c r="D201" s="94">
        <v>63</v>
      </c>
      <c r="E201" s="94">
        <v>5.137178893774589</v>
      </c>
      <c r="F201" s="94">
        <v>65.789289069122731</v>
      </c>
      <c r="G201" s="94">
        <v>5.1250416737903919</v>
      </c>
      <c r="H201" s="94">
        <v>1.2</v>
      </c>
      <c r="I201" s="94">
        <v>0</v>
      </c>
      <c r="J201" s="94">
        <v>1976</v>
      </c>
      <c r="K201" s="94">
        <v>2.218</v>
      </c>
      <c r="L201" s="94">
        <v>0</v>
      </c>
      <c r="M201" s="94">
        <v>0</v>
      </c>
      <c r="N201" s="94">
        <v>0</v>
      </c>
      <c r="O201" s="94">
        <v>0</v>
      </c>
    </row>
    <row r="202" spans="1:15" x14ac:dyDescent="0.25">
      <c r="A202" s="89">
        <v>44661.833333333336</v>
      </c>
      <c r="B202" s="94">
        <v>359.45</v>
      </c>
      <c r="C202" s="94">
        <v>300.37564701090361</v>
      </c>
      <c r="D202" s="94">
        <v>62.6</v>
      </c>
      <c r="E202" s="94">
        <v>5.12</v>
      </c>
      <c r="F202" s="94">
        <v>64.868883631656473</v>
      </c>
      <c r="G202" s="94">
        <v>5.1297947828600332</v>
      </c>
      <c r="H202" s="94">
        <v>1.2</v>
      </c>
      <c r="I202" s="94">
        <v>0</v>
      </c>
      <c r="J202" s="94">
        <v>1960.014226858746</v>
      </c>
      <c r="K202" s="94">
        <v>2.2151958311578754</v>
      </c>
      <c r="L202" s="94">
        <v>0</v>
      </c>
      <c r="M202" s="94">
        <v>0</v>
      </c>
      <c r="N202" s="94">
        <v>0</v>
      </c>
      <c r="O202" s="94">
        <v>0</v>
      </c>
    </row>
    <row r="203" spans="1:15" x14ac:dyDescent="0.25">
      <c r="A203" s="89">
        <v>44662.333333333336</v>
      </c>
      <c r="B203" s="94">
        <v>359.98</v>
      </c>
      <c r="C203" s="94">
        <v>300.36517092126252</v>
      </c>
      <c r="D203" s="94">
        <v>62.4</v>
      </c>
      <c r="E203" s="94">
        <v>5.0945178784814775</v>
      </c>
      <c r="F203" s="94">
        <v>62.396783185793716</v>
      </c>
      <c r="G203" s="94">
        <v>5.1261587109481601</v>
      </c>
      <c r="H203" s="94">
        <v>1.2238781463794539</v>
      </c>
      <c r="I203" s="94">
        <v>0</v>
      </c>
      <c r="J203" s="94">
        <v>1956.6561823689685</v>
      </c>
      <c r="K203" s="94">
        <v>2.214838900261737</v>
      </c>
      <c r="L203" s="94">
        <v>0</v>
      </c>
      <c r="M203" s="94">
        <v>0</v>
      </c>
      <c r="N203" s="94">
        <v>0</v>
      </c>
      <c r="O203" s="94">
        <v>0</v>
      </c>
    </row>
    <row r="204" spans="1:15" x14ac:dyDescent="0.25">
      <c r="A204" s="89">
        <v>44662.833333333336</v>
      </c>
      <c r="B204" s="94">
        <v>359.98</v>
      </c>
      <c r="C204" s="94">
        <v>300.47770990303638</v>
      </c>
      <c r="D204" s="94">
        <v>77.99429314468523</v>
      </c>
      <c r="E204" s="94">
        <v>6.3251910412477166</v>
      </c>
      <c r="F204" s="94">
        <v>73.7</v>
      </c>
      <c r="G204" s="94">
        <v>6.2389527940310705</v>
      </c>
      <c r="H204" s="94">
        <v>1.2</v>
      </c>
      <c r="I204" s="94">
        <v>0</v>
      </c>
      <c r="J204" s="94">
        <v>2386.0083020705233</v>
      </c>
      <c r="K204" s="94">
        <v>2.3287630437376601</v>
      </c>
      <c r="L204" s="94">
        <v>0</v>
      </c>
      <c r="M204" s="94">
        <v>0</v>
      </c>
      <c r="N204" s="94">
        <v>0</v>
      </c>
      <c r="O204" s="94">
        <v>0</v>
      </c>
    </row>
    <row r="205" spans="1:15" x14ac:dyDescent="0.25">
      <c r="A205" s="89">
        <v>44663.333333333336</v>
      </c>
      <c r="B205" s="94">
        <v>361.14</v>
      </c>
      <c r="C205" s="94">
        <v>300.48190154092674</v>
      </c>
      <c r="D205" s="94">
        <v>77.574398803710935</v>
      </c>
      <c r="E205" s="94">
        <v>6.36</v>
      </c>
      <c r="F205" s="94">
        <v>77.989767702825503</v>
      </c>
      <c r="G205" s="94">
        <v>6.3496953283683135</v>
      </c>
      <c r="H205" s="94">
        <v>1.2</v>
      </c>
      <c r="I205" s="94">
        <v>0</v>
      </c>
      <c r="J205" s="94">
        <v>2390</v>
      </c>
      <c r="K205" s="94">
        <v>2.33</v>
      </c>
      <c r="L205" s="94">
        <v>0</v>
      </c>
      <c r="M205" s="94">
        <v>0</v>
      </c>
      <c r="N205" s="94">
        <v>0</v>
      </c>
      <c r="O205" s="94">
        <v>0</v>
      </c>
    </row>
    <row r="206" spans="1:15" x14ac:dyDescent="0.25">
      <c r="A206" s="89">
        <v>44663.833333333336</v>
      </c>
      <c r="B206" s="94">
        <v>360.14</v>
      </c>
      <c r="C206" s="94">
        <v>300.48582551160558</v>
      </c>
      <c r="D206" s="94">
        <v>77.8</v>
      </c>
      <c r="E206" s="94">
        <v>6.3736726903553302</v>
      </c>
      <c r="F206" s="94">
        <v>78.3</v>
      </c>
      <c r="G206" s="94">
        <v>6.3554493124400384</v>
      </c>
      <c r="H206" s="94">
        <v>1.2</v>
      </c>
      <c r="I206" s="94">
        <v>0</v>
      </c>
      <c r="J206" s="94">
        <v>2388.3732354066342</v>
      </c>
      <c r="K206" s="94">
        <v>2.3296571034012161</v>
      </c>
      <c r="L206" s="94">
        <v>0</v>
      </c>
      <c r="M206" s="94">
        <v>0</v>
      </c>
      <c r="N206" s="94">
        <v>0</v>
      </c>
      <c r="O206" s="94">
        <v>0</v>
      </c>
    </row>
    <row r="207" spans="1:15" x14ac:dyDescent="0.25">
      <c r="A207" s="89">
        <v>44664.333333333336</v>
      </c>
      <c r="B207" s="94">
        <v>360.22932390508174</v>
      </c>
      <c r="C207" s="94">
        <v>300.48346170103156</v>
      </c>
      <c r="D207" s="94">
        <v>77.5</v>
      </c>
      <c r="E207" s="94">
        <v>6.3857971502471731</v>
      </c>
      <c r="F207" s="94">
        <v>78.099999999999994</v>
      </c>
      <c r="G207" s="94">
        <v>6.3124950253807102</v>
      </c>
      <c r="H207" s="94">
        <v>1.2</v>
      </c>
      <c r="I207" s="94">
        <v>0</v>
      </c>
      <c r="J207" s="94">
        <v>2398</v>
      </c>
      <c r="K207" s="94">
        <v>2.3307205154480011</v>
      </c>
      <c r="L207" s="94">
        <v>0</v>
      </c>
      <c r="M207" s="94">
        <v>0</v>
      </c>
      <c r="N207" s="94">
        <v>0</v>
      </c>
      <c r="O207" s="94">
        <v>0</v>
      </c>
    </row>
    <row r="208" spans="1:15" x14ac:dyDescent="0.25">
      <c r="A208" s="89">
        <v>44664.833333333336</v>
      </c>
      <c r="B208" s="94">
        <v>360.24</v>
      </c>
      <c r="C208" s="94">
        <v>300.44</v>
      </c>
      <c r="D208" s="94">
        <v>74.400000000000006</v>
      </c>
      <c r="E208" s="94">
        <v>5.8449429463234912</v>
      </c>
      <c r="F208" s="94">
        <v>74.400000000000006</v>
      </c>
      <c r="G208" s="94">
        <v>5.857402518215908</v>
      </c>
      <c r="H208" s="94">
        <v>1.2</v>
      </c>
      <c r="I208" s="94">
        <v>0</v>
      </c>
      <c r="J208" s="94">
        <v>2197.9576230921371</v>
      </c>
      <c r="K208" s="94">
        <v>2.2821475990811093</v>
      </c>
      <c r="L208" s="94">
        <v>0</v>
      </c>
      <c r="M208" s="94">
        <v>0</v>
      </c>
      <c r="N208" s="94">
        <v>0</v>
      </c>
      <c r="O208" s="94">
        <v>0</v>
      </c>
    </row>
    <row r="209" spans="1:15" x14ac:dyDescent="0.25">
      <c r="A209" s="89">
        <v>44665.333333333336</v>
      </c>
      <c r="B209" s="94">
        <v>360.31297418492051</v>
      </c>
      <c r="C209" s="94">
        <v>300.44</v>
      </c>
      <c r="D209" s="94">
        <v>74.241724270027831</v>
      </c>
      <c r="E209" s="94">
        <v>5.867220804777868</v>
      </c>
      <c r="F209" s="94">
        <v>73.649375580578308</v>
      </c>
      <c r="G209" s="94">
        <v>5.8678421987302123</v>
      </c>
      <c r="H209" s="94">
        <v>1.3</v>
      </c>
      <c r="I209" s="94">
        <v>0</v>
      </c>
      <c r="J209" s="94">
        <v>2218</v>
      </c>
      <c r="K209" s="94">
        <v>2.2862607765674348</v>
      </c>
      <c r="L209" s="94">
        <v>0</v>
      </c>
      <c r="M209" s="94">
        <v>0</v>
      </c>
      <c r="N209" s="94">
        <v>0</v>
      </c>
      <c r="O209" s="94">
        <v>0</v>
      </c>
    </row>
    <row r="210" spans="1:15" x14ac:dyDescent="0.25">
      <c r="A210" s="89">
        <v>44665.833333333336</v>
      </c>
      <c r="B210" s="94">
        <v>360.32</v>
      </c>
      <c r="C210" s="94">
        <v>300.36</v>
      </c>
      <c r="D210" s="94">
        <v>62.405553625096779</v>
      </c>
      <c r="E210" s="94">
        <v>5.1386071401269016</v>
      </c>
      <c r="F210" s="94">
        <v>67.099999999999994</v>
      </c>
      <c r="G210" s="94">
        <v>5.0481600952148433</v>
      </c>
      <c r="H210" s="94">
        <v>1.2</v>
      </c>
      <c r="I210" s="94">
        <v>0</v>
      </c>
      <c r="J210" s="94">
        <v>1957.6232183999541</v>
      </c>
      <c r="K210" s="94">
        <v>2.2143150114271273</v>
      </c>
      <c r="L210" s="94">
        <v>0</v>
      </c>
      <c r="M210" s="94">
        <v>0</v>
      </c>
      <c r="N210" s="94">
        <v>0</v>
      </c>
      <c r="O210" s="94">
        <v>0</v>
      </c>
    </row>
    <row r="211" spans="1:15" x14ac:dyDescent="0.25">
      <c r="A211" s="89">
        <v>44666.333333333336</v>
      </c>
      <c r="B211" s="94">
        <v>360.32</v>
      </c>
      <c r="C211" s="94">
        <v>300.36628404767839</v>
      </c>
      <c r="D211" s="94">
        <v>61.620859985351565</v>
      </c>
      <c r="E211" s="94">
        <v>5.0704394030578435</v>
      </c>
      <c r="F211" s="94">
        <v>67.099999999999994</v>
      </c>
      <c r="G211" s="94">
        <v>5.1104087811111789</v>
      </c>
      <c r="H211" s="94">
        <v>1.3</v>
      </c>
      <c r="I211" s="94">
        <v>0</v>
      </c>
      <c r="J211" s="94">
        <v>1944.6633498122342</v>
      </c>
      <c r="K211" s="94">
        <v>2.2109999999999999</v>
      </c>
      <c r="L211" s="94">
        <v>0</v>
      </c>
      <c r="M211" s="94">
        <v>0</v>
      </c>
      <c r="N211" s="94">
        <v>0</v>
      </c>
      <c r="O211" s="94">
        <v>0</v>
      </c>
    </row>
    <row r="212" spans="1:15" x14ac:dyDescent="0.25">
      <c r="A212" s="89">
        <v>44666.833333333336</v>
      </c>
      <c r="B212" s="94">
        <v>360.32</v>
      </c>
      <c r="C212" s="94">
        <v>300.36930957971236</v>
      </c>
      <c r="D212" s="94">
        <v>61.902303309862383</v>
      </c>
      <c r="E212" s="94">
        <v>5.1100000000000003</v>
      </c>
      <c r="F212" s="94">
        <v>67.101531975415242</v>
      </c>
      <c r="G212" s="94">
        <v>5.1100000000000003</v>
      </c>
      <c r="H212" s="94">
        <v>1.2</v>
      </c>
      <c r="I212" s="94">
        <v>0</v>
      </c>
      <c r="J212" s="94">
        <v>1954.4146642804833</v>
      </c>
      <c r="K212" s="94">
        <v>2.2119266439326095</v>
      </c>
      <c r="L212" s="94">
        <v>0</v>
      </c>
      <c r="M212" s="94">
        <v>0</v>
      </c>
      <c r="N212" s="94">
        <v>0</v>
      </c>
      <c r="O212" s="94">
        <v>0</v>
      </c>
    </row>
    <row r="213" spans="1:15" x14ac:dyDescent="0.25">
      <c r="A213" s="89">
        <v>44667.333333333336</v>
      </c>
      <c r="B213" s="94">
        <v>360.32</v>
      </c>
      <c r="C213" s="94">
        <v>300.36</v>
      </c>
      <c r="D213" s="94">
        <v>61.5</v>
      </c>
      <c r="E213" s="94">
        <v>5.0686938108213315</v>
      </c>
      <c r="F213" s="94">
        <v>66.807857747380936</v>
      </c>
      <c r="G213" s="94">
        <v>5.0975302192330672</v>
      </c>
      <c r="H213" s="94">
        <v>1.2565954863736575</v>
      </c>
      <c r="I213" s="94">
        <v>0</v>
      </c>
      <c r="J213" s="94">
        <v>1945.1853216653346</v>
      </c>
      <c r="K213" s="94">
        <v>2.2113200016215715</v>
      </c>
      <c r="L213" s="94">
        <v>0</v>
      </c>
      <c r="M213" s="94">
        <v>0</v>
      </c>
      <c r="N213" s="94">
        <v>0</v>
      </c>
      <c r="O213" s="94">
        <v>0</v>
      </c>
    </row>
    <row r="214" spans="1:15" x14ac:dyDescent="0.25">
      <c r="A214" s="89">
        <v>44667.833333333336</v>
      </c>
      <c r="B214" s="94">
        <v>360.32</v>
      </c>
      <c r="C214" s="94">
        <v>300.36295398122843</v>
      </c>
      <c r="D214" s="94">
        <v>62</v>
      </c>
      <c r="E214" s="94">
        <v>5.09</v>
      </c>
      <c r="F214" s="94">
        <v>67.242503639503767</v>
      </c>
      <c r="G214" s="94">
        <v>5.1296795654296874</v>
      </c>
      <c r="H214" s="94">
        <v>1.2</v>
      </c>
      <c r="I214" s="94">
        <v>0</v>
      </c>
      <c r="J214" s="94">
        <v>1949.5821269563282</v>
      </c>
      <c r="K214" s="94">
        <v>2.2120000000000002</v>
      </c>
      <c r="L214" s="94">
        <v>0</v>
      </c>
      <c r="M214" s="94">
        <v>0</v>
      </c>
      <c r="N214" s="94">
        <v>0</v>
      </c>
      <c r="O214" s="94">
        <v>0</v>
      </c>
    </row>
    <row r="215" spans="1:15" x14ac:dyDescent="0.25">
      <c r="A215" s="89">
        <v>44668.333333333336</v>
      </c>
      <c r="B215" s="94">
        <v>360.32</v>
      </c>
      <c r="C215" s="94">
        <v>300.36136902968286</v>
      </c>
      <c r="D215" s="94">
        <v>61.6</v>
      </c>
      <c r="E215" s="94">
        <v>5.1197136210329557</v>
      </c>
      <c r="F215" s="94">
        <v>66.8</v>
      </c>
      <c r="G215" s="94">
        <v>5.1391982264352878</v>
      </c>
      <c r="H215" s="94">
        <v>1.3</v>
      </c>
      <c r="I215" s="94">
        <v>0</v>
      </c>
      <c r="J215" s="94">
        <v>1948</v>
      </c>
      <c r="K215" s="94">
        <v>2.21146622315631</v>
      </c>
      <c r="L215" s="94">
        <v>0</v>
      </c>
      <c r="M215" s="94">
        <v>0</v>
      </c>
      <c r="N215" s="94">
        <v>0</v>
      </c>
      <c r="O215" s="94">
        <v>0</v>
      </c>
    </row>
    <row r="216" spans="1:15" x14ac:dyDescent="0.25">
      <c r="A216" s="89">
        <v>44668.833333333336</v>
      </c>
      <c r="B216" s="94">
        <v>360.32</v>
      </c>
      <c r="C216" s="94">
        <v>300.36148704828912</v>
      </c>
      <c r="D216" s="94">
        <v>61.977867211853379</v>
      </c>
      <c r="E216" s="94">
        <v>5.1235987067748914</v>
      </c>
      <c r="F216" s="94">
        <v>67.388924084295624</v>
      </c>
      <c r="G216" s="94">
        <v>5.12</v>
      </c>
      <c r="H216" s="94">
        <v>1.2</v>
      </c>
      <c r="I216" s="94">
        <v>0</v>
      </c>
      <c r="J216" s="94">
        <v>1946.3955295847379</v>
      </c>
      <c r="K216" s="94">
        <v>2.2116052914670439</v>
      </c>
      <c r="L216" s="94">
        <v>0</v>
      </c>
      <c r="M216" s="94">
        <v>0</v>
      </c>
      <c r="N216" s="94">
        <v>0</v>
      </c>
      <c r="O216" s="94">
        <v>0</v>
      </c>
    </row>
    <row r="217" spans="1:15" x14ac:dyDescent="0.25">
      <c r="A217" s="89">
        <v>44669.333333333336</v>
      </c>
      <c r="B217" s="94">
        <v>360.32</v>
      </c>
      <c r="C217" s="94">
        <v>300.36979429752103</v>
      </c>
      <c r="D217" s="94">
        <v>61.7</v>
      </c>
      <c r="E217" s="94">
        <v>5.1012588242643844</v>
      </c>
      <c r="F217" s="94">
        <v>66.807381915440644</v>
      </c>
      <c r="G217" s="94">
        <v>5.1277750101479755</v>
      </c>
      <c r="H217" s="94">
        <v>1.2986644528664342</v>
      </c>
      <c r="I217" s="94">
        <v>0</v>
      </c>
      <c r="J217" s="94">
        <v>1959.2025818851732</v>
      </c>
      <c r="K217" s="94">
        <v>2.2147895773731361</v>
      </c>
      <c r="L217" s="94">
        <v>0</v>
      </c>
      <c r="M217" s="94">
        <v>0</v>
      </c>
      <c r="N217" s="94">
        <v>0</v>
      </c>
      <c r="O217" s="94">
        <v>0</v>
      </c>
    </row>
    <row r="218" spans="1:15" x14ac:dyDescent="0.25">
      <c r="A218" s="89">
        <v>44669.833333333336</v>
      </c>
      <c r="B218" s="94">
        <v>360.32</v>
      </c>
      <c r="C218" s="94">
        <v>300.36635967435632</v>
      </c>
      <c r="D218" s="94">
        <v>61.92322980334761</v>
      </c>
      <c r="E218" s="94">
        <v>5.13907434413521</v>
      </c>
      <c r="F218" s="94">
        <v>67.361934445548314</v>
      </c>
      <c r="G218" s="94">
        <v>5.1096565223757526</v>
      </c>
      <c r="H218" s="94">
        <v>1.2</v>
      </c>
      <c r="I218" s="94">
        <v>0</v>
      </c>
      <c r="J218" s="94">
        <v>1951.2081289152266</v>
      </c>
      <c r="K218" s="94">
        <v>2.2134140983094617</v>
      </c>
      <c r="L218" s="94">
        <v>0</v>
      </c>
      <c r="M218" s="94">
        <v>0</v>
      </c>
      <c r="N218" s="94">
        <v>0</v>
      </c>
      <c r="O218" s="94">
        <v>0</v>
      </c>
    </row>
    <row r="219" spans="1:15" x14ac:dyDescent="0.25">
      <c r="A219" s="89">
        <v>44670.333333333336</v>
      </c>
      <c r="B219" s="94">
        <v>360.6</v>
      </c>
      <c r="C219" s="94">
        <v>300.36</v>
      </c>
      <c r="D219" s="94">
        <v>61.609426446090708</v>
      </c>
      <c r="E219" s="94">
        <v>5.1185595703124998</v>
      </c>
      <c r="F219" s="94">
        <v>67.147288343064119</v>
      </c>
      <c r="G219" s="94">
        <v>5.1338479003906246</v>
      </c>
      <c r="H219" s="94">
        <v>1.3</v>
      </c>
      <c r="I219" s="94">
        <v>0</v>
      </c>
      <c r="J219" s="94">
        <v>1956</v>
      </c>
      <c r="K219" s="94">
        <v>2.2132021834981872</v>
      </c>
      <c r="L219" s="94">
        <v>0</v>
      </c>
      <c r="M219" s="94">
        <v>0</v>
      </c>
      <c r="N219" s="94">
        <v>0</v>
      </c>
      <c r="O219" s="94">
        <v>0</v>
      </c>
    </row>
    <row r="220" spans="1:15" x14ac:dyDescent="0.25">
      <c r="A220" s="89">
        <v>44670.833333333336</v>
      </c>
      <c r="B220" s="94">
        <v>360.6</v>
      </c>
      <c r="C220" s="94">
        <v>300.37423757258762</v>
      </c>
      <c r="D220" s="94">
        <v>61.7</v>
      </c>
      <c r="E220" s="94">
        <v>5.132539978027344</v>
      </c>
      <c r="F220" s="94">
        <v>67.04218367444301</v>
      </c>
      <c r="G220" s="94">
        <v>5.1548004150390625</v>
      </c>
      <c r="H220" s="94">
        <v>1.2</v>
      </c>
      <c r="I220" s="94">
        <v>0</v>
      </c>
      <c r="J220" s="94">
        <v>1985.4067091044926</v>
      </c>
      <c r="K220" s="94">
        <v>2.2221675358534507</v>
      </c>
      <c r="L220" s="94">
        <v>0</v>
      </c>
      <c r="M220" s="94">
        <v>0</v>
      </c>
      <c r="N220" s="94">
        <v>0</v>
      </c>
      <c r="O220" s="94">
        <v>0</v>
      </c>
    </row>
    <row r="221" spans="1:15" x14ac:dyDescent="0.25">
      <c r="A221" s="89">
        <v>44671.333333333336</v>
      </c>
      <c r="B221" s="94">
        <v>360.66</v>
      </c>
      <c r="C221" s="94">
        <v>300.37</v>
      </c>
      <c r="D221" s="94">
        <v>61.457766109184931</v>
      </c>
      <c r="E221" s="94">
        <v>5.1236227399233183</v>
      </c>
      <c r="F221" s="94">
        <v>66.7</v>
      </c>
      <c r="G221" s="94">
        <v>5.141390075683594</v>
      </c>
      <c r="H221" s="94">
        <v>1.3</v>
      </c>
      <c r="I221" s="94">
        <v>0</v>
      </c>
      <c r="J221" s="94">
        <v>1956.7964089376762</v>
      </c>
      <c r="K221" s="94">
        <v>2.2140691640855419</v>
      </c>
      <c r="L221" s="94">
        <v>0</v>
      </c>
      <c r="M221" s="94">
        <v>0</v>
      </c>
      <c r="N221" s="94">
        <v>0</v>
      </c>
      <c r="O221" s="94">
        <v>0</v>
      </c>
    </row>
    <row r="222" spans="1:15" x14ac:dyDescent="0.25">
      <c r="A222" s="89">
        <v>44671.833333333336</v>
      </c>
      <c r="B222" s="94">
        <v>360.66</v>
      </c>
      <c r="C222" s="94">
        <v>300.36723327905435</v>
      </c>
      <c r="D222" s="94">
        <v>61.7</v>
      </c>
      <c r="E222" s="94">
        <v>5.1372150779208896</v>
      </c>
      <c r="F222" s="94">
        <v>67</v>
      </c>
      <c r="G222" s="94">
        <v>5.1441958201856677</v>
      </c>
      <c r="H222" s="94">
        <v>1.2127559480683647</v>
      </c>
      <c r="I222" s="94">
        <v>0</v>
      </c>
      <c r="J222" s="94">
        <v>1954.4114395377162</v>
      </c>
      <c r="K222" s="94">
        <v>2.2125254105391883</v>
      </c>
      <c r="L222" s="94">
        <v>0</v>
      </c>
      <c r="M222" s="94">
        <v>0</v>
      </c>
      <c r="N222" s="94">
        <v>0</v>
      </c>
      <c r="O222" s="94">
        <v>0</v>
      </c>
    </row>
    <row r="223" spans="1:15" x14ac:dyDescent="0.25">
      <c r="A223" s="89">
        <v>44672.333333333336</v>
      </c>
      <c r="B223" s="94">
        <v>360.8</v>
      </c>
      <c r="C223" s="94">
        <v>300.36</v>
      </c>
      <c r="D223" s="94">
        <v>68.159151179616046</v>
      </c>
      <c r="E223" s="94">
        <v>5.2650148625783144</v>
      </c>
      <c r="F223" s="94">
        <v>63.3</v>
      </c>
      <c r="G223" s="94">
        <v>5.1188509496661689</v>
      </c>
      <c r="H223" s="94">
        <v>1.3465974392000895</v>
      </c>
      <c r="I223" s="94">
        <v>0</v>
      </c>
      <c r="J223" s="94">
        <v>1972</v>
      </c>
      <c r="K223" s="94">
        <v>2.2182220289942509</v>
      </c>
      <c r="L223" s="94">
        <v>0</v>
      </c>
      <c r="M223" s="94">
        <v>0</v>
      </c>
      <c r="N223" s="94">
        <v>0</v>
      </c>
      <c r="O223" s="94">
        <v>0</v>
      </c>
    </row>
    <row r="224" spans="1:15" x14ac:dyDescent="0.25">
      <c r="A224" s="89">
        <v>44672.833333333336</v>
      </c>
      <c r="B224" s="94">
        <v>360.8</v>
      </c>
      <c r="C224" s="94">
        <v>300.38235885950814</v>
      </c>
      <c r="D224" s="94">
        <v>68.5</v>
      </c>
      <c r="E224" s="94">
        <v>5.2603001389249346</v>
      </c>
      <c r="F224" s="94">
        <v>68.940484289951115</v>
      </c>
      <c r="G224" s="94">
        <v>5.2516519016343359</v>
      </c>
      <c r="H224" s="94">
        <v>1.3</v>
      </c>
      <c r="I224" s="94">
        <v>0</v>
      </c>
      <c r="J224" s="94">
        <v>1999.789703059507</v>
      </c>
      <c r="K224" s="94">
        <v>2.2253632232238343</v>
      </c>
      <c r="L224" s="94">
        <v>0</v>
      </c>
      <c r="M224" s="94">
        <v>0</v>
      </c>
      <c r="N224" s="94">
        <v>0</v>
      </c>
      <c r="O224" s="94">
        <v>0</v>
      </c>
    </row>
    <row r="225" spans="1:15" x14ac:dyDescent="0.25">
      <c r="A225" s="89">
        <v>44673.333333333336</v>
      </c>
      <c r="B225" s="94">
        <v>360.90193915831657</v>
      </c>
      <c r="C225" s="94">
        <v>300.38936561344349</v>
      </c>
      <c r="D225" s="94">
        <v>68.3</v>
      </c>
      <c r="E225" s="94">
        <v>5.2748651767278032</v>
      </c>
      <c r="F225" s="94">
        <v>69.099999999999994</v>
      </c>
      <c r="G225" s="94">
        <v>5.2578574023614895</v>
      </c>
      <c r="H225" s="94">
        <v>1.3</v>
      </c>
      <c r="I225" s="94">
        <v>0</v>
      </c>
      <c r="J225" s="94">
        <v>435.59173797087976</v>
      </c>
      <c r="K225" s="94">
        <v>0.47045986155063496</v>
      </c>
      <c r="L225" s="94">
        <v>0</v>
      </c>
      <c r="M225" s="94">
        <v>0</v>
      </c>
      <c r="N225" s="94">
        <v>0</v>
      </c>
      <c r="O225" s="94">
        <v>0</v>
      </c>
    </row>
    <row r="226" spans="1:15" x14ac:dyDescent="0.25">
      <c r="A226" s="89">
        <v>44673.833333333336</v>
      </c>
      <c r="B226" s="94">
        <v>360.93</v>
      </c>
      <c r="C226" s="94">
        <v>301.19</v>
      </c>
      <c r="D226" s="94">
        <v>85.773356476459099</v>
      </c>
      <c r="E226" s="94">
        <v>6.9868621912995561</v>
      </c>
      <c r="F226" s="94">
        <v>83.950193846701055</v>
      </c>
      <c r="G226" s="94">
        <v>6.9577405274547921</v>
      </c>
      <c r="H226" s="94">
        <v>78.740588795695658</v>
      </c>
      <c r="I226" s="94">
        <v>16.04</v>
      </c>
      <c r="J226" s="94">
        <v>6318.2088507552571</v>
      </c>
      <c r="K226" s="94">
        <v>3.0524966489038317</v>
      </c>
      <c r="L226" s="94">
        <v>0</v>
      </c>
      <c r="M226" s="94">
        <v>0</v>
      </c>
      <c r="N226" s="94">
        <v>0</v>
      </c>
      <c r="O226" s="94">
        <v>21</v>
      </c>
    </row>
    <row r="227" spans="1:15" x14ac:dyDescent="0.25">
      <c r="A227" s="89">
        <v>44674.333333333336</v>
      </c>
      <c r="B227" s="94">
        <v>360.93</v>
      </c>
      <c r="C227" s="94">
        <v>301.18769996643067</v>
      </c>
      <c r="D227" s="94">
        <v>85.789998173849526</v>
      </c>
      <c r="E227" s="94">
        <v>6.9652398681640619</v>
      </c>
      <c r="F227" s="94">
        <v>83.3</v>
      </c>
      <c r="G227" s="94">
        <v>6.968434292367558</v>
      </c>
      <c r="H227" s="94">
        <v>78.600650169176674</v>
      </c>
      <c r="I227" s="94">
        <v>15.949815766386765</v>
      </c>
      <c r="J227" s="94">
        <v>6291.6981306655316</v>
      </c>
      <c r="K227" s="94">
        <v>3.0487721548662083</v>
      </c>
      <c r="L227" s="94">
        <v>0</v>
      </c>
      <c r="M227" s="94">
        <v>0</v>
      </c>
      <c r="N227" s="94">
        <v>0</v>
      </c>
      <c r="O227" s="94">
        <v>20</v>
      </c>
    </row>
    <row r="228" spans="1:15" x14ac:dyDescent="0.25">
      <c r="A228" s="89">
        <v>44674.833333333336</v>
      </c>
      <c r="B228" s="94">
        <v>360.93</v>
      </c>
      <c r="C228" s="94">
        <v>301.18113851122678</v>
      </c>
      <c r="D228" s="94">
        <v>86.1</v>
      </c>
      <c r="E228" s="94">
        <v>6.9525185709232407</v>
      </c>
      <c r="F228" s="94">
        <v>84.547392314831214</v>
      </c>
      <c r="G228" s="94">
        <v>6.9935900817726191</v>
      </c>
      <c r="H228" s="94">
        <v>78.463606155795702</v>
      </c>
      <c r="I228" s="94">
        <v>15.965921565629539</v>
      </c>
      <c r="J228" s="94">
        <v>6276.2370887946572</v>
      </c>
      <c r="K228" s="94">
        <v>3.0465313751823881</v>
      </c>
      <c r="L228" s="94">
        <v>0</v>
      </c>
      <c r="M228" s="94">
        <v>0</v>
      </c>
      <c r="N228" s="94">
        <v>0</v>
      </c>
      <c r="O228" s="94">
        <v>21</v>
      </c>
    </row>
    <row r="229" spans="1:15" x14ac:dyDescent="0.25">
      <c r="A229" s="89">
        <v>44675.333333333336</v>
      </c>
      <c r="B229" s="94">
        <v>360.93</v>
      </c>
      <c r="C229" s="94">
        <v>301.18090353138678</v>
      </c>
      <c r="D229" s="94">
        <v>85.890519409179689</v>
      </c>
      <c r="E229" s="94">
        <v>6.9723701477050781</v>
      </c>
      <c r="F229" s="94">
        <v>84.5</v>
      </c>
      <c r="G229" s="94">
        <v>6.9248001098632814</v>
      </c>
      <c r="H229" s="94">
        <v>78.785807206972805</v>
      </c>
      <c r="I229" s="94">
        <v>16.059999999999999</v>
      </c>
      <c r="J229" s="94">
        <v>6299.9763758639656</v>
      </c>
      <c r="K229" s="94">
        <v>3.0482136661020398</v>
      </c>
      <c r="L229" s="94">
        <v>0</v>
      </c>
      <c r="M229" s="94">
        <v>0</v>
      </c>
      <c r="N229" s="94">
        <v>0</v>
      </c>
      <c r="O229" s="94">
        <v>20</v>
      </c>
    </row>
    <row r="230" spans="1:15" x14ac:dyDescent="0.25">
      <c r="A230" s="89">
        <v>44675.833333333336</v>
      </c>
      <c r="B230" s="94">
        <v>360.93</v>
      </c>
      <c r="C230" s="94">
        <v>301.19</v>
      </c>
      <c r="D230" s="94">
        <v>86.151200078751202</v>
      </c>
      <c r="E230" s="94">
        <v>6.9466536302660646</v>
      </c>
      <c r="F230" s="94">
        <v>84.713328543419763</v>
      </c>
      <c r="G230" s="94">
        <v>6.988316818140369</v>
      </c>
      <c r="H230" s="94">
        <v>77.900000000000006</v>
      </c>
      <c r="I230" s="94">
        <v>15.82840830291274</v>
      </c>
      <c r="J230" s="94">
        <v>6298.8499397076039</v>
      </c>
      <c r="K230" s="94">
        <v>3.0511878547518974</v>
      </c>
      <c r="L230" s="94">
        <v>0</v>
      </c>
      <c r="M230" s="94">
        <v>0</v>
      </c>
      <c r="N230" s="94">
        <v>0</v>
      </c>
      <c r="O230" s="94">
        <v>20</v>
      </c>
    </row>
    <row r="231" spans="1:15" x14ac:dyDescent="0.25">
      <c r="A231" s="89">
        <v>44676.333333333336</v>
      </c>
      <c r="B231" s="94">
        <v>360.93</v>
      </c>
      <c r="C231" s="94">
        <v>301.18</v>
      </c>
      <c r="D231" s="94">
        <v>85.9</v>
      </c>
      <c r="E231" s="94">
        <v>6.9652101521290417</v>
      </c>
      <c r="F231" s="94">
        <v>84.6</v>
      </c>
      <c r="G231" s="94">
        <v>6.9408599853515627</v>
      </c>
      <c r="H231" s="94">
        <v>78.571576915279039</v>
      </c>
      <c r="I231" s="94">
        <v>15.910066453674121</v>
      </c>
      <c r="J231" s="94">
        <v>6307</v>
      </c>
      <c r="K231" s="94">
        <v>3.0505824917373499</v>
      </c>
      <c r="L231" s="94">
        <v>0</v>
      </c>
      <c r="M231" s="94">
        <v>0</v>
      </c>
      <c r="N231" s="94">
        <v>0</v>
      </c>
      <c r="O231" s="94">
        <v>20</v>
      </c>
    </row>
    <row r="232" spans="1:15" x14ac:dyDescent="0.25">
      <c r="A232" s="89">
        <v>44676.833333333336</v>
      </c>
      <c r="B232" s="94">
        <v>360.93</v>
      </c>
      <c r="C232" s="94">
        <v>301.19910003662108</v>
      </c>
      <c r="D232" s="94">
        <v>86.2</v>
      </c>
      <c r="E232" s="94">
        <v>6.9658490988014519</v>
      </c>
      <c r="F232" s="94">
        <v>84.883439941406252</v>
      </c>
      <c r="G232" s="94">
        <v>6.9618183896832413</v>
      </c>
      <c r="H232" s="94">
        <v>77.933280250749078</v>
      </c>
      <c r="I232" s="94">
        <v>15.909666068888752</v>
      </c>
      <c r="J232" s="94">
        <v>6314.0098344641965</v>
      </c>
      <c r="K232" s="94">
        <v>3.0520231461862775</v>
      </c>
      <c r="L232" s="94">
        <v>0</v>
      </c>
      <c r="M232" s="94">
        <v>0</v>
      </c>
      <c r="N232" s="94">
        <v>0</v>
      </c>
      <c r="O232" s="94">
        <v>21</v>
      </c>
    </row>
    <row r="233" spans="1:15" x14ac:dyDescent="0.25">
      <c r="A233" s="89">
        <v>44677.333333333336</v>
      </c>
      <c r="B233" s="94">
        <v>360.93</v>
      </c>
      <c r="C233" s="94">
        <v>301.18733798141511</v>
      </c>
      <c r="D233" s="94">
        <v>86.2</v>
      </c>
      <c r="E233" s="94">
        <v>6.9731464730892245</v>
      </c>
      <c r="F233" s="94">
        <v>84.635241526477742</v>
      </c>
      <c r="G233" s="94">
        <v>6.9731696657115574</v>
      </c>
      <c r="H233" s="94">
        <v>78.136263701306959</v>
      </c>
      <c r="I233" s="94">
        <v>15.986706984245131</v>
      </c>
      <c r="J233" s="94">
        <v>6279</v>
      </c>
      <c r="K233" s="94">
        <v>3.0464411784195544</v>
      </c>
      <c r="L233" s="94">
        <v>0</v>
      </c>
      <c r="M233" s="94">
        <v>0</v>
      </c>
      <c r="N233" s="94">
        <v>0</v>
      </c>
      <c r="O233" s="94">
        <v>20</v>
      </c>
    </row>
    <row r="234" spans="1:15" x14ac:dyDescent="0.25">
      <c r="A234" s="89">
        <v>44677.833333333336</v>
      </c>
      <c r="B234" s="94">
        <v>360.93</v>
      </c>
      <c r="C234" s="94">
        <v>301.52</v>
      </c>
      <c r="D234" s="94">
        <v>86.978005899156926</v>
      </c>
      <c r="E234" s="94">
        <v>6.9706708086362443</v>
      </c>
      <c r="F234" s="94">
        <v>85.354306470044705</v>
      </c>
      <c r="G234" s="94">
        <v>6.98</v>
      </c>
      <c r="H234" s="94">
        <v>78.338568780157559</v>
      </c>
      <c r="I234" s="94">
        <v>15.93</v>
      </c>
      <c r="J234" s="94">
        <v>8606.0170572239967</v>
      </c>
      <c r="K234" s="94">
        <v>3.3675446541518741</v>
      </c>
      <c r="L234" s="94">
        <v>0</v>
      </c>
      <c r="M234" s="94">
        <v>0</v>
      </c>
      <c r="N234" s="94">
        <v>48</v>
      </c>
      <c r="O234" s="94">
        <v>49</v>
      </c>
    </row>
    <row r="235" spans="1:15" x14ac:dyDescent="0.25">
      <c r="A235" s="89">
        <v>44678.333333333336</v>
      </c>
      <c r="B235" s="94">
        <v>360.89051861670004</v>
      </c>
      <c r="C235" s="94">
        <v>301.51234792997849</v>
      </c>
      <c r="D235" s="94">
        <v>86.9</v>
      </c>
      <c r="E235" s="94">
        <v>7.0076845295201542</v>
      </c>
      <c r="F235" s="94">
        <v>85.281066402778336</v>
      </c>
      <c r="G235" s="94">
        <v>6.9481908912573056</v>
      </c>
      <c r="H235" s="94">
        <v>78.607566833496094</v>
      </c>
      <c r="I235" s="94">
        <v>16.047727661524362</v>
      </c>
      <c r="J235" s="94">
        <v>8633.2196539209945</v>
      </c>
      <c r="K235" s="94">
        <v>3.3696347254666299</v>
      </c>
      <c r="L235" s="94">
        <v>0</v>
      </c>
      <c r="M235" s="94">
        <v>0</v>
      </c>
      <c r="N235" s="94">
        <v>48</v>
      </c>
      <c r="O235" s="94">
        <v>49</v>
      </c>
    </row>
    <row r="236" spans="1:15" x14ac:dyDescent="0.25">
      <c r="A236" s="89">
        <v>44678.833333333336</v>
      </c>
      <c r="B236" s="94">
        <v>360.88</v>
      </c>
      <c r="C236" s="94">
        <v>301.50863626552916</v>
      </c>
      <c r="D236" s="94">
        <v>86.813175366997626</v>
      </c>
      <c r="E236" s="94">
        <v>6.9319802856445314</v>
      </c>
      <c r="F236" s="94">
        <v>85.028150177001947</v>
      </c>
      <c r="G236" s="94">
        <v>6.95</v>
      </c>
      <c r="H236" s="94">
        <v>78.599999999999994</v>
      </c>
      <c r="I236" s="94">
        <v>15.950582160288604</v>
      </c>
      <c r="J236" s="94">
        <v>8565.7608765460918</v>
      </c>
      <c r="K236" s="94">
        <v>3.3620089339564494</v>
      </c>
      <c r="L236" s="94">
        <v>0</v>
      </c>
      <c r="M236" s="94">
        <v>0</v>
      </c>
      <c r="N236" s="94">
        <v>46</v>
      </c>
      <c r="O236" s="94">
        <v>48.414398466193042</v>
      </c>
    </row>
    <row r="237" spans="1:15" x14ac:dyDescent="0.25">
      <c r="A237" s="89">
        <v>44679.333333333336</v>
      </c>
      <c r="B237" s="94">
        <v>360.80867492748501</v>
      </c>
      <c r="C237" s="94">
        <v>301.50430859741709</v>
      </c>
      <c r="D237" s="94">
        <v>86.7</v>
      </c>
      <c r="E237" s="94">
        <v>6.9360534667968752</v>
      </c>
      <c r="F237" s="94">
        <v>85.337370356807</v>
      </c>
      <c r="G237" s="94">
        <v>6.9431945369245556</v>
      </c>
      <c r="H237" s="94">
        <v>78.620936598159602</v>
      </c>
      <c r="I237" s="94">
        <v>15.890092013249909</v>
      </c>
      <c r="J237" s="94">
        <v>8593.2125626351462</v>
      </c>
      <c r="K237" s="94">
        <v>3.3653926644799683</v>
      </c>
      <c r="L237" s="94">
        <v>0</v>
      </c>
      <c r="M237" s="94">
        <v>0</v>
      </c>
      <c r="N237" s="94">
        <v>46</v>
      </c>
      <c r="O237" s="94">
        <v>49</v>
      </c>
    </row>
    <row r="238" spans="1:15" x14ac:dyDescent="0.25">
      <c r="A238" s="89">
        <v>44679.833333333336</v>
      </c>
      <c r="B238" s="94">
        <v>360.79</v>
      </c>
      <c r="C238" s="94">
        <v>301.51097413896343</v>
      </c>
      <c r="D238" s="94">
        <v>86.826148139105896</v>
      </c>
      <c r="E238" s="94">
        <v>6.9217927596583486</v>
      </c>
      <c r="F238" s="94">
        <v>85.319615280341424</v>
      </c>
      <c r="G238" s="94">
        <v>6.9536344556985128</v>
      </c>
      <c r="H238" s="94">
        <v>78.819855574668892</v>
      </c>
      <c r="I238" s="94">
        <v>16.037254966491144</v>
      </c>
      <c r="J238" s="94">
        <v>8577.0110983893992</v>
      </c>
      <c r="K238" s="94">
        <v>3.3634227089642419</v>
      </c>
      <c r="L238" s="94">
        <v>0</v>
      </c>
      <c r="M238" s="94">
        <v>0</v>
      </c>
      <c r="N238" s="94">
        <v>46</v>
      </c>
      <c r="O238" s="94">
        <v>49</v>
      </c>
    </row>
    <row r="239" spans="1:15" x14ac:dyDescent="0.25">
      <c r="A239" s="89">
        <v>44680.333333333336</v>
      </c>
      <c r="B239" s="94">
        <v>360.71748568868827</v>
      </c>
      <c r="C239" s="94">
        <v>301.50448022486779</v>
      </c>
      <c r="D239" s="94">
        <v>87.400661628149962</v>
      </c>
      <c r="E239" s="94">
        <v>6.9917231098539867</v>
      </c>
      <c r="F239" s="94">
        <v>85.208418972832462</v>
      </c>
      <c r="G239" s="94">
        <v>6.95</v>
      </c>
      <c r="H239" s="94">
        <v>79.058255555894632</v>
      </c>
      <c r="I239" s="94">
        <v>15.99</v>
      </c>
      <c r="J239" s="94">
        <v>8596.4110446295126</v>
      </c>
      <c r="K239" s="94">
        <v>3.3653941961631317</v>
      </c>
      <c r="L239" s="94">
        <v>0</v>
      </c>
      <c r="M239" s="94">
        <v>0</v>
      </c>
      <c r="N239" s="94">
        <v>46</v>
      </c>
      <c r="O239" s="94">
        <v>48</v>
      </c>
    </row>
    <row r="240" spans="1:15" x14ac:dyDescent="0.25">
      <c r="A240" s="89">
        <v>44680.833333333336</v>
      </c>
      <c r="B240" s="94">
        <v>360.7</v>
      </c>
      <c r="C240" s="94">
        <v>301.5026023441676</v>
      </c>
      <c r="D240" s="94">
        <v>87.573735768545191</v>
      </c>
      <c r="E240" s="94">
        <v>7.0009047150736974</v>
      </c>
      <c r="F240" s="94">
        <v>85.625626264454851</v>
      </c>
      <c r="G240" s="94">
        <v>6.986625558194774</v>
      </c>
      <c r="H240" s="94">
        <v>78.381853263759709</v>
      </c>
      <c r="I240" s="94">
        <v>15.887462005846432</v>
      </c>
      <c r="J240" s="94">
        <v>8606.086088640961</v>
      </c>
      <c r="K240" s="94">
        <v>3.3667996712226396</v>
      </c>
      <c r="L240" s="94">
        <v>0</v>
      </c>
      <c r="M240" s="94">
        <v>0</v>
      </c>
      <c r="N240" s="94">
        <v>44</v>
      </c>
      <c r="O240" s="94">
        <v>45.007741317423744</v>
      </c>
    </row>
    <row r="241" spans="1:15" x14ac:dyDescent="0.25">
      <c r="A241" s="89">
        <v>44681.333333333336</v>
      </c>
      <c r="B241" s="94">
        <v>360.7</v>
      </c>
      <c r="C241" s="94">
        <v>301.50266623948266</v>
      </c>
      <c r="D241" s="94">
        <v>87.5</v>
      </c>
      <c r="E241" s="94">
        <v>6.9906505269589125</v>
      </c>
      <c r="F241" s="94">
        <v>85.628725878625445</v>
      </c>
      <c r="G241" s="94">
        <v>6.9343989336750456</v>
      </c>
      <c r="H241" s="94">
        <v>78.654966028192007</v>
      </c>
      <c r="I241" s="94">
        <v>15.919689159613707</v>
      </c>
      <c r="J241" s="94">
        <v>8631.8488326884653</v>
      </c>
      <c r="K241" s="94">
        <v>3.3701460312015685</v>
      </c>
      <c r="L241" s="94">
        <v>0</v>
      </c>
      <c r="M241" s="94">
        <v>-1</v>
      </c>
      <c r="N241" s="94">
        <v>44</v>
      </c>
      <c r="O241" s="94">
        <v>45</v>
      </c>
    </row>
    <row r="242" spans="1:15" x14ac:dyDescent="0.25">
      <c r="A242" s="89">
        <v>44681.833333333336</v>
      </c>
      <c r="B242" s="94">
        <v>360.7</v>
      </c>
      <c r="C242" s="94">
        <v>301.5071634783215</v>
      </c>
      <c r="D242" s="94">
        <v>87.36519976347364</v>
      </c>
      <c r="E242" s="94">
        <v>6.998955479976714</v>
      </c>
      <c r="F242" s="94">
        <v>85.5</v>
      </c>
      <c r="G242" s="94">
        <v>6.9775086403539088</v>
      </c>
      <c r="H242" s="94">
        <v>78.934740910165544</v>
      </c>
      <c r="I242" s="94">
        <v>15.943663246750633</v>
      </c>
      <c r="J242" s="94">
        <v>8624.6170989084349</v>
      </c>
      <c r="K242" s="94">
        <v>3.3696049674989097</v>
      </c>
      <c r="L242" s="94">
        <v>0</v>
      </c>
      <c r="M242" s="94">
        <v>-1</v>
      </c>
      <c r="N242" s="94">
        <v>44</v>
      </c>
      <c r="O242" s="94">
        <v>45</v>
      </c>
    </row>
    <row r="243" spans="1:15" x14ac:dyDescent="0.25">
      <c r="A243" s="89">
        <v>44682.333333333336</v>
      </c>
      <c r="B243" s="94">
        <v>360.67498034850945</v>
      </c>
      <c r="C243" s="94">
        <v>301.50657122358956</v>
      </c>
      <c r="D243" s="94">
        <v>86.99212939958592</v>
      </c>
      <c r="E243" s="94">
        <v>7.0037975689931962</v>
      </c>
      <c r="F243" s="94">
        <v>85.152001071121532</v>
      </c>
      <c r="G243" s="94">
        <v>6.9750490237690999</v>
      </c>
      <c r="H243" s="94">
        <v>79.757317536541876</v>
      </c>
      <c r="I243" s="94">
        <v>15.889732892593058</v>
      </c>
      <c r="J243" s="94">
        <v>8604.3987428652927</v>
      </c>
      <c r="K243" s="94">
        <v>3.3667894282284072</v>
      </c>
      <c r="L243" s="94">
        <v>0</v>
      </c>
      <c r="M243" s="94">
        <v>-1</v>
      </c>
      <c r="N243" s="94">
        <v>44</v>
      </c>
      <c r="O243" s="94">
        <v>45</v>
      </c>
    </row>
    <row r="244" spans="1:15" x14ac:dyDescent="0.25">
      <c r="A244" s="89">
        <v>44682.833333333336</v>
      </c>
      <c r="B244" s="94">
        <v>360.62</v>
      </c>
      <c r="C244" s="94">
        <v>301.50266470068118</v>
      </c>
      <c r="D244" s="94">
        <v>87.3</v>
      </c>
      <c r="E244" s="94">
        <v>7.0054049682617183</v>
      </c>
      <c r="F244" s="94">
        <v>85.3</v>
      </c>
      <c r="G244" s="94">
        <v>6.9486746126584347</v>
      </c>
      <c r="H244" s="94">
        <v>79.3</v>
      </c>
      <c r="I244" s="94">
        <v>15.912195397905359</v>
      </c>
      <c r="J244" s="94">
        <v>8624.7272049520252</v>
      </c>
      <c r="K244" s="94">
        <v>3.3691839497642504</v>
      </c>
      <c r="L244" s="94">
        <v>0</v>
      </c>
      <c r="M244" s="94">
        <v>-0.26174126115628316</v>
      </c>
      <c r="N244" s="94">
        <v>44</v>
      </c>
      <c r="O244" s="94">
        <v>45</v>
      </c>
    </row>
    <row r="245" spans="1:15" x14ac:dyDescent="0.25">
      <c r="A245" s="89">
        <v>44683.333333333336</v>
      </c>
      <c r="B245" s="94">
        <v>360.60692032369025</v>
      </c>
      <c r="C245" s="94">
        <v>301.20998430451726</v>
      </c>
      <c r="D245" s="94">
        <v>26.389001464843751</v>
      </c>
      <c r="E245" s="94">
        <v>1.34</v>
      </c>
      <c r="F245" s="94">
        <v>1.6</v>
      </c>
      <c r="G245" s="94">
        <v>0</v>
      </c>
      <c r="H245" s="94">
        <v>0.4</v>
      </c>
      <c r="I245" s="94">
        <v>0</v>
      </c>
      <c r="J245" s="94">
        <v>8100.0059062640967</v>
      </c>
      <c r="K245" s="94">
        <v>3.3003404220144947</v>
      </c>
      <c r="L245" s="94">
        <v>0</v>
      </c>
      <c r="M245" s="94">
        <v>-1</v>
      </c>
      <c r="N245" s="94">
        <v>43.955629945619222</v>
      </c>
      <c r="O245" s="94">
        <v>45</v>
      </c>
    </row>
    <row r="246" spans="1:15" x14ac:dyDescent="0.25">
      <c r="A246" s="89">
        <v>44683.833333333336</v>
      </c>
      <c r="B246" s="94">
        <v>360.58</v>
      </c>
      <c r="C246" s="94">
        <v>301.33999999999997</v>
      </c>
      <c r="D246" s="94">
        <v>3.3</v>
      </c>
      <c r="E246" s="94">
        <v>0</v>
      </c>
      <c r="F246" s="94">
        <v>3.3</v>
      </c>
      <c r="G246" s="94">
        <v>0</v>
      </c>
      <c r="H246" s="94">
        <v>1.2</v>
      </c>
      <c r="I246" s="94">
        <v>0</v>
      </c>
      <c r="J246" s="94">
        <v>8596.4131650123873</v>
      </c>
      <c r="K246" s="94">
        <v>3.3652647773243798</v>
      </c>
      <c r="L246" s="94">
        <v>0</v>
      </c>
      <c r="M246" s="94">
        <v>-1</v>
      </c>
      <c r="N246" s="94">
        <v>0</v>
      </c>
      <c r="O246" s="94">
        <v>14</v>
      </c>
    </row>
    <row r="247" spans="1:15" x14ac:dyDescent="0.25">
      <c r="A247" s="89">
        <v>44684.333333333336</v>
      </c>
      <c r="B247" s="94">
        <v>360.552665329408</v>
      </c>
      <c r="C247" s="94">
        <v>301.34668832658053</v>
      </c>
      <c r="D247" s="94">
        <v>3.2219004313151043</v>
      </c>
      <c r="E247" s="94">
        <v>0</v>
      </c>
      <c r="F247" s="94">
        <v>3.2700310693421133</v>
      </c>
      <c r="G247" s="94">
        <v>0</v>
      </c>
      <c r="H247" s="94">
        <v>1.2</v>
      </c>
      <c r="I247" s="94">
        <v>0</v>
      </c>
      <c r="J247" s="94">
        <v>8629.993402136477</v>
      </c>
      <c r="K247" s="94">
        <v>3.3692162125926317</v>
      </c>
      <c r="L247" s="94">
        <v>0</v>
      </c>
      <c r="M247" s="94">
        <v>-1</v>
      </c>
      <c r="N247" s="94">
        <v>0</v>
      </c>
      <c r="O247" s="94">
        <v>14</v>
      </c>
    </row>
    <row r="248" spans="1:15" x14ac:dyDescent="0.25">
      <c r="A248" s="89">
        <v>44684.833333333336</v>
      </c>
      <c r="B248" s="94">
        <v>360.5</v>
      </c>
      <c r="C248" s="94">
        <v>301.08625357642904</v>
      </c>
      <c r="D248" s="94">
        <v>3.2731020112653888</v>
      </c>
      <c r="E248" s="94">
        <v>0</v>
      </c>
      <c r="F248" s="94">
        <v>3.2765923133263222</v>
      </c>
      <c r="G248" s="94">
        <v>0</v>
      </c>
      <c r="H248" s="94">
        <v>1.2440076793439547</v>
      </c>
      <c r="I248" s="94">
        <v>0</v>
      </c>
      <c r="J248" s="94">
        <v>6036</v>
      </c>
      <c r="K248" s="94">
        <v>3.0110000000000001</v>
      </c>
      <c r="L248" s="94">
        <v>56</v>
      </c>
      <c r="M248" s="94">
        <v>-0.26916617653252672</v>
      </c>
      <c r="N248" s="94">
        <v>66.336188465154009</v>
      </c>
      <c r="O248" s="94">
        <v>67</v>
      </c>
    </row>
    <row r="249" spans="1:15" x14ac:dyDescent="0.25">
      <c r="A249" s="89">
        <v>44685.333333333336</v>
      </c>
      <c r="B249" s="94">
        <v>360.49024930166394</v>
      </c>
      <c r="C249" s="94">
        <v>301.0815843507915</v>
      </c>
      <c r="D249" s="94">
        <v>3.1031574492758893</v>
      </c>
      <c r="E249" s="94">
        <v>0</v>
      </c>
      <c r="F249" s="94">
        <v>3.2106357016695597</v>
      </c>
      <c r="G249" s="94">
        <v>0</v>
      </c>
      <c r="H249" s="94">
        <v>1.2310948422080592</v>
      </c>
      <c r="I249" s="94">
        <v>0</v>
      </c>
      <c r="J249" s="94">
        <v>6050.4074372073255</v>
      </c>
      <c r="K249" s="94">
        <v>3.0133383047869153</v>
      </c>
      <c r="L249" s="94">
        <v>56</v>
      </c>
      <c r="M249" s="94">
        <v>-1</v>
      </c>
      <c r="N249" s="94">
        <v>66</v>
      </c>
      <c r="O249" s="94">
        <v>67</v>
      </c>
    </row>
    <row r="250" spans="1:15" x14ac:dyDescent="0.25">
      <c r="A250" s="89">
        <v>44685.833333333336</v>
      </c>
      <c r="B250" s="94" t="s">
        <v>94</v>
      </c>
      <c r="C250" s="94">
        <v>301.04855451564936</v>
      </c>
      <c r="D250" s="94">
        <v>3.19138214141757</v>
      </c>
      <c r="E250" s="94">
        <v>0</v>
      </c>
      <c r="F250" s="94">
        <v>3.0286527176208922</v>
      </c>
      <c r="G250" s="94">
        <v>0</v>
      </c>
      <c r="H250" s="94">
        <v>88.306437500741282</v>
      </c>
      <c r="I250" s="94">
        <v>17.812099053368087</v>
      </c>
      <c r="J250" s="94">
        <v>6323.1392776692028</v>
      </c>
      <c r="K250" s="94">
        <v>3.0521150953508394</v>
      </c>
      <c r="L250" s="94">
        <v>0</v>
      </c>
      <c r="M250" s="94" t="s">
        <v>94</v>
      </c>
      <c r="N250" s="94">
        <v>27</v>
      </c>
      <c r="O250" s="94">
        <v>50.596873997377131</v>
      </c>
    </row>
    <row r="251" spans="1:15" x14ac:dyDescent="0.25">
      <c r="A251" s="89">
        <v>44686.333333333336</v>
      </c>
      <c r="B251" s="94">
        <v>360.45999175931092</v>
      </c>
      <c r="C251" s="94">
        <v>301.05</v>
      </c>
      <c r="D251" s="94">
        <v>3.1</v>
      </c>
      <c r="E251" s="94">
        <v>0</v>
      </c>
      <c r="F251" s="94">
        <v>3.0926658924855799</v>
      </c>
      <c r="G251" s="94">
        <v>0</v>
      </c>
      <c r="H251" s="94">
        <v>89.004530029296873</v>
      </c>
      <c r="I251" s="94">
        <v>17.711295319977289</v>
      </c>
      <c r="J251" s="94">
        <v>6045.0869542563532</v>
      </c>
      <c r="K251" s="94">
        <v>3.0124666090724372</v>
      </c>
      <c r="L251" s="94">
        <v>0</v>
      </c>
      <c r="M251" s="94">
        <v>-1</v>
      </c>
      <c r="N251" s="94">
        <v>27</v>
      </c>
      <c r="O251" s="94">
        <v>50</v>
      </c>
    </row>
    <row r="252" spans="1:15" x14ac:dyDescent="0.25">
      <c r="A252" s="89">
        <v>44686.833333333336</v>
      </c>
      <c r="B252" s="94">
        <v>360.44</v>
      </c>
      <c r="C252" s="94">
        <v>301.15024220377973</v>
      </c>
      <c r="D252" s="94">
        <v>85.7</v>
      </c>
      <c r="E252" s="94">
        <v>6.9404502049508805</v>
      </c>
      <c r="F252" s="94">
        <v>84.314540100097659</v>
      </c>
      <c r="G252" s="94">
        <v>6.98</v>
      </c>
      <c r="H252" s="94">
        <v>79.3</v>
      </c>
      <c r="I252" s="94">
        <v>15.881519775390625</v>
      </c>
      <c r="J252" s="94">
        <v>6136.289117372723</v>
      </c>
      <c r="K252" s="94">
        <v>3.0263787087108196</v>
      </c>
      <c r="L252" s="94">
        <v>0</v>
      </c>
      <c r="M252" s="94">
        <v>-1</v>
      </c>
      <c r="N252" s="94">
        <v>0</v>
      </c>
      <c r="O252" s="94">
        <v>13</v>
      </c>
    </row>
    <row r="253" spans="1:15" x14ac:dyDescent="0.25">
      <c r="A253" s="89">
        <v>44687.333333333336</v>
      </c>
      <c r="B253" s="94">
        <v>360.43708220897503</v>
      </c>
      <c r="C253" s="94">
        <v>301.14964752197261</v>
      </c>
      <c r="D253" s="94">
        <v>85.45000169394973</v>
      </c>
      <c r="E253" s="94">
        <v>6.942497522903615</v>
      </c>
      <c r="F253" s="94">
        <v>84.087512385481929</v>
      </c>
      <c r="G253" s="94">
        <v>6.9280336766867316</v>
      </c>
      <c r="H253" s="94">
        <v>80</v>
      </c>
      <c r="I253" s="94">
        <v>15.978992851406419</v>
      </c>
      <c r="J253" s="94">
        <v>6143.1771884091995</v>
      </c>
      <c r="K253" s="94">
        <v>3.0274516657655592</v>
      </c>
      <c r="L253" s="94">
        <v>0</v>
      </c>
      <c r="M253" s="94">
        <v>-1</v>
      </c>
      <c r="N253" s="94">
        <v>0</v>
      </c>
      <c r="O253" s="94">
        <v>13</v>
      </c>
    </row>
    <row r="254" spans="1:15" x14ac:dyDescent="0.25">
      <c r="A254" s="89">
        <v>44687.833333333336</v>
      </c>
      <c r="B254" s="94">
        <v>360.42</v>
      </c>
      <c r="C254" s="94">
        <v>301.54196338852421</v>
      </c>
      <c r="D254" s="94">
        <v>87.126571569888242</v>
      </c>
      <c r="E254" s="94">
        <v>6.97</v>
      </c>
      <c r="F254" s="94">
        <v>85.669511244032122</v>
      </c>
      <c r="G254" s="94">
        <v>6.9452509746961244</v>
      </c>
      <c r="H254" s="94">
        <v>80.389456792883934</v>
      </c>
      <c r="I254" s="94">
        <v>16.045876926350346</v>
      </c>
      <c r="J254" s="94">
        <v>8950.5803828137141</v>
      </c>
      <c r="K254" s="94">
        <v>3.410361339850966</v>
      </c>
      <c r="L254" s="94">
        <v>0</v>
      </c>
      <c r="M254" s="94">
        <v>-1</v>
      </c>
      <c r="N254" s="94">
        <v>50</v>
      </c>
      <c r="O254" s="94">
        <v>50.309625090436796</v>
      </c>
    </row>
    <row r="255" spans="1:15" x14ac:dyDescent="0.25">
      <c r="A255" s="89">
        <v>44688.333333333336</v>
      </c>
      <c r="B255" s="94">
        <v>360.42</v>
      </c>
      <c r="C255" s="94">
        <v>301.55210745477297</v>
      </c>
      <c r="D255" s="94">
        <v>86.8</v>
      </c>
      <c r="E255" s="94">
        <v>7.0044867470360463</v>
      </c>
      <c r="F255" s="94">
        <v>85.415504165906469</v>
      </c>
      <c r="G255" s="94">
        <v>6.9567864990234378</v>
      </c>
      <c r="H255" s="94">
        <v>80.789484169033187</v>
      </c>
      <c r="I255" s="94">
        <v>15.965195662135329</v>
      </c>
      <c r="J255" s="94">
        <v>8958.0537387946315</v>
      </c>
      <c r="K255" s="94">
        <v>3.4111315297782836</v>
      </c>
      <c r="L255" s="94">
        <v>0</v>
      </c>
      <c r="M255" s="94">
        <v>-1</v>
      </c>
      <c r="N255" s="94">
        <v>50</v>
      </c>
      <c r="O255" s="94">
        <v>50.253523083497718</v>
      </c>
    </row>
    <row r="256" spans="1:15" x14ac:dyDescent="0.25">
      <c r="A256" s="89">
        <v>44688.833333333336</v>
      </c>
      <c r="B256" s="94">
        <v>360.42</v>
      </c>
      <c r="C256" s="94">
        <v>301.54322541589084</v>
      </c>
      <c r="D256" s="94">
        <v>87.121949768066401</v>
      </c>
      <c r="E256" s="94">
        <v>6.955020878465354</v>
      </c>
      <c r="F256" s="94">
        <v>85.4</v>
      </c>
      <c r="G256" s="94">
        <v>6.95</v>
      </c>
      <c r="H256" s="94">
        <v>80.364319173442055</v>
      </c>
      <c r="I256" s="94">
        <v>15.751865273150473</v>
      </c>
      <c r="J256" s="94">
        <v>8946.3771836829274</v>
      </c>
      <c r="K256" s="94">
        <v>3.4094531426221253</v>
      </c>
      <c r="L256" s="94">
        <v>0</v>
      </c>
      <c r="M256" s="94">
        <v>-1</v>
      </c>
      <c r="N256" s="94">
        <v>50</v>
      </c>
      <c r="O256" s="94">
        <v>50</v>
      </c>
    </row>
    <row r="257" spans="1:15" x14ac:dyDescent="0.25">
      <c r="A257" s="89">
        <v>44689.333333333336</v>
      </c>
      <c r="B257" s="94">
        <v>360.42</v>
      </c>
      <c r="C257" s="94">
        <v>301.5410411451698</v>
      </c>
      <c r="D257" s="94">
        <v>86.838220294600688</v>
      </c>
      <c r="E257" s="94">
        <v>6.952919921875</v>
      </c>
      <c r="F257" s="94">
        <v>85.658545935106986</v>
      </c>
      <c r="G257" s="94">
        <v>6.9432165702334245</v>
      </c>
      <c r="H257" s="94">
        <v>80.467282561819303</v>
      </c>
      <c r="I257" s="94">
        <v>15.921613886365931</v>
      </c>
      <c r="J257" s="94">
        <v>8968.1887707937349</v>
      </c>
      <c r="K257" s="94">
        <v>3.4113863942572098</v>
      </c>
      <c r="L257" s="94">
        <v>0</v>
      </c>
      <c r="M257" s="94">
        <v>-1</v>
      </c>
      <c r="N257" s="94">
        <v>50</v>
      </c>
      <c r="O257" s="94">
        <v>50.051815923556241</v>
      </c>
    </row>
    <row r="258" spans="1:15" x14ac:dyDescent="0.25">
      <c r="A258" s="89">
        <v>44689.833333333336</v>
      </c>
      <c r="B258" s="94">
        <v>360.42</v>
      </c>
      <c r="C258" s="94">
        <v>301.55</v>
      </c>
      <c r="D258" s="94">
        <v>87.146874864146028</v>
      </c>
      <c r="E258" s="94">
        <v>6.959061933695768</v>
      </c>
      <c r="F258" s="94">
        <v>85.96370956249109</v>
      </c>
      <c r="G258" s="94">
        <v>6.9691768418794906</v>
      </c>
      <c r="H258" s="94">
        <v>80.401870281395162</v>
      </c>
      <c r="I258" s="94">
        <v>15.958021087646486</v>
      </c>
      <c r="J258" s="94">
        <v>8911.6016026888847</v>
      </c>
      <c r="K258" s="94">
        <v>3.4052234661406073</v>
      </c>
      <c r="L258" s="94">
        <v>0</v>
      </c>
      <c r="M258" s="94">
        <v>-1</v>
      </c>
      <c r="N258" s="94">
        <v>50</v>
      </c>
      <c r="O258" s="94">
        <v>50.794725231867986</v>
      </c>
    </row>
    <row r="259" spans="1:15" x14ac:dyDescent="0.25">
      <c r="A259" s="89">
        <v>44690.333333333336</v>
      </c>
      <c r="B259" s="94">
        <v>360.13</v>
      </c>
      <c r="C259" s="94">
        <v>301.56</v>
      </c>
      <c r="D259" s="94">
        <v>87.671472443052423</v>
      </c>
      <c r="E259" s="94">
        <v>6.9680655242089404</v>
      </c>
      <c r="F259" s="94">
        <v>85.701450180013396</v>
      </c>
      <c r="G259" s="94">
        <v>6.9785793125558184</v>
      </c>
      <c r="H259" s="94">
        <v>80.744489515702739</v>
      </c>
      <c r="I259" s="94">
        <v>15.936576141744311</v>
      </c>
      <c r="J259" s="94">
        <v>8927.2300259088624</v>
      </c>
      <c r="K259" s="94">
        <v>3.4073104763159017</v>
      </c>
      <c r="L259" s="94">
        <v>0</v>
      </c>
      <c r="M259" s="94">
        <v>-1</v>
      </c>
      <c r="N259" s="94">
        <v>50</v>
      </c>
      <c r="O259" s="94">
        <v>50</v>
      </c>
    </row>
    <row r="260" spans="1:15" x14ac:dyDescent="0.25">
      <c r="A260" s="89">
        <v>44690.833333333336</v>
      </c>
      <c r="B260" s="94">
        <v>360.13</v>
      </c>
      <c r="C260" s="94">
        <v>301.54916309060468</v>
      </c>
      <c r="D260" s="94">
        <v>88.054972636036396</v>
      </c>
      <c r="E260" s="94">
        <v>7.0283437899738077</v>
      </c>
      <c r="F260" s="94">
        <v>86.113136517161166</v>
      </c>
      <c r="G260" s="94">
        <v>6.9407145961856687</v>
      </c>
      <c r="H260" s="94">
        <v>80.390036797873705</v>
      </c>
      <c r="I260" s="94">
        <v>16.023839721679689</v>
      </c>
      <c r="J260" s="94">
        <v>8925.7398280156885</v>
      </c>
      <c r="K260" s="94">
        <v>3.4069811959578167</v>
      </c>
      <c r="L260" s="94">
        <v>0</v>
      </c>
      <c r="M260" s="94">
        <v>0</v>
      </c>
      <c r="N260" s="94">
        <v>54</v>
      </c>
      <c r="O260" s="94">
        <v>54</v>
      </c>
    </row>
    <row r="261" spans="1:15" x14ac:dyDescent="0.25">
      <c r="A261" s="89">
        <v>44691.333333333336</v>
      </c>
      <c r="B261" s="94">
        <v>360.03</v>
      </c>
      <c r="C261" s="94">
        <v>301.55693317544814</v>
      </c>
      <c r="D261" s="94">
        <v>88</v>
      </c>
      <c r="E261" s="94">
        <v>6.99</v>
      </c>
      <c r="F261" s="94">
        <v>86.029257254686115</v>
      </c>
      <c r="G261" s="94">
        <v>6.9471401977539067</v>
      </c>
      <c r="H261" s="94">
        <v>80.486895318854422</v>
      </c>
      <c r="I261" s="94">
        <v>15.975131251726998</v>
      </c>
      <c r="J261" s="94">
        <v>8935.585909523732</v>
      </c>
      <c r="K261" s="94">
        <v>3.4084324222882891</v>
      </c>
      <c r="L261" s="94">
        <v>0</v>
      </c>
      <c r="M261" s="94">
        <v>0</v>
      </c>
      <c r="N261" s="94">
        <v>54</v>
      </c>
      <c r="O261" s="94">
        <v>54</v>
      </c>
    </row>
    <row r="262" spans="1:15" x14ac:dyDescent="0.25">
      <c r="A262" s="89">
        <v>44691.833333333336</v>
      </c>
      <c r="B262" s="94">
        <v>360.03</v>
      </c>
      <c r="C262" s="94">
        <v>301.5661485864984</v>
      </c>
      <c r="D262" s="94">
        <v>88.4</v>
      </c>
      <c r="E262" s="94">
        <v>6.9871913070094891</v>
      </c>
      <c r="F262" s="94">
        <v>85.757129008373596</v>
      </c>
      <c r="G262" s="94">
        <v>7.0049999077087781</v>
      </c>
      <c r="H262" s="94">
        <v>80.676735829922649</v>
      </c>
      <c r="I262" s="94">
        <v>16.07</v>
      </c>
      <c r="J262" s="94">
        <v>8946.390615474631</v>
      </c>
      <c r="K262" s="94">
        <v>3.409665542351179</v>
      </c>
      <c r="L262" s="94">
        <v>0</v>
      </c>
      <c r="M262" s="94">
        <v>0</v>
      </c>
      <c r="N262" s="94">
        <v>53.047803251238768</v>
      </c>
      <c r="O262" s="94">
        <v>54</v>
      </c>
    </row>
    <row r="263" spans="1:15" x14ac:dyDescent="0.25">
      <c r="A263" s="89">
        <v>44692.333333333336</v>
      </c>
      <c r="B263" s="94">
        <v>359.95</v>
      </c>
      <c r="C263" s="94">
        <v>301.55439649226514</v>
      </c>
      <c r="D263" s="94">
        <v>88.4</v>
      </c>
      <c r="E263" s="94">
        <v>6.9527885336475919</v>
      </c>
      <c r="F263" s="94">
        <v>86.5</v>
      </c>
      <c r="G263" s="94">
        <v>6.9536966250233077</v>
      </c>
      <c r="H263" s="94">
        <v>80.66399545940348</v>
      </c>
      <c r="I263" s="94">
        <v>15.902880249023438</v>
      </c>
      <c r="J263" s="94">
        <v>8969.5954349391031</v>
      </c>
      <c r="K263" s="94">
        <v>3.4127852360226876</v>
      </c>
      <c r="L263" s="94">
        <v>0</v>
      </c>
      <c r="M263" s="94">
        <v>0</v>
      </c>
      <c r="N263" s="94">
        <v>53</v>
      </c>
      <c r="O263" s="94">
        <v>54</v>
      </c>
    </row>
    <row r="264" spans="1:15" x14ac:dyDescent="0.25">
      <c r="A264" s="89">
        <v>44692.833333333336</v>
      </c>
      <c r="B264" s="94">
        <v>359.95</v>
      </c>
      <c r="C264" s="94">
        <v>301.38536976397677</v>
      </c>
      <c r="D264" s="94">
        <v>88.3644451294698</v>
      </c>
      <c r="E264" s="94">
        <v>6.9827856320140258</v>
      </c>
      <c r="F264" s="94">
        <v>86.390618369356659</v>
      </c>
      <c r="G264" s="94">
        <v>6.9827768140859341</v>
      </c>
      <c r="H264" s="94">
        <v>80.441833085098835</v>
      </c>
      <c r="I264" s="94">
        <v>15.881886709044069</v>
      </c>
      <c r="J264" s="94">
        <v>7687.5927149873032</v>
      </c>
      <c r="K264" s="94">
        <v>3.2470710631365205</v>
      </c>
      <c r="L264" s="94">
        <v>0</v>
      </c>
      <c r="M264" s="94">
        <v>0</v>
      </c>
      <c r="N264" s="94">
        <v>30</v>
      </c>
      <c r="O264" s="94">
        <v>31</v>
      </c>
    </row>
    <row r="265" spans="1:15" x14ac:dyDescent="0.25">
      <c r="A265" s="89">
        <v>44693.333333333336</v>
      </c>
      <c r="B265" s="94">
        <v>359.88</v>
      </c>
      <c r="C265" s="94">
        <v>301.38535693314691</v>
      </c>
      <c r="D265" s="94">
        <v>88.112286398073195</v>
      </c>
      <c r="E265" s="94">
        <v>6.9750434658686045</v>
      </c>
      <c r="F265" s="94">
        <v>86.437800598144534</v>
      </c>
      <c r="G265" s="94">
        <v>6.9774851521335242</v>
      </c>
      <c r="H265" s="94">
        <v>80.344946135847195</v>
      </c>
      <c r="I265" s="94">
        <v>15.923488141155669</v>
      </c>
      <c r="J265" s="94">
        <v>7721.2102836105187</v>
      </c>
      <c r="K265" s="94">
        <v>3.2516526494647833</v>
      </c>
      <c r="L265" s="94">
        <v>0</v>
      </c>
      <c r="M265" s="94">
        <v>0</v>
      </c>
      <c r="N265" s="94">
        <v>30</v>
      </c>
      <c r="O265" s="94">
        <v>30.875212931402974</v>
      </c>
    </row>
    <row r="266" spans="1:15" x14ac:dyDescent="0.25">
      <c r="A266" s="89">
        <v>44693.833333333336</v>
      </c>
      <c r="B266" s="94">
        <v>359.88</v>
      </c>
      <c r="C266" s="94">
        <v>301.38</v>
      </c>
      <c r="D266" s="94">
        <v>88.242380214932666</v>
      </c>
      <c r="E266" s="94">
        <v>7.0025132398595868</v>
      </c>
      <c r="F266" s="94">
        <v>86.425132398595863</v>
      </c>
      <c r="G266" s="94">
        <v>6.94</v>
      </c>
      <c r="H266" s="94">
        <v>80.234614485426391</v>
      </c>
      <c r="I266" s="94">
        <v>15.833880004882813</v>
      </c>
      <c r="J266" s="94">
        <v>7717</v>
      </c>
      <c r="K266" s="94">
        <v>3.2509999999999999</v>
      </c>
      <c r="L266" s="94">
        <v>0</v>
      </c>
      <c r="M266" s="94">
        <v>0</v>
      </c>
      <c r="N266" s="94">
        <v>30</v>
      </c>
      <c r="O266" s="94">
        <v>31</v>
      </c>
    </row>
    <row r="267" spans="1:15" x14ac:dyDescent="0.25">
      <c r="A267" s="89">
        <v>44694.333333333336</v>
      </c>
      <c r="B267" s="94">
        <v>360.11</v>
      </c>
      <c r="C267" s="94">
        <v>301.38048031307591</v>
      </c>
      <c r="D267" s="94">
        <v>88.322113909040183</v>
      </c>
      <c r="E267" s="94">
        <v>7.0472974293962212</v>
      </c>
      <c r="F267" s="94">
        <v>86.212133789062506</v>
      </c>
      <c r="G267" s="94">
        <v>6.9841441248797178</v>
      </c>
      <c r="H267" s="94">
        <v>80.3</v>
      </c>
      <c r="I267" s="94">
        <v>16.003405602513503</v>
      </c>
      <c r="J267" s="94">
        <v>7694</v>
      </c>
      <c r="K267" s="94">
        <v>3.25</v>
      </c>
      <c r="L267" s="94">
        <v>0</v>
      </c>
      <c r="M267" s="94">
        <v>0</v>
      </c>
      <c r="N267" s="94">
        <v>30</v>
      </c>
      <c r="O267" s="94">
        <v>31</v>
      </c>
    </row>
    <row r="268" spans="1:15" x14ac:dyDescent="0.25">
      <c r="A268" s="89">
        <v>44694.833333333336</v>
      </c>
      <c r="B268" s="94">
        <v>360.11</v>
      </c>
      <c r="C268" s="94">
        <v>301.62274141400655</v>
      </c>
      <c r="D268" s="94">
        <v>86.540313768580404</v>
      </c>
      <c r="E268" s="94">
        <v>7.047598509756817</v>
      </c>
      <c r="F268" s="94">
        <v>85.236957905897654</v>
      </c>
      <c r="G268" s="94">
        <v>6.9736900329589844</v>
      </c>
      <c r="H268" s="94">
        <v>79.757904396224902</v>
      </c>
      <c r="I268" s="94">
        <v>15.996377214704241</v>
      </c>
      <c r="J268" s="94">
        <v>9588</v>
      </c>
      <c r="K268" s="94">
        <v>3.488896951794068</v>
      </c>
      <c r="L268" s="94">
        <v>30</v>
      </c>
      <c r="M268" s="94">
        <v>30</v>
      </c>
      <c r="N268" s="94">
        <v>32</v>
      </c>
      <c r="O268" s="94">
        <v>30</v>
      </c>
    </row>
    <row r="269" spans="1:15" x14ac:dyDescent="0.25">
      <c r="A269" s="89">
        <v>44695.333333333336</v>
      </c>
      <c r="B269" s="94">
        <v>360.11</v>
      </c>
      <c r="C269" s="94">
        <v>301.62884410360067</v>
      </c>
      <c r="D269" s="94">
        <v>84.329733339945477</v>
      </c>
      <c r="E269" s="94">
        <v>7.042740173339844</v>
      </c>
      <c r="F269" s="94">
        <v>81.400000000000006</v>
      </c>
      <c r="G269" s="94">
        <v>6.9926628583647723</v>
      </c>
      <c r="H269" s="94">
        <v>79.5</v>
      </c>
      <c r="I269" s="94">
        <v>16.004772949919353</v>
      </c>
      <c r="J269" s="94">
        <v>9565.6526316686086</v>
      </c>
      <c r="K269" s="94">
        <v>3.4880167306452985</v>
      </c>
      <c r="L269" s="94">
        <v>30</v>
      </c>
      <c r="M269" s="94">
        <v>30</v>
      </c>
      <c r="N269" s="94">
        <v>32</v>
      </c>
      <c r="O269" s="94">
        <v>30</v>
      </c>
    </row>
    <row r="270" spans="1:15" x14ac:dyDescent="0.25">
      <c r="A270" s="89">
        <v>44695.833333333336</v>
      </c>
      <c r="B270" s="94">
        <v>360.11</v>
      </c>
      <c r="C270" s="94">
        <v>302.15574319458005</v>
      </c>
      <c r="D270" s="94">
        <v>83.8</v>
      </c>
      <c r="E270" s="94">
        <v>6.9556528068807566</v>
      </c>
      <c r="F270" s="94">
        <v>82.420916419276494</v>
      </c>
      <c r="G270" s="94">
        <v>6.9829206030456543</v>
      </c>
      <c r="H270" s="94">
        <v>79.480640729121347</v>
      </c>
      <c r="I270" s="94">
        <v>15.852910461425783</v>
      </c>
      <c r="J270" s="94">
        <v>14960.039375821754</v>
      </c>
      <c r="K270" s="94">
        <v>4.0661980324462244</v>
      </c>
      <c r="L270" s="94">
        <v>38</v>
      </c>
      <c r="M270" s="94">
        <v>39</v>
      </c>
      <c r="N270" s="94">
        <v>40</v>
      </c>
      <c r="O270" s="94">
        <v>38</v>
      </c>
    </row>
    <row r="271" spans="1:15" x14ac:dyDescent="0.25">
      <c r="A271" s="89">
        <v>44696.333333333336</v>
      </c>
      <c r="B271" s="94">
        <v>360.11</v>
      </c>
      <c r="C271" s="94">
        <v>302.16057901786826</v>
      </c>
      <c r="D271" s="94">
        <v>83.882488884560729</v>
      </c>
      <c r="E271" s="94">
        <v>6.9809669281648974</v>
      </c>
      <c r="F271" s="94">
        <v>82.571329683424338</v>
      </c>
      <c r="G271" s="94">
        <v>6.9771713425940005</v>
      </c>
      <c r="H271" s="94">
        <v>79.576484747471255</v>
      </c>
      <c r="I271" s="94">
        <v>15.94690309598939</v>
      </c>
      <c r="J271" s="94">
        <v>15256.649677680025</v>
      </c>
      <c r="K271" s="94">
        <v>4.0953854025233589</v>
      </c>
      <c r="L271" s="94">
        <v>38</v>
      </c>
      <c r="M271" s="94">
        <v>38</v>
      </c>
      <c r="N271" s="94">
        <v>40</v>
      </c>
      <c r="O271" s="94">
        <v>38</v>
      </c>
    </row>
    <row r="272" spans="1:15" x14ac:dyDescent="0.25">
      <c r="A272" s="89">
        <v>44696.833333333336</v>
      </c>
      <c r="B272" s="94">
        <v>360.11</v>
      </c>
      <c r="C272" s="94">
        <v>302.16253915693994</v>
      </c>
      <c r="D272" s="94">
        <v>83.756666001795153</v>
      </c>
      <c r="E272" s="94">
        <v>6.993369903564453</v>
      </c>
      <c r="F272" s="94">
        <v>82.413338294396041</v>
      </c>
      <c r="G272" s="94">
        <v>6.9371055476875751</v>
      </c>
      <c r="H272" s="94">
        <v>79.7</v>
      </c>
      <c r="I272" s="94">
        <v>15.985368804931641</v>
      </c>
      <c r="J272" s="94">
        <v>15240.141405148719</v>
      </c>
      <c r="K272" s="94">
        <v>4.0936418814011555</v>
      </c>
      <c r="L272" s="94">
        <v>38</v>
      </c>
      <c r="M272" s="94">
        <v>39</v>
      </c>
      <c r="N272" s="94">
        <v>40</v>
      </c>
      <c r="O272" s="94">
        <v>38</v>
      </c>
    </row>
    <row r="273" spans="1:15" x14ac:dyDescent="0.25">
      <c r="A273" s="89">
        <v>44697.333333333336</v>
      </c>
      <c r="B273" s="94">
        <v>360.11</v>
      </c>
      <c r="C273" s="94">
        <v>302.17369964960619</v>
      </c>
      <c r="D273" s="94">
        <v>83.695399983723959</v>
      </c>
      <c r="E273" s="94">
        <v>6.9624232732013898</v>
      </c>
      <c r="F273" s="94">
        <v>82.241427960666954</v>
      </c>
      <c r="G273" s="94">
        <v>6.9523355719006501</v>
      </c>
      <c r="H273" s="94">
        <v>79.77779193062409</v>
      </c>
      <c r="I273" s="94">
        <v>15.89</v>
      </c>
      <c r="J273" s="94">
        <v>15250.267433193807</v>
      </c>
      <c r="K273" s="94">
        <v>4.0948805131974941</v>
      </c>
      <c r="L273" s="94">
        <v>38.485299295469829</v>
      </c>
      <c r="M273" s="94">
        <v>38.684428687401471</v>
      </c>
      <c r="N273" s="94">
        <v>40</v>
      </c>
      <c r="O273" s="94">
        <v>48.348137579555605</v>
      </c>
    </row>
    <row r="274" spans="1:15" x14ac:dyDescent="0.25">
      <c r="A274" s="89">
        <v>44697.833333333336</v>
      </c>
      <c r="B274" s="94">
        <v>360.79</v>
      </c>
      <c r="C274" s="94">
        <v>302.08146078430684</v>
      </c>
      <c r="D274" s="94">
        <v>-8.6999999999999993</v>
      </c>
      <c r="E274" s="94">
        <v>0</v>
      </c>
      <c r="F274" s="94">
        <v>81.233975801429608</v>
      </c>
      <c r="G274" s="94">
        <v>6.9437987736050522</v>
      </c>
      <c r="H274" s="94">
        <v>89.351160802067938</v>
      </c>
      <c r="I274" s="94">
        <v>17.600000000000001</v>
      </c>
      <c r="J274" s="94">
        <v>15096.048575528284</v>
      </c>
      <c r="K274" s="94">
        <v>4.0780000000000003</v>
      </c>
      <c r="L274" s="94">
        <v>48</v>
      </c>
      <c r="M274" s="94">
        <v>49</v>
      </c>
      <c r="N274" s="94">
        <v>51</v>
      </c>
      <c r="O274" s="94">
        <v>49</v>
      </c>
    </row>
    <row r="275" spans="1:15" x14ac:dyDescent="0.25">
      <c r="A275" s="89">
        <v>44698.333333333336</v>
      </c>
      <c r="B275" s="94">
        <v>360.75032213299181</v>
      </c>
      <c r="C275" s="94">
        <v>302.06938664211594</v>
      </c>
      <c r="D275" s="94">
        <v>-8.6999999999999993</v>
      </c>
      <c r="E275" s="94">
        <v>0</v>
      </c>
      <c r="F275" s="94">
        <v>80.659931061360908</v>
      </c>
      <c r="G275" s="94">
        <v>6.926869964599609</v>
      </c>
      <c r="H275" s="94">
        <v>89.388597332355005</v>
      </c>
      <c r="I275" s="94">
        <v>17.540498880716342</v>
      </c>
      <c r="J275" s="94">
        <v>14825.915467936005</v>
      </c>
      <c r="K275" s="94">
        <v>4.0526172964651881</v>
      </c>
      <c r="L275" s="94">
        <v>48</v>
      </c>
      <c r="M275" s="94">
        <v>48.536997477213539</v>
      </c>
      <c r="N275" s="94">
        <v>50</v>
      </c>
      <c r="O275" s="94">
        <v>48.824983548375535</v>
      </c>
    </row>
    <row r="276" spans="1:15" x14ac:dyDescent="0.25">
      <c r="A276" s="89">
        <v>44698.833333333336</v>
      </c>
      <c r="B276" s="94">
        <v>360.75</v>
      </c>
      <c r="C276" s="94">
        <v>302.04455973232268</v>
      </c>
      <c r="D276" s="94">
        <v>-8.6999999999999993</v>
      </c>
      <c r="E276" s="94">
        <v>0</v>
      </c>
      <c r="F276" s="94">
        <v>82.268252913085007</v>
      </c>
      <c r="G276" s="94">
        <v>6.9218544758647367</v>
      </c>
      <c r="H276" s="94">
        <v>89.294447159802914</v>
      </c>
      <c r="I276" s="94">
        <v>17.445630609280634</v>
      </c>
      <c r="J276" s="94">
        <v>14623.571031473468</v>
      </c>
      <c r="K276" s="94">
        <v>4.0316506991053558</v>
      </c>
      <c r="L276" s="94">
        <v>48</v>
      </c>
      <c r="M276" s="94">
        <v>48.617355836096728</v>
      </c>
      <c r="N276" s="94">
        <v>50</v>
      </c>
      <c r="O276" s="94">
        <v>48</v>
      </c>
    </row>
    <row r="277" spans="1:15" x14ac:dyDescent="0.25">
      <c r="A277" s="89">
        <v>44699.333333333336</v>
      </c>
      <c r="B277" s="94">
        <v>360.61</v>
      </c>
      <c r="C277" s="94">
        <v>302.04000000000002</v>
      </c>
      <c r="D277" s="94">
        <v>-8.6999999999999993</v>
      </c>
      <c r="E277" s="94">
        <v>0</v>
      </c>
      <c r="F277" s="94">
        <v>83.1</v>
      </c>
      <c r="G277" s="94">
        <v>6.9392542915154127</v>
      </c>
      <c r="H277" s="94">
        <v>89.7</v>
      </c>
      <c r="I277" s="94">
        <v>17.5071162804906</v>
      </c>
      <c r="J277" s="94">
        <v>14358.235983395809</v>
      </c>
      <c r="K277" s="94">
        <v>4.005810544322947</v>
      </c>
      <c r="L277" s="94">
        <v>48</v>
      </c>
      <c r="M277" s="94">
        <v>48</v>
      </c>
      <c r="N277" s="94">
        <v>50</v>
      </c>
      <c r="O277" s="94">
        <v>48</v>
      </c>
    </row>
    <row r="278" spans="1:15" x14ac:dyDescent="0.25">
      <c r="A278" s="89">
        <v>44699.833333333336</v>
      </c>
      <c r="B278" s="94">
        <v>360.61</v>
      </c>
      <c r="C278" s="94">
        <v>302.00252470960612</v>
      </c>
      <c r="D278" s="94">
        <v>-8.6999999999999993</v>
      </c>
      <c r="E278" s="94">
        <v>0</v>
      </c>
      <c r="F278" s="94">
        <v>83.269710964626739</v>
      </c>
      <c r="G278" s="94">
        <v>6.9552031635982878</v>
      </c>
      <c r="H278" s="94">
        <v>90.10911890242869</v>
      </c>
      <c r="I278" s="94">
        <v>17.583914041246828</v>
      </c>
      <c r="J278" s="94">
        <v>14122.265569012916</v>
      </c>
      <c r="K278" s="94">
        <v>3.9821898467503911</v>
      </c>
      <c r="L278" s="94">
        <v>48</v>
      </c>
      <c r="M278" s="94">
        <v>49</v>
      </c>
      <c r="N278" s="94">
        <v>51</v>
      </c>
      <c r="O278" s="94">
        <v>49</v>
      </c>
    </row>
    <row r="279" spans="1:15" x14ac:dyDescent="0.25">
      <c r="A279" s="89">
        <v>44700.333333333336</v>
      </c>
      <c r="B279" s="94">
        <v>360.5</v>
      </c>
      <c r="C279" s="94">
        <v>301.97021811602781</v>
      </c>
      <c r="D279" s="94">
        <v>-8.6999999999999993</v>
      </c>
      <c r="E279" s="94">
        <v>0</v>
      </c>
      <c r="F279" s="94">
        <v>83.048300718006473</v>
      </c>
      <c r="G279" s="94">
        <v>6.9728645928636785</v>
      </c>
      <c r="H279" s="94">
        <v>90.22740128054032</v>
      </c>
      <c r="I279" s="94">
        <v>17.471532434207511</v>
      </c>
      <c r="J279" s="94">
        <v>13910</v>
      </c>
      <c r="K279" s="94">
        <v>3.9609999999999999</v>
      </c>
      <c r="L279" s="94">
        <v>48</v>
      </c>
      <c r="M279" s="94">
        <v>49</v>
      </c>
      <c r="N279" s="94">
        <v>50</v>
      </c>
      <c r="O279" s="94">
        <v>48</v>
      </c>
    </row>
    <row r="280" spans="1:15" x14ac:dyDescent="0.25">
      <c r="A280" s="89">
        <v>44700.833333333336</v>
      </c>
      <c r="B280" s="94">
        <v>360.5</v>
      </c>
      <c r="C280" s="94">
        <v>302.06229555814565</v>
      </c>
      <c r="D280" s="94">
        <v>-8.6999999999999993</v>
      </c>
      <c r="E280" s="94">
        <v>0</v>
      </c>
      <c r="F280" s="94">
        <v>83.611512198099277</v>
      </c>
      <c r="G280" s="94">
        <v>6.9581155076954335</v>
      </c>
      <c r="H280" s="94">
        <v>91.140259472620542</v>
      </c>
      <c r="I280" s="94">
        <v>17.47</v>
      </c>
      <c r="J280" s="94">
        <v>14511.725848512209</v>
      </c>
      <c r="K280" s="94">
        <v>4.0209839238570479</v>
      </c>
      <c r="L280" s="94">
        <v>58</v>
      </c>
      <c r="M280" s="94">
        <v>59</v>
      </c>
      <c r="N280" s="94">
        <v>61</v>
      </c>
      <c r="O280" s="94">
        <v>59.283565590985802</v>
      </c>
    </row>
    <row r="281" spans="1:15" x14ac:dyDescent="0.25">
      <c r="A281" s="89">
        <v>44701.333333333336</v>
      </c>
      <c r="B281" s="94">
        <v>360.36</v>
      </c>
      <c r="C281" s="94">
        <v>302.0446000508565</v>
      </c>
      <c r="D281" s="94">
        <v>-8.6999999999999993</v>
      </c>
      <c r="E281" s="94">
        <v>0</v>
      </c>
      <c r="F281" s="94">
        <v>83.676337741959699</v>
      </c>
      <c r="G281" s="94">
        <v>6.948388784477066</v>
      </c>
      <c r="H281" s="94">
        <v>92.092115522256222</v>
      </c>
      <c r="I281" s="94">
        <v>17.496849327572569</v>
      </c>
      <c r="J281" s="94">
        <v>14228.023235858149</v>
      </c>
      <c r="K281" s="94">
        <v>3.9927777396810344</v>
      </c>
      <c r="L281" s="94">
        <v>58</v>
      </c>
      <c r="M281" s="94">
        <v>59</v>
      </c>
      <c r="N281" s="94">
        <v>61</v>
      </c>
      <c r="O281" s="94">
        <v>59</v>
      </c>
    </row>
    <row r="282" spans="1:15" x14ac:dyDescent="0.25">
      <c r="A282" s="89">
        <v>44701.833333333336</v>
      </c>
      <c r="B282" s="94">
        <v>360.36</v>
      </c>
      <c r="C282" s="94">
        <v>302.2</v>
      </c>
      <c r="D282" s="94">
        <v>-8.6999999999999993</v>
      </c>
      <c r="E282" s="94">
        <v>0</v>
      </c>
      <c r="F282" s="94">
        <v>84.931003002180361</v>
      </c>
      <c r="G282" s="94">
        <v>6.9390812211103778</v>
      </c>
      <c r="H282" s="94">
        <v>92.252106973329532</v>
      </c>
      <c r="I282" s="94">
        <v>17.496819710039098</v>
      </c>
      <c r="J282" s="94">
        <v>16066.730577310371</v>
      </c>
      <c r="K282" s="94">
        <v>4.1663733855365672</v>
      </c>
      <c r="L282" s="94">
        <v>58</v>
      </c>
      <c r="M282" s="94">
        <v>59</v>
      </c>
      <c r="N282" s="94">
        <v>61</v>
      </c>
      <c r="O282" s="94">
        <v>59</v>
      </c>
    </row>
    <row r="283" spans="1:15" x14ac:dyDescent="0.25">
      <c r="A283" s="89">
        <v>44702.333333333336</v>
      </c>
      <c r="B283" s="94">
        <v>360.36</v>
      </c>
      <c r="C283" s="94">
        <v>302.16424847621641</v>
      </c>
      <c r="D283" s="94">
        <v>-8.6999999999999993</v>
      </c>
      <c r="E283" s="94">
        <v>0</v>
      </c>
      <c r="F283" s="94">
        <v>85</v>
      </c>
      <c r="G283" s="94">
        <v>6.9516679369531413</v>
      </c>
      <c r="H283" s="94">
        <v>92.327394005324777</v>
      </c>
      <c r="I283" s="94">
        <v>17.552857356146795</v>
      </c>
      <c r="J283" s="94">
        <v>15475.8958741598</v>
      </c>
      <c r="K283" s="94">
        <v>4.1177349307502533</v>
      </c>
      <c r="L283" s="94">
        <v>58</v>
      </c>
      <c r="M283" s="94">
        <v>59</v>
      </c>
      <c r="N283" s="94">
        <v>61</v>
      </c>
      <c r="O283" s="94">
        <v>59</v>
      </c>
    </row>
    <row r="284" spans="1:15" x14ac:dyDescent="0.25">
      <c r="A284" s="89">
        <v>44702.833333333336</v>
      </c>
      <c r="B284" s="94">
        <v>360.36</v>
      </c>
      <c r="C284" s="94">
        <v>302.10082271472243</v>
      </c>
      <c r="D284" s="94">
        <v>-8.6999999999999993</v>
      </c>
      <c r="E284" s="94">
        <v>0</v>
      </c>
      <c r="F284" s="94">
        <v>85.3</v>
      </c>
      <c r="G284" s="94">
        <v>6.96</v>
      </c>
      <c r="H284" s="94">
        <v>92.24567616930041</v>
      </c>
      <c r="I284" s="94">
        <v>17.620748777924984</v>
      </c>
      <c r="J284" s="94">
        <v>14968.067137777431</v>
      </c>
      <c r="K284" s="94">
        <v>4.0667950665417774</v>
      </c>
      <c r="L284" s="94">
        <v>58</v>
      </c>
      <c r="M284" s="94">
        <v>58.924184278195341</v>
      </c>
      <c r="N284" s="94">
        <v>60.928523154930211</v>
      </c>
      <c r="O284" s="94">
        <v>59</v>
      </c>
    </row>
    <row r="285" spans="1:15" x14ac:dyDescent="0.25">
      <c r="A285" s="89">
        <v>44703.333333333336</v>
      </c>
      <c r="B285" s="94">
        <v>360.36</v>
      </c>
      <c r="C285" s="94">
        <v>302.07462571931762</v>
      </c>
      <c r="D285" s="94">
        <v>-8.6999999999999993</v>
      </c>
      <c r="E285" s="94">
        <v>0</v>
      </c>
      <c r="F285" s="94">
        <v>85.107770035790423</v>
      </c>
      <c r="G285" s="94">
        <v>6.9554904798793169</v>
      </c>
      <c r="H285" s="94">
        <v>92.55130357426232</v>
      </c>
      <c r="I285" s="94">
        <v>17.477149505615238</v>
      </c>
      <c r="J285" s="94">
        <v>14614.924948074446</v>
      </c>
      <c r="K285" s="94">
        <v>4.0313469300141804</v>
      </c>
      <c r="L285" s="94">
        <v>58</v>
      </c>
      <c r="M285" s="94">
        <v>59</v>
      </c>
      <c r="N285" s="94">
        <v>60.874989874488946</v>
      </c>
      <c r="O285" s="94">
        <v>59</v>
      </c>
    </row>
    <row r="286" spans="1:15" x14ac:dyDescent="0.25">
      <c r="A286" s="89">
        <v>44703.833333333336</v>
      </c>
      <c r="B286" s="94">
        <v>360.36</v>
      </c>
      <c r="C286" s="94">
        <v>302.04887416839603</v>
      </c>
      <c r="D286" s="94">
        <v>-8.6999999999999993</v>
      </c>
      <c r="E286" s="94">
        <v>0</v>
      </c>
      <c r="F286" s="94">
        <v>85.3</v>
      </c>
      <c r="G286" s="94">
        <v>6.9100964176806876</v>
      </c>
      <c r="H286" s="94">
        <v>92.610343753948072</v>
      </c>
      <c r="I286" s="94">
        <v>17.626612072138389</v>
      </c>
      <c r="J286" s="94">
        <v>14248.355464618897</v>
      </c>
      <c r="K286" s="94">
        <v>3.993200856357459</v>
      </c>
      <c r="L286" s="94">
        <v>58</v>
      </c>
      <c r="M286" s="94">
        <v>59</v>
      </c>
      <c r="N286" s="94">
        <v>61</v>
      </c>
      <c r="O286" s="94">
        <v>59</v>
      </c>
    </row>
    <row r="287" spans="1:15" x14ac:dyDescent="0.25">
      <c r="A287" s="89">
        <v>44704.333333333336</v>
      </c>
      <c r="B287" s="94">
        <v>359.79</v>
      </c>
      <c r="C287" s="94">
        <v>301.98908830295534</v>
      </c>
      <c r="D287" s="94" t="s">
        <v>94</v>
      </c>
      <c r="E287" s="94">
        <v>0</v>
      </c>
      <c r="F287" s="94">
        <v>85.3</v>
      </c>
      <c r="G287" s="94">
        <v>6.97</v>
      </c>
      <c r="H287" s="94">
        <v>93.085299682617176</v>
      </c>
      <c r="I287" s="94">
        <v>17.405589904785156</v>
      </c>
      <c r="J287" s="94">
        <v>13690.106946420348</v>
      </c>
      <c r="K287" s="94">
        <v>3.9440834620110796</v>
      </c>
      <c r="L287" s="94">
        <v>57.232338941438989</v>
      </c>
      <c r="M287" s="94">
        <v>58</v>
      </c>
      <c r="N287" s="94">
        <v>0</v>
      </c>
      <c r="O287" s="94">
        <v>58.615610794769857</v>
      </c>
    </row>
    <row r="288" spans="1:15" x14ac:dyDescent="0.25">
      <c r="A288" s="89">
        <v>44704.833333333336</v>
      </c>
      <c r="B288" s="94">
        <v>359.79</v>
      </c>
      <c r="C288" s="94">
        <v>302.12</v>
      </c>
      <c r="D288" s="94">
        <v>-8.6999999999999993</v>
      </c>
      <c r="E288" s="94">
        <v>0</v>
      </c>
      <c r="F288" s="94">
        <v>86.06337312022103</v>
      </c>
      <c r="G288" s="94">
        <v>6.9709791735142081</v>
      </c>
      <c r="H288" s="94">
        <v>89.046120581492445</v>
      </c>
      <c r="I288" s="94">
        <v>16.960699157714842</v>
      </c>
      <c r="J288" s="94">
        <v>15080.106205196465</v>
      </c>
      <c r="K288" s="94">
        <v>4.0783897139238974</v>
      </c>
      <c r="L288" s="94">
        <v>60</v>
      </c>
      <c r="M288" s="94">
        <v>57</v>
      </c>
      <c r="N288" s="94">
        <v>60.513187177423177</v>
      </c>
      <c r="O288" s="94">
        <v>61</v>
      </c>
    </row>
    <row r="289" spans="1:15" x14ac:dyDescent="0.25">
      <c r="A289" s="89">
        <v>44705.333333333336</v>
      </c>
      <c r="B289" s="94">
        <v>359.6905006028046</v>
      </c>
      <c r="C289" s="94">
        <v>302.08</v>
      </c>
      <c r="D289" s="94">
        <v>-8.6999999999999993</v>
      </c>
      <c r="E289" s="94">
        <v>0</v>
      </c>
      <c r="F289" s="94">
        <v>85.9</v>
      </c>
      <c r="G289" s="94">
        <v>6.95</v>
      </c>
      <c r="H289" s="94">
        <v>89.7</v>
      </c>
      <c r="I289" s="94">
        <v>16.814784664830118</v>
      </c>
      <c r="J289" s="94">
        <v>14767.985068304306</v>
      </c>
      <c r="K289" s="94">
        <v>4.0468055621592178</v>
      </c>
      <c r="L289" s="94">
        <v>60</v>
      </c>
      <c r="M289" s="94">
        <v>56</v>
      </c>
      <c r="N289" s="94">
        <v>60</v>
      </c>
      <c r="O289" s="94">
        <v>61</v>
      </c>
    </row>
    <row r="290" spans="1:15" x14ac:dyDescent="0.25">
      <c r="A290" s="89">
        <v>44705.833333333336</v>
      </c>
      <c r="B290" s="94">
        <v>359.58</v>
      </c>
      <c r="C290" s="94">
        <v>302.04641892183963</v>
      </c>
      <c r="D290" s="94">
        <v>-8.6999999999999993</v>
      </c>
      <c r="E290" s="94">
        <v>0</v>
      </c>
      <c r="F290" s="94">
        <v>2.509846434686053</v>
      </c>
      <c r="G290" s="94">
        <v>0</v>
      </c>
      <c r="H290" s="94">
        <v>89.8</v>
      </c>
      <c r="I290" s="94">
        <v>17.043675010899211</v>
      </c>
      <c r="J290" s="94">
        <v>15972.272602909403</v>
      </c>
      <c r="K290" s="94">
        <v>4.1589111964550849</v>
      </c>
      <c r="L290" s="94">
        <v>64</v>
      </c>
      <c r="M290" s="94">
        <v>59</v>
      </c>
      <c r="N290" s="94">
        <v>0</v>
      </c>
      <c r="O290" s="94">
        <v>0</v>
      </c>
    </row>
    <row r="291" spans="1:15" x14ac:dyDescent="0.25">
      <c r="A291" s="89">
        <v>44706.333333333336</v>
      </c>
      <c r="B291" s="94">
        <v>359.39316001500509</v>
      </c>
      <c r="C291" s="94">
        <v>302.05</v>
      </c>
      <c r="D291" s="94">
        <v>-8.6999999999999993</v>
      </c>
      <c r="E291" s="94">
        <v>0</v>
      </c>
      <c r="F291" s="94">
        <v>2.5491495576871284</v>
      </c>
      <c r="G291" s="94">
        <v>0</v>
      </c>
      <c r="H291" s="94">
        <v>89.933552691381621</v>
      </c>
      <c r="I291" s="94">
        <v>16.967300567626953</v>
      </c>
      <c r="J291" s="94">
        <v>16070.038122817004</v>
      </c>
      <c r="K291" s="94">
        <v>4.1679562194977748</v>
      </c>
      <c r="L291" s="94">
        <v>63</v>
      </c>
      <c r="M291" s="94">
        <v>58.650754024862444</v>
      </c>
      <c r="N291" s="94">
        <v>0</v>
      </c>
      <c r="O291" s="94">
        <v>0</v>
      </c>
    </row>
    <row r="292" spans="1:15" x14ac:dyDescent="0.25">
      <c r="A292" s="89">
        <v>44706.833333333336</v>
      </c>
      <c r="B292" s="94">
        <v>359.38</v>
      </c>
      <c r="C292" s="94">
        <v>302.07667635585693</v>
      </c>
      <c r="D292" s="94">
        <v>-8.6999999999999993</v>
      </c>
      <c r="E292" s="94">
        <v>0</v>
      </c>
      <c r="F292" s="94">
        <v>85.725317594154021</v>
      </c>
      <c r="G292" s="94">
        <v>6.9523649568075836</v>
      </c>
      <c r="H292" s="94">
        <v>1.2355248289101739</v>
      </c>
      <c r="I292" s="94">
        <v>0</v>
      </c>
      <c r="J292" s="94">
        <v>15079.397308476799</v>
      </c>
      <c r="K292" s="94">
        <v>4.0769703203191598</v>
      </c>
      <c r="L292" s="94">
        <v>64</v>
      </c>
      <c r="M292" s="94">
        <v>59</v>
      </c>
      <c r="N292" s="94">
        <v>50</v>
      </c>
      <c r="O292" s="94">
        <v>0</v>
      </c>
    </row>
    <row r="293" spans="1:15" x14ac:dyDescent="0.25">
      <c r="A293" s="89">
        <v>44707.333333333336</v>
      </c>
      <c r="B293" s="94">
        <v>359.15</v>
      </c>
      <c r="C293" s="94">
        <v>302.04847260131839</v>
      </c>
      <c r="D293" s="94">
        <v>2.2119678505711211</v>
      </c>
      <c r="E293" s="94">
        <v>0</v>
      </c>
      <c r="F293" s="94">
        <v>85.712089298706857</v>
      </c>
      <c r="G293" s="94">
        <v>6.93</v>
      </c>
      <c r="H293" s="94">
        <v>1.3770607066989797</v>
      </c>
      <c r="I293" s="94">
        <v>0</v>
      </c>
      <c r="J293" s="94">
        <v>14861.844545656932</v>
      </c>
      <c r="K293" s="94">
        <v>4.0561221494294966</v>
      </c>
      <c r="L293" s="94">
        <v>63.922580934351203</v>
      </c>
      <c r="M293" s="94">
        <v>59</v>
      </c>
      <c r="N293" s="94">
        <v>50</v>
      </c>
      <c r="O293" s="94">
        <v>0</v>
      </c>
    </row>
    <row r="294" spans="1:15" x14ac:dyDescent="0.25">
      <c r="A294" s="89">
        <v>44707.833333333336</v>
      </c>
      <c r="B294" s="94">
        <v>359.15</v>
      </c>
      <c r="C294" s="94">
        <v>301.80384607176609</v>
      </c>
      <c r="D294" s="94">
        <v>2.4181282096508308</v>
      </c>
      <c r="E294" s="94">
        <v>0</v>
      </c>
      <c r="F294" s="94">
        <v>86.163022668582883</v>
      </c>
      <c r="G294" s="94">
        <v>6.95</v>
      </c>
      <c r="H294" s="94">
        <v>90.417724270009614</v>
      </c>
      <c r="I294" s="94">
        <v>16.922372101582628</v>
      </c>
      <c r="J294" s="94">
        <v>13120.016597602127</v>
      </c>
      <c r="K294" s="94">
        <v>3.8811077053274659</v>
      </c>
      <c r="L294" s="94">
        <v>13</v>
      </c>
      <c r="M294" s="94">
        <v>0</v>
      </c>
      <c r="N294" s="94">
        <v>0</v>
      </c>
      <c r="O294" s="94">
        <v>0</v>
      </c>
    </row>
    <row r="295" spans="1:15" x14ac:dyDescent="0.25">
      <c r="A295" s="89">
        <v>44708.333333333336</v>
      </c>
      <c r="B295" s="94">
        <v>359.15</v>
      </c>
      <c r="C295" s="94">
        <v>301.76101242585082</v>
      </c>
      <c r="D295" s="94">
        <v>2.2999999999999998</v>
      </c>
      <c r="E295" s="94">
        <v>0</v>
      </c>
      <c r="F295" s="94">
        <v>86.111136818320887</v>
      </c>
      <c r="G295" s="94">
        <v>6.9651809296197564</v>
      </c>
      <c r="H295" s="94">
        <v>90.845318485812612</v>
      </c>
      <c r="I295" s="94">
        <v>16.992012626599781</v>
      </c>
      <c r="J295" s="94">
        <v>12665.944907448164</v>
      </c>
      <c r="K295" s="94">
        <v>3.8355399420565863</v>
      </c>
      <c r="L295" s="94">
        <v>13</v>
      </c>
      <c r="M295" s="94">
        <v>0</v>
      </c>
      <c r="N295" s="94">
        <v>0</v>
      </c>
      <c r="O295" s="94">
        <v>0</v>
      </c>
    </row>
    <row r="296" spans="1:15" x14ac:dyDescent="0.25">
      <c r="A296" s="89">
        <v>44708.833333333336</v>
      </c>
      <c r="B296" s="94">
        <v>358.95</v>
      </c>
      <c r="C296" s="94">
        <v>301.78284728876264</v>
      </c>
      <c r="D296" s="94">
        <v>2.7956714711577977</v>
      </c>
      <c r="E296" s="94">
        <v>0</v>
      </c>
      <c r="F296" s="94">
        <v>87.057204610728917</v>
      </c>
      <c r="G296" s="94">
        <v>6.9394800415039066</v>
      </c>
      <c r="H296" s="94">
        <v>91.2</v>
      </c>
      <c r="I296" s="94">
        <v>16.970339827958295</v>
      </c>
      <c r="J296" s="94">
        <v>12730</v>
      </c>
      <c r="K296" s="94">
        <v>3.8485064600942787</v>
      </c>
      <c r="L296" s="94">
        <v>25</v>
      </c>
      <c r="M296" s="94">
        <v>0</v>
      </c>
      <c r="N296" s="94">
        <v>0</v>
      </c>
      <c r="O296" s="94">
        <v>0</v>
      </c>
    </row>
    <row r="297" spans="1:15" x14ac:dyDescent="0.25">
      <c r="A297" s="89">
        <v>44709.333333333336</v>
      </c>
      <c r="B297" s="94">
        <v>358.95</v>
      </c>
      <c r="C297" s="94">
        <v>301.81</v>
      </c>
      <c r="D297" s="94">
        <v>2.7</v>
      </c>
      <c r="E297" s="94">
        <v>0</v>
      </c>
      <c r="F297" s="94">
        <v>87.1</v>
      </c>
      <c r="G297" s="94">
        <v>6.9214487180793087</v>
      </c>
      <c r="H297" s="94">
        <v>91.4</v>
      </c>
      <c r="I297" s="94">
        <v>17.00312952448002</v>
      </c>
      <c r="J297" s="94">
        <v>12892.106698399944</v>
      </c>
      <c r="K297" s="94">
        <v>3.8591307033453499</v>
      </c>
      <c r="L297" s="94">
        <v>40</v>
      </c>
      <c r="M297" s="94">
        <v>0</v>
      </c>
      <c r="N297" s="94">
        <v>0</v>
      </c>
      <c r="O297" s="94">
        <v>0</v>
      </c>
    </row>
    <row r="298" spans="1:15" x14ac:dyDescent="0.25">
      <c r="A298" s="89">
        <v>44709.833333333336</v>
      </c>
      <c r="B298" s="94">
        <v>358.95</v>
      </c>
      <c r="C298" s="94">
        <v>301.7922406470712</v>
      </c>
      <c r="D298" s="94">
        <v>2.7836426832862871</v>
      </c>
      <c r="E298" s="94">
        <v>0</v>
      </c>
      <c r="F298" s="94">
        <v>87.4</v>
      </c>
      <c r="G298" s="94">
        <v>6.9303050754846804</v>
      </c>
      <c r="H298" s="94">
        <v>91.630965314592629</v>
      </c>
      <c r="I298" s="94">
        <v>16.763250122070314</v>
      </c>
      <c r="J298" s="94">
        <v>12698.356148123396</v>
      </c>
      <c r="K298" s="94">
        <v>3.8406111789485586</v>
      </c>
      <c r="L298" s="94">
        <v>42</v>
      </c>
      <c r="M298" s="94">
        <v>0</v>
      </c>
      <c r="N298" s="94">
        <v>0</v>
      </c>
      <c r="O298" s="94">
        <v>0</v>
      </c>
    </row>
    <row r="299" spans="1:15" x14ac:dyDescent="0.25">
      <c r="A299" s="89">
        <v>44710.333333333336</v>
      </c>
      <c r="B299" s="94">
        <v>358.95</v>
      </c>
      <c r="C299" s="94">
        <v>301.78268428021039</v>
      </c>
      <c r="D299" s="94">
        <v>2.5</v>
      </c>
      <c r="E299" s="94">
        <v>0</v>
      </c>
      <c r="F299" s="94">
        <v>87.3</v>
      </c>
      <c r="G299" s="94">
        <v>6.924290161132812</v>
      </c>
      <c r="H299" s="94">
        <v>92.000365055675857</v>
      </c>
      <c r="I299" s="94">
        <v>16.969580179850261</v>
      </c>
      <c r="J299" s="94">
        <v>12651.81639373329</v>
      </c>
      <c r="K299" s="94">
        <v>3.835317079976694</v>
      </c>
      <c r="L299" s="94">
        <v>42</v>
      </c>
      <c r="M299" s="94">
        <v>0</v>
      </c>
      <c r="N299" s="94">
        <v>0</v>
      </c>
      <c r="O299" s="94">
        <v>0</v>
      </c>
    </row>
    <row r="300" spans="1:15" x14ac:dyDescent="0.25">
      <c r="A300" s="89">
        <v>44710.833333333336</v>
      </c>
      <c r="B300" s="94">
        <v>358.95</v>
      </c>
      <c r="C300" s="94">
        <v>301.74728376962571</v>
      </c>
      <c r="D300" s="94">
        <v>2.5</v>
      </c>
      <c r="E300" s="94">
        <v>0</v>
      </c>
      <c r="F300" s="94">
        <v>87.270183291101773</v>
      </c>
      <c r="G300" s="94">
        <v>6.95</v>
      </c>
      <c r="H300" s="94">
        <v>92.523838678600754</v>
      </c>
      <c r="I300" s="94">
        <v>16.944585455138544</v>
      </c>
      <c r="J300" s="94">
        <v>10897.943543113946</v>
      </c>
      <c r="K300" s="94">
        <v>3.6499768604148746</v>
      </c>
      <c r="L300" s="94">
        <v>55</v>
      </c>
      <c r="M300" s="94">
        <v>56</v>
      </c>
      <c r="N300" s="94">
        <v>55.281351727629414</v>
      </c>
      <c r="O300" s="94">
        <v>52</v>
      </c>
    </row>
    <row r="301" spans="1:15" x14ac:dyDescent="0.25">
      <c r="A301" s="89">
        <v>44711.333333333336</v>
      </c>
      <c r="B301" s="94">
        <v>358.54</v>
      </c>
      <c r="C301" s="94">
        <v>301.74589893497142</v>
      </c>
      <c r="D301" s="94">
        <v>2.3972997444718942</v>
      </c>
      <c r="E301" s="94">
        <v>0</v>
      </c>
      <c r="F301" s="94">
        <v>86.1</v>
      </c>
      <c r="G301" s="94">
        <v>6.9123999023437506</v>
      </c>
      <c r="H301" s="94">
        <v>92.537872368090191</v>
      </c>
      <c r="I301" s="94">
        <v>16.889829765871024</v>
      </c>
      <c r="J301" s="94">
        <v>10897.933058087207</v>
      </c>
      <c r="K301" s="94">
        <v>3.6499002877087805</v>
      </c>
      <c r="L301" s="94">
        <v>55</v>
      </c>
      <c r="M301" s="94">
        <v>56</v>
      </c>
      <c r="N301" s="94">
        <v>55</v>
      </c>
      <c r="O301" s="94">
        <v>52</v>
      </c>
    </row>
    <row r="302" spans="1:15" x14ac:dyDescent="0.25">
      <c r="A302" s="89">
        <v>44711.833333333336</v>
      </c>
      <c r="B302" s="94">
        <v>358.54</v>
      </c>
      <c r="C302" s="94">
        <v>301.61690438922159</v>
      </c>
      <c r="D302" s="94">
        <v>1.4982387916459559</v>
      </c>
      <c r="E302" s="94">
        <v>0</v>
      </c>
      <c r="F302" s="94">
        <v>86.295760575603865</v>
      </c>
      <c r="G302" s="94">
        <v>6.9713314291823858</v>
      </c>
      <c r="H302" s="94">
        <v>88.358566183414055</v>
      </c>
      <c r="I302" s="94">
        <v>16.411658839076956</v>
      </c>
      <c r="J302" s="94">
        <v>9964.4035148790044</v>
      </c>
      <c r="K302" s="94">
        <v>3.5367812349543071</v>
      </c>
      <c r="L302" s="94">
        <v>55</v>
      </c>
      <c r="M302" s="94">
        <v>55.368790236659727</v>
      </c>
      <c r="N302" s="94">
        <v>55</v>
      </c>
      <c r="O302" s="94">
        <v>17</v>
      </c>
    </row>
    <row r="303" spans="1:15" x14ac:dyDescent="0.25">
      <c r="A303" s="89">
        <v>44712.333333333336</v>
      </c>
      <c r="B303" s="94">
        <v>358.53847937700749</v>
      </c>
      <c r="C303" s="94">
        <v>301.60165796757047</v>
      </c>
      <c r="D303" s="94">
        <v>2.2924096620356567</v>
      </c>
      <c r="E303" s="94">
        <v>0</v>
      </c>
      <c r="F303" s="94">
        <v>86.3</v>
      </c>
      <c r="G303" s="94">
        <v>6.930839164037133</v>
      </c>
      <c r="H303" s="94">
        <v>87.921289451162579</v>
      </c>
      <c r="I303" s="94">
        <v>16.241220092773435</v>
      </c>
      <c r="J303" s="94">
        <v>9935.6745077373471</v>
      </c>
      <c r="K303" s="94">
        <v>3.5331072545339484</v>
      </c>
      <c r="L303" s="94">
        <v>55</v>
      </c>
      <c r="M303" s="94">
        <v>55</v>
      </c>
      <c r="N303" s="94">
        <v>55</v>
      </c>
      <c r="O303" s="94">
        <v>16.724267280995814</v>
      </c>
    </row>
    <row r="304" spans="1:15" x14ac:dyDescent="0.25">
      <c r="A304" s="89">
        <v>44712.833333333336</v>
      </c>
      <c r="B304" s="94">
        <v>358.51</v>
      </c>
      <c r="C304" s="94">
        <v>301.78046399739583</v>
      </c>
      <c r="D304" s="94">
        <v>91.429732232139557</v>
      </c>
      <c r="E304" s="94">
        <v>6.9648661160697749</v>
      </c>
      <c r="F304" s="94">
        <v>89.6</v>
      </c>
      <c r="G304" s="94">
        <v>6.9614146903228127</v>
      </c>
      <c r="H304" s="94">
        <v>85.1</v>
      </c>
      <c r="I304" s="94">
        <v>15.92705343628163</v>
      </c>
      <c r="J304" s="94">
        <v>11050.23203150163</v>
      </c>
      <c r="K304" s="94">
        <v>3.6648385301198605</v>
      </c>
      <c r="L304" s="94">
        <v>55</v>
      </c>
      <c r="M304" s="94">
        <v>55</v>
      </c>
      <c r="N304" s="94">
        <v>55</v>
      </c>
      <c r="O304" s="94">
        <v>12</v>
      </c>
    </row>
    <row r="305" spans="1:15" x14ac:dyDescent="0.25">
      <c r="A305" s="89">
        <v>44713.333333333336</v>
      </c>
      <c r="B305" s="94">
        <v>358.51759132979259</v>
      </c>
      <c r="C305" s="94">
        <v>301.66232937629809</v>
      </c>
      <c r="D305" s="94">
        <v>91.385885138231259</v>
      </c>
      <c r="E305" s="94">
        <v>7.01</v>
      </c>
      <c r="F305" s="94">
        <v>89.6</v>
      </c>
      <c r="G305" s="94">
        <v>6.964324662827817</v>
      </c>
      <c r="H305" s="94">
        <v>84.881782255007479</v>
      </c>
      <c r="I305" s="94">
        <v>15.975397173935143</v>
      </c>
      <c r="J305" s="94">
        <v>10049.428124494581</v>
      </c>
      <c r="K305" s="94">
        <v>3.5456258473344135</v>
      </c>
      <c r="L305" s="94">
        <v>55</v>
      </c>
      <c r="M305" s="94">
        <v>55</v>
      </c>
      <c r="N305" s="94">
        <v>30</v>
      </c>
      <c r="O305" s="94">
        <v>0</v>
      </c>
    </row>
    <row r="306" spans="1:15" x14ac:dyDescent="0.25">
      <c r="A306" s="89">
        <v>44713.833333333336</v>
      </c>
      <c r="B306" s="94">
        <v>358.62</v>
      </c>
      <c r="C306" s="94">
        <v>302.08999999999997</v>
      </c>
      <c r="D306" s="94">
        <v>92.157123990450543</v>
      </c>
      <c r="E306" s="94">
        <v>7.0028569686437709</v>
      </c>
      <c r="F306" s="94">
        <v>89.8</v>
      </c>
      <c r="G306" s="94">
        <v>6.9672028291820371</v>
      </c>
      <c r="H306" s="94">
        <v>85.8</v>
      </c>
      <c r="I306" s="94">
        <v>15.987280312471503</v>
      </c>
      <c r="J306" s="94">
        <v>13726.063787066778</v>
      </c>
      <c r="K306" s="94">
        <v>3.9426307413478181</v>
      </c>
      <c r="L306" s="94">
        <v>73</v>
      </c>
      <c r="M306" s="94">
        <v>75</v>
      </c>
      <c r="N306" s="94">
        <v>74</v>
      </c>
      <c r="O306" s="94">
        <v>74</v>
      </c>
    </row>
    <row r="307" spans="1:15" x14ac:dyDescent="0.25">
      <c r="A307" s="89">
        <v>44714.333333333336</v>
      </c>
      <c r="B307" s="94">
        <v>358.62</v>
      </c>
      <c r="C307" s="94">
        <v>302.12258494396445</v>
      </c>
      <c r="D307" s="94">
        <v>92.002400207519528</v>
      </c>
      <c r="E307" s="94">
        <v>6.9803196017676648</v>
      </c>
      <c r="F307" s="94">
        <v>89.90159800883832</v>
      </c>
      <c r="G307" s="94">
        <v>6.9502700805664066</v>
      </c>
      <c r="H307" s="94">
        <v>86.2</v>
      </c>
      <c r="I307" s="94">
        <v>16.000480041503906</v>
      </c>
      <c r="J307" s="94">
        <v>13907.775405047567</v>
      </c>
      <c r="K307" s="94">
        <v>3.9609724483784192</v>
      </c>
      <c r="L307" s="94">
        <v>77</v>
      </c>
      <c r="M307" s="94">
        <v>76</v>
      </c>
      <c r="N307" s="94">
        <v>77</v>
      </c>
      <c r="O307" s="94">
        <v>76</v>
      </c>
    </row>
    <row r="308" spans="1:15" x14ac:dyDescent="0.25">
      <c r="A308" s="89">
        <v>44714.833333333336</v>
      </c>
      <c r="B308" s="94">
        <v>358.62</v>
      </c>
      <c r="C308" s="94">
        <v>302.16491135961809</v>
      </c>
      <c r="D308" s="94">
        <v>92.265645349723172</v>
      </c>
      <c r="E308" s="94">
        <v>6.9805406974080135</v>
      </c>
      <c r="F308" s="94">
        <v>90.332822674861589</v>
      </c>
      <c r="G308" s="94">
        <v>6.9506333323164222</v>
      </c>
      <c r="H308" s="94">
        <v>85.7</v>
      </c>
      <c r="I308" s="94">
        <v>16.033963800213836</v>
      </c>
      <c r="J308" s="94">
        <v>14318.004109083324</v>
      </c>
      <c r="K308" s="94">
        <v>4.0016640731365616</v>
      </c>
      <c r="L308" s="94">
        <v>80.767146322075092</v>
      </c>
      <c r="M308" s="94">
        <v>80.739545926340099</v>
      </c>
      <c r="N308" s="94">
        <v>80.739545926340099</v>
      </c>
      <c r="O308" s="94">
        <v>80.751386932803626</v>
      </c>
    </row>
    <row r="309" spans="1:15" x14ac:dyDescent="0.25">
      <c r="A309" s="89">
        <v>44715.333333333336</v>
      </c>
      <c r="B309" s="94">
        <v>358.61595419282224</v>
      </c>
      <c r="C309" s="94">
        <v>302.16484334309899</v>
      </c>
      <c r="D309" s="94">
        <v>92.1</v>
      </c>
      <c r="E309" s="94">
        <v>6.9613414438563934</v>
      </c>
      <c r="F309" s="94">
        <v>90.174588055130172</v>
      </c>
      <c r="G309" s="94">
        <v>6.9586286189963422</v>
      </c>
      <c r="H309" s="94">
        <v>86.100447683679207</v>
      </c>
      <c r="I309" s="94">
        <v>15.891777361287717</v>
      </c>
      <c r="J309" s="94">
        <v>14278.344428985145</v>
      </c>
      <c r="K309" s="94">
        <v>3.997790894526859</v>
      </c>
      <c r="L309" s="94">
        <v>81</v>
      </c>
      <c r="M309" s="94">
        <v>81</v>
      </c>
      <c r="N309" s="94">
        <v>81</v>
      </c>
      <c r="O309" s="94">
        <v>81</v>
      </c>
    </row>
    <row r="310" spans="1:15" x14ac:dyDescent="0.25">
      <c r="A310" s="89">
        <v>44715.833333333336</v>
      </c>
      <c r="B310" s="94">
        <v>358.57</v>
      </c>
      <c r="C310" s="94">
        <v>301.69837620746057</v>
      </c>
      <c r="D310" s="94">
        <v>88.9</v>
      </c>
      <c r="E310" s="94">
        <v>7.0292799377441408</v>
      </c>
      <c r="F310" s="94">
        <v>90.4</v>
      </c>
      <c r="G310" s="94">
        <v>6.99</v>
      </c>
      <c r="H310" s="94">
        <v>85.100975751690811</v>
      </c>
      <c r="I310" s="94">
        <v>15.859562559723338</v>
      </c>
      <c r="J310" s="94">
        <v>10202.019790210134</v>
      </c>
      <c r="K310" s="94">
        <v>3.5702244786775634</v>
      </c>
      <c r="L310" s="94">
        <v>36</v>
      </c>
      <c r="M310" s="94">
        <v>37</v>
      </c>
      <c r="N310" s="94">
        <v>35.01950310179906</v>
      </c>
      <c r="O310" s="94">
        <v>36</v>
      </c>
    </row>
    <row r="311" spans="1:15" x14ac:dyDescent="0.25">
      <c r="A311" s="89">
        <v>44716.333333333336</v>
      </c>
      <c r="B311" s="94">
        <v>358.57</v>
      </c>
      <c r="C311" s="94">
        <v>301.68466666481714</v>
      </c>
      <c r="D311" s="94">
        <v>88.878684622616746</v>
      </c>
      <c r="E311" s="94">
        <v>7.0175700378417964</v>
      </c>
      <c r="F311" s="94">
        <v>89.380621193809191</v>
      </c>
      <c r="G311" s="94">
        <v>7.0173107085321735</v>
      </c>
      <c r="H311" s="94">
        <v>85.286562967850969</v>
      </c>
      <c r="I311" s="94">
        <v>15.888800048828125</v>
      </c>
      <c r="J311" s="94">
        <v>10200</v>
      </c>
      <c r="K311" s="94">
        <v>3.5693820056461005</v>
      </c>
      <c r="L311" s="94">
        <v>36</v>
      </c>
      <c r="M311" s="94">
        <v>37</v>
      </c>
      <c r="N311" s="94">
        <v>36</v>
      </c>
      <c r="O311" s="94">
        <v>37</v>
      </c>
    </row>
    <row r="312" spans="1:15" x14ac:dyDescent="0.25">
      <c r="A312" s="89">
        <v>44716.833333333336</v>
      </c>
      <c r="B312" s="94">
        <v>358.57</v>
      </c>
      <c r="C312" s="94">
        <v>301.69107876712326</v>
      </c>
      <c r="D312" s="94">
        <v>88.964974453969177</v>
      </c>
      <c r="E312" s="94">
        <v>7.0113511531999393</v>
      </c>
      <c r="F312" s="94">
        <v>89.5</v>
      </c>
      <c r="G312" s="94">
        <v>6.9835910197869104</v>
      </c>
      <c r="H312" s="94">
        <v>84.674426693812052</v>
      </c>
      <c r="I312" s="94">
        <v>15.877448122679972</v>
      </c>
      <c r="J312" s="94">
        <v>10200</v>
      </c>
      <c r="K312" s="94">
        <v>3.5693388866223068</v>
      </c>
      <c r="L312" s="94">
        <v>36</v>
      </c>
      <c r="M312" s="94">
        <v>37</v>
      </c>
      <c r="N312" s="94">
        <v>36</v>
      </c>
      <c r="O312" s="94">
        <v>36.982180656237219</v>
      </c>
    </row>
    <row r="313" spans="1:15" x14ac:dyDescent="0.25">
      <c r="A313" s="89">
        <v>44717.333333333336</v>
      </c>
      <c r="B313" s="94">
        <v>358.57</v>
      </c>
      <c r="C313" s="94">
        <v>301.6862697851322</v>
      </c>
      <c r="D313" s="94">
        <v>88.9</v>
      </c>
      <c r="E313" s="94">
        <v>7.0024636642315725</v>
      </c>
      <c r="F313" s="94">
        <v>89.579775892602129</v>
      </c>
      <c r="G313" s="94">
        <v>7.0278657824275568</v>
      </c>
      <c r="H313" s="94">
        <v>84.995625597233385</v>
      </c>
      <c r="I313" s="94">
        <v>15.968687679170017</v>
      </c>
      <c r="J313" s="94">
        <v>10200</v>
      </c>
      <c r="K313" s="94">
        <v>3.5693805247789361</v>
      </c>
      <c r="L313" s="94">
        <v>36</v>
      </c>
      <c r="M313" s="94">
        <v>37</v>
      </c>
      <c r="N313" s="94">
        <v>36</v>
      </c>
      <c r="O313" s="94">
        <v>36.534710309370872</v>
      </c>
    </row>
    <row r="314" spans="1:15" x14ac:dyDescent="0.25">
      <c r="A314" s="89">
        <v>44717.833333333336</v>
      </c>
      <c r="B314" s="94">
        <v>358.57</v>
      </c>
      <c r="C314" s="94">
        <v>301.63</v>
      </c>
      <c r="D314" s="94">
        <v>89</v>
      </c>
      <c r="E314" s="94">
        <v>7.016220638944624</v>
      </c>
      <c r="F314" s="94">
        <v>89.690959185660319</v>
      </c>
      <c r="G314" s="94">
        <v>6.9724011230468745</v>
      </c>
      <c r="H314" s="94">
        <v>84.8</v>
      </c>
      <c r="I314" s="94">
        <v>15.950510354408543</v>
      </c>
      <c r="J314" s="94">
        <v>9751.6591294051632</v>
      </c>
      <c r="K314" s="94">
        <v>3.5104371988179324</v>
      </c>
      <c r="L314" s="94">
        <v>36</v>
      </c>
      <c r="M314" s="94">
        <v>37</v>
      </c>
      <c r="N314" s="94">
        <v>36</v>
      </c>
      <c r="O314" s="94">
        <v>18</v>
      </c>
    </row>
    <row r="315" spans="1:15" x14ac:dyDescent="0.25">
      <c r="A315" s="89">
        <v>44718.333333333336</v>
      </c>
      <c r="B315" s="94">
        <v>358.5113679566125</v>
      </c>
      <c r="C315" s="94">
        <v>301.62089760299779</v>
      </c>
      <c r="D315" s="94">
        <v>88.9</v>
      </c>
      <c r="E315" s="94">
        <v>6.9919512460814097</v>
      </c>
      <c r="F315" s="94">
        <v>89.6</v>
      </c>
      <c r="G315" s="94">
        <v>7.0245516995068282</v>
      </c>
      <c r="H315" s="94">
        <v>85</v>
      </c>
      <c r="I315" s="94">
        <v>15.878919677734375</v>
      </c>
      <c r="J315" s="94">
        <v>9700</v>
      </c>
      <c r="K315" s="94">
        <v>3.5056424858821282</v>
      </c>
      <c r="L315" s="94">
        <v>36</v>
      </c>
      <c r="M315" s="94">
        <v>37</v>
      </c>
      <c r="N315" s="94">
        <v>35.626752465792975</v>
      </c>
      <c r="O315" s="94">
        <v>18</v>
      </c>
    </row>
    <row r="316" spans="1:15" x14ac:dyDescent="0.25">
      <c r="A316" s="89">
        <v>44718.833333333336</v>
      </c>
      <c r="B316" s="94">
        <v>358.41</v>
      </c>
      <c r="C316" s="94">
        <v>301.44535009873573</v>
      </c>
      <c r="D316" s="94">
        <v>88.2</v>
      </c>
      <c r="E316" s="94">
        <v>6.9925835343344485</v>
      </c>
      <c r="F316" s="94">
        <v>86.1</v>
      </c>
      <c r="G316" s="94">
        <v>6.975267927411652</v>
      </c>
      <c r="H316" s="94">
        <v>84.567228852053816</v>
      </c>
      <c r="I316" s="94">
        <v>16.010000000000002</v>
      </c>
      <c r="J316" s="94">
        <v>8375.7465060317172</v>
      </c>
      <c r="K316" s="94">
        <v>3.3383860638906553</v>
      </c>
      <c r="L316" s="94">
        <v>19.297919611452425</v>
      </c>
      <c r="M316" s="94">
        <v>20</v>
      </c>
      <c r="N316" s="94">
        <v>19</v>
      </c>
      <c r="O316" s="94">
        <v>20</v>
      </c>
    </row>
    <row r="317" spans="1:15" x14ac:dyDescent="0.25">
      <c r="A317" s="89">
        <v>44719.333333333336</v>
      </c>
      <c r="B317" s="94">
        <v>358.52267830901286</v>
      </c>
      <c r="C317" s="94">
        <v>301.44431219256813</v>
      </c>
      <c r="D317" s="94">
        <v>87.986431349123379</v>
      </c>
      <c r="E317" s="94">
        <v>7.0356618955799464</v>
      </c>
      <c r="F317" s="94">
        <v>85.9</v>
      </c>
      <c r="G317" s="94">
        <v>6.9614845651142501</v>
      </c>
      <c r="H317" s="94">
        <v>84.374027851651306</v>
      </c>
      <c r="I317" s="94">
        <v>15.955599060058594</v>
      </c>
      <c r="J317" s="94">
        <v>8359.1629136705251</v>
      </c>
      <c r="K317" s="94">
        <v>3.3366792914156278</v>
      </c>
      <c r="L317" s="94">
        <v>19.104455792326981</v>
      </c>
      <c r="M317" s="94">
        <v>20</v>
      </c>
      <c r="N317" s="94">
        <v>19</v>
      </c>
      <c r="O317" s="94">
        <v>20</v>
      </c>
    </row>
    <row r="318" spans="1:15" x14ac:dyDescent="0.25">
      <c r="A318" s="89">
        <v>44719.833333333336</v>
      </c>
      <c r="B318" s="94">
        <v>358.58</v>
      </c>
      <c r="C318" s="94">
        <v>301.44744129512088</v>
      </c>
      <c r="D318" s="94">
        <v>87.688899761697101</v>
      </c>
      <c r="E318" s="94">
        <v>7.036386283794104</v>
      </c>
      <c r="F318" s="94">
        <v>85.4</v>
      </c>
      <c r="G318" s="94">
        <v>6.9435836260882846</v>
      </c>
      <c r="H318" s="94">
        <v>84.257560349634474</v>
      </c>
      <c r="I318" s="94">
        <v>15.841621811516726</v>
      </c>
      <c r="J318" s="94">
        <v>8364.3440709625484</v>
      </c>
      <c r="K318" s="94">
        <v>3.3368662919670484</v>
      </c>
      <c r="L318" s="94">
        <v>19</v>
      </c>
      <c r="M318" s="94">
        <v>20</v>
      </c>
      <c r="N318" s="94">
        <v>19</v>
      </c>
      <c r="O318" s="94">
        <v>20</v>
      </c>
    </row>
    <row r="319" spans="1:15" x14ac:dyDescent="0.25">
      <c r="A319" s="89">
        <v>44720.333333333336</v>
      </c>
      <c r="B319" s="94">
        <v>358.58</v>
      </c>
      <c r="C319" s="94">
        <v>301.4471445177914</v>
      </c>
      <c r="D319" s="94">
        <v>86.892645710259089</v>
      </c>
      <c r="E319" s="94">
        <v>6.9546764789823463</v>
      </c>
      <c r="F319" s="94">
        <v>85.93073127017837</v>
      </c>
      <c r="G319" s="94">
        <v>6.9821176506455691</v>
      </c>
      <c r="H319" s="94">
        <v>84.1</v>
      </c>
      <c r="I319" s="94">
        <v>15.891940389665914</v>
      </c>
      <c r="J319" s="94">
        <v>8334</v>
      </c>
      <c r="K319" s="94">
        <v>3.3330000000000002</v>
      </c>
      <c r="L319" s="94">
        <v>19</v>
      </c>
      <c r="M319" s="94">
        <v>20</v>
      </c>
      <c r="N319" s="94">
        <v>19</v>
      </c>
      <c r="O319" s="94">
        <v>20</v>
      </c>
    </row>
    <row r="320" spans="1:15" x14ac:dyDescent="0.25">
      <c r="A320" s="89">
        <v>44720.833333333336</v>
      </c>
      <c r="B320" s="94">
        <v>358.58</v>
      </c>
      <c r="C320" s="94">
        <v>301.45458140650965</v>
      </c>
      <c r="D320" s="94">
        <v>86.8</v>
      </c>
      <c r="E320" s="94">
        <v>7.0055421760578485</v>
      </c>
      <c r="F320" s="94">
        <v>85.8</v>
      </c>
      <c r="G320" s="94">
        <v>6.9830346178168545</v>
      </c>
      <c r="H320" s="94">
        <v>83.45680807325077</v>
      </c>
      <c r="I320" s="94">
        <v>15.94716064453125</v>
      </c>
      <c r="J320" s="94">
        <v>8314.7865795853486</v>
      </c>
      <c r="K320" s="94">
        <v>3.330216817470792</v>
      </c>
      <c r="L320" s="94">
        <v>19</v>
      </c>
      <c r="M320" s="94">
        <v>20</v>
      </c>
      <c r="N320" s="94">
        <v>19</v>
      </c>
      <c r="O320" s="94">
        <v>20</v>
      </c>
    </row>
    <row r="321" spans="1:15" x14ac:dyDescent="0.25">
      <c r="A321" s="89">
        <v>44721.333333333336</v>
      </c>
      <c r="B321" s="94">
        <v>358.94</v>
      </c>
      <c r="C321" s="94">
        <v>301.44743675326998</v>
      </c>
      <c r="D321" s="94">
        <v>86.8</v>
      </c>
      <c r="E321" s="94">
        <v>7.0441601562500002</v>
      </c>
      <c r="F321" s="94">
        <v>85.919453085290229</v>
      </c>
      <c r="G321" s="94">
        <v>7.0115009759546529</v>
      </c>
      <c r="H321" s="94">
        <v>84</v>
      </c>
      <c r="I321" s="94">
        <v>15.78</v>
      </c>
      <c r="J321" s="94">
        <v>8357.9287185413214</v>
      </c>
      <c r="K321" s="94">
        <v>3.3354130038623953</v>
      </c>
      <c r="L321" s="94">
        <v>19</v>
      </c>
      <c r="M321" s="94">
        <v>20</v>
      </c>
      <c r="N321" s="94">
        <v>19</v>
      </c>
      <c r="O321" s="94">
        <v>20</v>
      </c>
    </row>
    <row r="322" spans="1:15" x14ac:dyDescent="0.25">
      <c r="A322" s="89">
        <v>44721.833333333336</v>
      </c>
      <c r="B322" s="94">
        <v>358.94</v>
      </c>
      <c r="C322" s="94">
        <v>301.44290225178031</v>
      </c>
      <c r="D322" s="94">
        <v>87.027999079622305</v>
      </c>
      <c r="E322" s="94">
        <v>7.0224646810592626</v>
      </c>
      <c r="F322" s="94">
        <v>86.121666140379659</v>
      </c>
      <c r="G322" s="94">
        <v>6.9875116553675767</v>
      </c>
      <c r="H322" s="94">
        <v>83.567326732673266</v>
      </c>
      <c r="I322" s="94">
        <v>16.008681785154309</v>
      </c>
      <c r="J322" s="94">
        <v>8310</v>
      </c>
      <c r="K322" s="94">
        <v>3.3311146670736811</v>
      </c>
      <c r="L322" s="94">
        <v>19.628667927025301</v>
      </c>
      <c r="M322" s="94">
        <v>20</v>
      </c>
      <c r="N322" s="94">
        <v>19</v>
      </c>
      <c r="O322" s="94">
        <v>20</v>
      </c>
    </row>
    <row r="323" spans="1:15" x14ac:dyDescent="0.25">
      <c r="A323" s="89">
        <v>44722.333333333336</v>
      </c>
      <c r="B323" s="94">
        <v>358.94</v>
      </c>
      <c r="C323" s="94">
        <v>301.46289594584169</v>
      </c>
      <c r="D323" s="94">
        <v>86.8</v>
      </c>
      <c r="E323" s="94">
        <v>7.0283583320604857</v>
      </c>
      <c r="F323" s="94">
        <v>86.268056191551935</v>
      </c>
      <c r="G323" s="94">
        <v>7.0396195262024408</v>
      </c>
      <c r="H323" s="94">
        <v>82.783250913332907</v>
      </c>
      <c r="I323" s="94">
        <v>16.016553406198074</v>
      </c>
      <c r="J323" s="94">
        <v>8385.2592610065713</v>
      </c>
      <c r="K323" s="94">
        <v>3.3393798490658</v>
      </c>
      <c r="L323" s="94">
        <v>19.610360247392769</v>
      </c>
      <c r="M323" s="94">
        <v>20</v>
      </c>
      <c r="N323" s="94">
        <v>19</v>
      </c>
      <c r="O323" s="94">
        <v>20</v>
      </c>
    </row>
    <row r="324" spans="1:15" x14ac:dyDescent="0.25">
      <c r="A324" s="89">
        <v>44722.833333333336</v>
      </c>
      <c r="B324" s="94">
        <v>358.94</v>
      </c>
      <c r="C324" s="94">
        <v>301.45759301243055</v>
      </c>
      <c r="D324" s="94">
        <v>86.54615158895507</v>
      </c>
      <c r="E324" s="94">
        <v>7.02</v>
      </c>
      <c r="F324" s="94">
        <v>86.5</v>
      </c>
      <c r="G324" s="94">
        <v>7.0321997070312499</v>
      </c>
      <c r="H324" s="94">
        <v>82.869205693296593</v>
      </c>
      <c r="I324" s="94">
        <v>15.565375420875421</v>
      </c>
      <c r="J324" s="94">
        <v>8334</v>
      </c>
      <c r="K324" s="94">
        <v>3.3330000000000002</v>
      </c>
      <c r="L324" s="94">
        <v>19.605215239206579</v>
      </c>
      <c r="M324" s="94">
        <v>20</v>
      </c>
      <c r="N324" s="94">
        <v>19</v>
      </c>
      <c r="O324" s="94">
        <v>20</v>
      </c>
    </row>
    <row r="325" spans="1:15" x14ac:dyDescent="0.25">
      <c r="A325" s="89">
        <v>44723.333333333336</v>
      </c>
      <c r="B325" s="94">
        <v>358.94</v>
      </c>
      <c r="C325" s="94">
        <v>301.4695747937339</v>
      </c>
      <c r="D325" s="94">
        <v>86.63536438673178</v>
      </c>
      <c r="E325" s="94">
        <v>7.0477761639018421</v>
      </c>
      <c r="F325" s="94">
        <v>86.359184640963832</v>
      </c>
      <c r="G325" s="94">
        <v>6.9984215687117777</v>
      </c>
      <c r="H325" s="94">
        <v>82.7</v>
      </c>
      <c r="I325" s="94">
        <v>15.889259948730469</v>
      </c>
      <c r="J325" s="94">
        <v>8350.0329332664678</v>
      </c>
      <c r="K325" s="94">
        <v>3.3347786903629713</v>
      </c>
      <c r="L325" s="94">
        <v>19</v>
      </c>
      <c r="M325" s="94">
        <v>20</v>
      </c>
      <c r="N325" s="94">
        <v>19</v>
      </c>
      <c r="O325" s="94">
        <v>20</v>
      </c>
    </row>
    <row r="326" spans="1:15" x14ac:dyDescent="0.25">
      <c r="A326" s="89">
        <v>44723.833333333336</v>
      </c>
      <c r="B326" s="94">
        <v>358.94</v>
      </c>
      <c r="C326" s="94">
        <v>301.4697669721034</v>
      </c>
      <c r="D326" s="94">
        <v>86.717054685338255</v>
      </c>
      <c r="E326" s="94">
        <v>7.0462974553428666</v>
      </c>
      <c r="F326" s="94">
        <v>85.5</v>
      </c>
      <c r="G326" s="94">
        <v>7.0792675369533198</v>
      </c>
      <c r="H326" s="94">
        <v>82.734163544262202</v>
      </c>
      <c r="I326" s="94">
        <v>15.891499938964845</v>
      </c>
      <c r="J326" s="94">
        <v>8334</v>
      </c>
      <c r="K326" s="94">
        <v>3.3324011687338002</v>
      </c>
      <c r="L326" s="94">
        <v>19</v>
      </c>
      <c r="M326" s="94">
        <v>20</v>
      </c>
      <c r="N326" s="94">
        <v>19</v>
      </c>
      <c r="O326" s="94">
        <v>20</v>
      </c>
    </row>
    <row r="327" spans="1:15" x14ac:dyDescent="0.25">
      <c r="A327" s="89">
        <v>44724.333333333336</v>
      </c>
      <c r="B327" s="94">
        <v>358.94</v>
      </c>
      <c r="C327" s="94">
        <v>301.45402528455975</v>
      </c>
      <c r="D327" s="94">
        <v>86.788350342667812</v>
      </c>
      <c r="E327" s="94">
        <v>7.0171772235485346</v>
      </c>
      <c r="F327" s="94">
        <v>85.495621280990548</v>
      </c>
      <c r="G327" s="94">
        <v>7.0128115279048489</v>
      </c>
      <c r="H327" s="94">
        <v>82.906653952926888</v>
      </c>
      <c r="I327" s="94">
        <v>15.993818021389561</v>
      </c>
      <c r="J327" s="94">
        <v>8302.6225949976015</v>
      </c>
      <c r="K327" s="94">
        <v>3.3288157577874644</v>
      </c>
      <c r="L327" s="94">
        <v>19</v>
      </c>
      <c r="M327" s="94">
        <v>20</v>
      </c>
      <c r="N327" s="94">
        <v>19</v>
      </c>
      <c r="O327" s="94">
        <v>20</v>
      </c>
    </row>
    <row r="328" spans="1:15" x14ac:dyDescent="0.25">
      <c r="A328" s="89">
        <v>44724.833333333336</v>
      </c>
      <c r="B328" s="94">
        <v>358.94</v>
      </c>
      <c r="C328" s="94">
        <v>301.46732260178965</v>
      </c>
      <c r="D328" s="94">
        <v>86.719528442641902</v>
      </c>
      <c r="E328" s="94">
        <v>7.0470473386999881</v>
      </c>
      <c r="F328" s="94">
        <v>85.574177574329724</v>
      </c>
      <c r="G328" s="94">
        <v>7.0169988400927918</v>
      </c>
      <c r="H328" s="94">
        <v>82.4</v>
      </c>
      <c r="I328" s="94">
        <v>15.846607606537345</v>
      </c>
      <c r="J328" s="94">
        <v>8287.5808576360341</v>
      </c>
      <c r="K328" s="94">
        <v>3.3268253005987716</v>
      </c>
      <c r="L328" s="94">
        <v>20</v>
      </c>
      <c r="M328" s="94">
        <v>20</v>
      </c>
      <c r="N328" s="94">
        <v>19</v>
      </c>
      <c r="O328" s="94">
        <v>20</v>
      </c>
    </row>
    <row r="329" spans="1:15" x14ac:dyDescent="0.25">
      <c r="A329" s="89">
        <v>44725.333333333336</v>
      </c>
      <c r="B329" s="94">
        <v>358.94</v>
      </c>
      <c r="C329" s="94">
        <v>301.46582850057848</v>
      </c>
      <c r="D329" s="94">
        <v>86.771589039594886</v>
      </c>
      <c r="E329" s="94">
        <v>7.0491380839287716</v>
      </c>
      <c r="F329" s="94">
        <v>85.517230436646699</v>
      </c>
      <c r="G329" s="94">
        <v>7.0504867035381462</v>
      </c>
      <c r="H329" s="94">
        <v>82.519351724989463</v>
      </c>
      <c r="I329" s="94">
        <v>15.970630035400392</v>
      </c>
      <c r="J329" s="94">
        <v>8327.5879981213402</v>
      </c>
      <c r="K329" s="94">
        <v>3.3330000000000002</v>
      </c>
      <c r="L329" s="94">
        <v>19.986320225351317</v>
      </c>
      <c r="M329" s="94">
        <v>20</v>
      </c>
      <c r="N329" s="94">
        <v>19</v>
      </c>
      <c r="O329" s="94">
        <v>20</v>
      </c>
    </row>
    <row r="330" spans="1:15" x14ac:dyDescent="0.25">
      <c r="A330" s="89">
        <v>44725.833333333336</v>
      </c>
      <c r="B330" s="94">
        <v>358.94</v>
      </c>
      <c r="C330" s="94">
        <v>301.45999999999998</v>
      </c>
      <c r="D330" s="94">
        <v>86.799621874215418</v>
      </c>
      <c r="E330" s="94">
        <v>7.0462130742103417</v>
      </c>
      <c r="F330" s="94">
        <v>85.675776691614487</v>
      </c>
      <c r="G330" s="94">
        <v>7.0126428495058875</v>
      </c>
      <c r="H330" s="94">
        <v>82.487712454429129</v>
      </c>
      <c r="I330" s="94">
        <v>15.939509887695312</v>
      </c>
      <c r="J330" s="94">
        <v>8334</v>
      </c>
      <c r="K330" s="94">
        <v>3.3312154252262509</v>
      </c>
      <c r="L330" s="94">
        <v>19.757597484449512</v>
      </c>
      <c r="M330" s="94">
        <v>20</v>
      </c>
      <c r="N330" s="94">
        <v>19</v>
      </c>
      <c r="O330" s="94">
        <v>20</v>
      </c>
    </row>
    <row r="331" spans="1:15" x14ac:dyDescent="0.25">
      <c r="A331" s="89">
        <v>44726.333333333336</v>
      </c>
      <c r="B331" s="94">
        <v>358.94464752876644</v>
      </c>
      <c r="C331" s="94">
        <v>301.4607948198755</v>
      </c>
      <c r="D331" s="94">
        <v>86.707304190717537</v>
      </c>
      <c r="E331" s="94">
        <v>7.0194204444986426</v>
      </c>
      <c r="F331" s="94">
        <v>84.34501455394448</v>
      </c>
      <c r="G331" s="94">
        <v>6.9505195042758494</v>
      </c>
      <c r="H331" s="94">
        <v>82.795922712993089</v>
      </c>
      <c r="I331" s="94">
        <v>16.048626715656503</v>
      </c>
      <c r="J331" s="94">
        <v>8289.278551532725</v>
      </c>
      <c r="K331" s="94">
        <v>3.327275630573705</v>
      </c>
      <c r="L331" s="94">
        <v>19</v>
      </c>
      <c r="M331" s="94">
        <v>20</v>
      </c>
      <c r="N331" s="94">
        <v>19</v>
      </c>
      <c r="O331" s="94">
        <v>20</v>
      </c>
    </row>
    <row r="332" spans="1:15" x14ac:dyDescent="0.25">
      <c r="A332" s="89">
        <v>44726.833333333336</v>
      </c>
      <c r="B332" s="94">
        <v>359.1</v>
      </c>
      <c r="C332" s="94">
        <v>301.45644369845314</v>
      </c>
      <c r="D332" s="94">
        <v>86.30761703819222</v>
      </c>
      <c r="E332" s="94">
        <v>7.0103812366085094</v>
      </c>
      <c r="F332" s="94">
        <v>84.319189961504861</v>
      </c>
      <c r="G332" s="94">
        <v>6.9614029722952724</v>
      </c>
      <c r="H332" s="94">
        <v>82.590334108571099</v>
      </c>
      <c r="I332" s="94">
        <v>15.884114885974313</v>
      </c>
      <c r="J332" s="94">
        <v>8310</v>
      </c>
      <c r="K332" s="94">
        <v>3.3286528968343974</v>
      </c>
      <c r="L332" s="94">
        <v>19</v>
      </c>
      <c r="M332" s="94">
        <v>20</v>
      </c>
      <c r="N332" s="94">
        <v>19</v>
      </c>
      <c r="O332" s="94">
        <v>20</v>
      </c>
    </row>
    <row r="333" spans="1:15" x14ac:dyDescent="0.25">
      <c r="A333" s="89">
        <v>44727.333333333336</v>
      </c>
      <c r="B333" s="94">
        <v>359.08</v>
      </c>
      <c r="C333" s="94">
        <v>301.45999999999998</v>
      </c>
      <c r="D333" s="94">
        <v>85.864036841353709</v>
      </c>
      <c r="E333" s="94">
        <v>6.9891791660302429</v>
      </c>
      <c r="F333" s="94">
        <v>84.276951222140795</v>
      </c>
      <c r="G333" s="94">
        <v>6.9407609475951189</v>
      </c>
      <c r="H333" s="94">
        <v>82.9</v>
      </c>
      <c r="I333" s="94">
        <v>16.046499786376952</v>
      </c>
      <c r="J333" s="94">
        <v>1699.3136766439495</v>
      </c>
      <c r="K333" s="94">
        <v>0.68459704730705206</v>
      </c>
      <c r="L333" s="94">
        <v>19</v>
      </c>
      <c r="M333" s="94">
        <v>20</v>
      </c>
      <c r="N333" s="94">
        <v>19</v>
      </c>
      <c r="O333" s="94">
        <v>20</v>
      </c>
    </row>
    <row r="334" spans="1:15" x14ac:dyDescent="0.25">
      <c r="A334" s="89">
        <v>44727.833333333336</v>
      </c>
      <c r="B334" s="94">
        <v>359.08</v>
      </c>
      <c r="C334" s="94">
        <v>301.44325887311027</v>
      </c>
      <c r="D334" s="94">
        <v>86.054168070774438</v>
      </c>
      <c r="E334" s="94">
        <v>6.9661125296231177</v>
      </c>
      <c r="F334" s="94">
        <v>86.981053308369908</v>
      </c>
      <c r="G334" s="94">
        <v>6.9615094598648515</v>
      </c>
      <c r="H334" s="94">
        <v>82.327227737895214</v>
      </c>
      <c r="I334" s="94">
        <v>15.916336642737132</v>
      </c>
      <c r="J334" s="94">
        <v>8282</v>
      </c>
      <c r="K334" s="94">
        <v>3.326832591899243</v>
      </c>
      <c r="L334" s="94">
        <v>19</v>
      </c>
      <c r="M334" s="94">
        <v>20</v>
      </c>
      <c r="N334" s="94">
        <v>19</v>
      </c>
      <c r="O334" s="94">
        <v>20</v>
      </c>
    </row>
    <row r="335" spans="1:15" x14ac:dyDescent="0.25">
      <c r="A335" s="89">
        <v>44728.333333333336</v>
      </c>
      <c r="B335" s="94">
        <v>359.04</v>
      </c>
      <c r="C335" s="94">
        <v>301.4569161551081</v>
      </c>
      <c r="D335" s="94">
        <v>86.001768379849821</v>
      </c>
      <c r="E335" s="94">
        <v>6.9872799682617188</v>
      </c>
      <c r="F335" s="94">
        <v>87.9265845665565</v>
      </c>
      <c r="G335" s="94">
        <v>6.9643826217960463</v>
      </c>
      <c r="H335" s="94">
        <v>82.619270129918547</v>
      </c>
      <c r="I335" s="94">
        <v>16.042371794871794</v>
      </c>
      <c r="J335" s="94">
        <v>8307.5381812428623</v>
      </c>
      <c r="K335" s="94">
        <v>3.3300553505978612</v>
      </c>
      <c r="L335" s="94">
        <v>19</v>
      </c>
      <c r="M335" s="94">
        <v>20</v>
      </c>
      <c r="N335" s="94">
        <v>19</v>
      </c>
      <c r="O335" s="94">
        <v>20</v>
      </c>
    </row>
    <row r="336" spans="1:15" x14ac:dyDescent="0.25">
      <c r="A336" s="89">
        <v>44728.833333333336</v>
      </c>
      <c r="B336" s="94">
        <v>359.04</v>
      </c>
      <c r="C336" s="94">
        <v>301.44</v>
      </c>
      <c r="D336" s="94">
        <v>87.9</v>
      </c>
      <c r="E336" s="94">
        <v>6.961205986995461</v>
      </c>
      <c r="F336" s="94">
        <v>88.154090075402479</v>
      </c>
      <c r="G336" s="94">
        <v>6.9487651862178854</v>
      </c>
      <c r="H336" s="94">
        <v>82.8</v>
      </c>
      <c r="I336" s="94">
        <v>15.873157290909786</v>
      </c>
      <c r="J336" s="94">
        <v>8292.2751728685635</v>
      </c>
      <c r="K336" s="94">
        <v>3.3276262334470816</v>
      </c>
      <c r="L336" s="94">
        <v>20</v>
      </c>
      <c r="M336" s="94">
        <v>20</v>
      </c>
      <c r="N336" s="94">
        <v>19</v>
      </c>
      <c r="O336" s="94">
        <v>20</v>
      </c>
    </row>
    <row r="337" spans="1:15" x14ac:dyDescent="0.25">
      <c r="A337" s="89">
        <v>44729.333333333336</v>
      </c>
      <c r="B337" s="94">
        <v>359.03360749414139</v>
      </c>
      <c r="C337" s="94">
        <v>301.45449267821851</v>
      </c>
      <c r="D337" s="94">
        <v>88.44095874068752</v>
      </c>
      <c r="E337" s="94">
        <v>6.9443664051346508</v>
      </c>
      <c r="F337" s="94">
        <v>87.915135021483394</v>
      </c>
      <c r="G337" s="94">
        <v>6.9655884995507638</v>
      </c>
      <c r="H337" s="94">
        <v>82.437900448608644</v>
      </c>
      <c r="I337" s="94">
        <v>16</v>
      </c>
      <c r="J337" s="94">
        <v>8282.7570841537545</v>
      </c>
      <c r="K337" s="94">
        <v>3.3266418434946079</v>
      </c>
      <c r="L337" s="94">
        <v>20</v>
      </c>
      <c r="M337" s="94">
        <v>20</v>
      </c>
      <c r="N337" s="94">
        <v>19</v>
      </c>
      <c r="O337" s="94">
        <v>20</v>
      </c>
    </row>
    <row r="338" spans="1:15" x14ac:dyDescent="0.25">
      <c r="A338" s="89">
        <v>44729.833333333336</v>
      </c>
      <c r="B338" s="94">
        <v>359.01</v>
      </c>
      <c r="C338" s="94">
        <v>301.45855989476252</v>
      </c>
      <c r="D338" s="94">
        <v>89.606734948048668</v>
      </c>
      <c r="E338" s="94">
        <v>6.9652907270086386</v>
      </c>
      <c r="F338" s="94">
        <v>88.571595103308397</v>
      </c>
      <c r="G338" s="94">
        <v>6.9749198863231232</v>
      </c>
      <c r="H338" s="94">
        <v>82.4</v>
      </c>
      <c r="I338" s="94">
        <v>15.978537114878286</v>
      </c>
      <c r="J338" s="94">
        <v>8283.3908387242009</v>
      </c>
      <c r="K338" s="94">
        <v>3.3260000000000001</v>
      </c>
      <c r="L338" s="94">
        <v>20</v>
      </c>
      <c r="M338" s="94">
        <v>20</v>
      </c>
      <c r="N338" s="94">
        <v>19</v>
      </c>
      <c r="O338" s="94">
        <v>20</v>
      </c>
    </row>
    <row r="339" spans="1:15" x14ac:dyDescent="0.25">
      <c r="A339" s="89">
        <v>44730.333333333336</v>
      </c>
      <c r="B339" s="94">
        <v>359.01</v>
      </c>
      <c r="C339" s="94">
        <v>301.46993694262528</v>
      </c>
      <c r="D339" s="94">
        <v>89.153877006706466</v>
      </c>
      <c r="E339" s="94">
        <v>6.9587949260042281</v>
      </c>
      <c r="F339" s="94">
        <v>88.551301783586112</v>
      </c>
      <c r="G339" s="94">
        <v>6.967859844254277</v>
      </c>
      <c r="H339" s="94">
        <v>82.204492474319352</v>
      </c>
      <c r="I339" s="94">
        <v>15.898319854736329</v>
      </c>
      <c r="J339" s="94">
        <v>8270.7701245477274</v>
      </c>
      <c r="K339" s="94">
        <v>3.3246082964022188</v>
      </c>
      <c r="L339" s="94">
        <v>20</v>
      </c>
      <c r="M339" s="94">
        <v>20</v>
      </c>
      <c r="N339" s="94">
        <v>19</v>
      </c>
      <c r="O339" s="94">
        <v>20</v>
      </c>
    </row>
    <row r="340" spans="1:15" x14ac:dyDescent="0.25">
      <c r="A340" s="89">
        <v>44730.833333333336</v>
      </c>
      <c r="B340" s="94">
        <v>359.01</v>
      </c>
      <c r="C340" s="94">
        <v>301.46428600698084</v>
      </c>
      <c r="D340" s="94">
        <v>89.018592494704961</v>
      </c>
      <c r="E340" s="94">
        <v>6.9820500183105469</v>
      </c>
      <c r="F340" s="94">
        <v>88.508755812534062</v>
      </c>
      <c r="G340" s="94">
        <v>6.9313106933217306</v>
      </c>
      <c r="H340" s="94">
        <v>82.6</v>
      </c>
      <c r="I340" s="94">
        <v>15.888300476074219</v>
      </c>
      <c r="J340" s="94">
        <v>8329.2053762615542</v>
      </c>
      <c r="K340" s="94">
        <v>3.3323573807303219</v>
      </c>
      <c r="L340" s="94">
        <v>20</v>
      </c>
      <c r="M340" s="94">
        <v>20</v>
      </c>
      <c r="N340" s="94">
        <v>19</v>
      </c>
      <c r="O340" s="94">
        <v>20</v>
      </c>
    </row>
    <row r="341" spans="1:15" x14ac:dyDescent="0.25">
      <c r="A341" s="89">
        <v>44731.333333333336</v>
      </c>
      <c r="B341" s="94">
        <v>359.01</v>
      </c>
      <c r="C341" s="94">
        <v>301.45291829401145</v>
      </c>
      <c r="D341" s="94">
        <v>89</v>
      </c>
      <c r="E341" s="94">
        <v>6.9794479840918777</v>
      </c>
      <c r="F341" s="94">
        <v>88.550847629527823</v>
      </c>
      <c r="G341" s="94">
        <v>6.9330052959438344</v>
      </c>
      <c r="H341" s="94">
        <v>82.907415910455228</v>
      </c>
      <c r="I341" s="94">
        <v>15.964034371419643</v>
      </c>
      <c r="J341" s="94">
        <v>8313.1901795183785</v>
      </c>
      <c r="K341" s="94">
        <v>3.330451979554363</v>
      </c>
      <c r="L341" s="94">
        <v>19.180146218523248</v>
      </c>
      <c r="M341" s="94">
        <v>20</v>
      </c>
      <c r="N341" s="94">
        <v>19</v>
      </c>
      <c r="O341" s="94">
        <v>20</v>
      </c>
    </row>
    <row r="342" spans="1:15" x14ac:dyDescent="0.25">
      <c r="A342" s="89">
        <v>44731.833333333336</v>
      </c>
      <c r="B342" s="94">
        <v>359.01</v>
      </c>
      <c r="C342" s="94">
        <v>301.45</v>
      </c>
      <c r="D342" s="94">
        <v>89.924039294503146</v>
      </c>
      <c r="E342" s="94">
        <v>6.9853259871441686</v>
      </c>
      <c r="F342" s="94">
        <v>88.106733089952954</v>
      </c>
      <c r="G342" s="94">
        <v>6.9447135673286944</v>
      </c>
      <c r="H342" s="94">
        <v>82.7</v>
      </c>
      <c r="I342" s="94">
        <v>15.944255662937106</v>
      </c>
      <c r="J342" s="94">
        <v>8307.5721431572438</v>
      </c>
      <c r="K342" s="94">
        <v>3.3296824673553354</v>
      </c>
      <c r="L342" s="94">
        <v>20</v>
      </c>
      <c r="M342" s="94">
        <v>20</v>
      </c>
      <c r="N342" s="94">
        <v>19</v>
      </c>
      <c r="O342" s="94">
        <v>20</v>
      </c>
    </row>
    <row r="343" spans="1:15" x14ac:dyDescent="0.25">
      <c r="A343" s="89">
        <v>44732.333333333336</v>
      </c>
      <c r="B343" s="94">
        <v>358.94677862450197</v>
      </c>
      <c r="C343" s="94">
        <v>301.44224990844725</v>
      </c>
      <c r="D343" s="94">
        <v>89.754930615252363</v>
      </c>
      <c r="E343" s="94">
        <v>6.9567334301658894</v>
      </c>
      <c r="F343" s="94">
        <v>88.7</v>
      </c>
      <c r="G343" s="94">
        <v>6.9577078226071283</v>
      </c>
      <c r="H343" s="94">
        <v>83.272741586700903</v>
      </c>
      <c r="I343" s="94">
        <v>16.038559570312501</v>
      </c>
      <c r="J343" s="94">
        <v>8325.0735143448092</v>
      </c>
      <c r="K343" s="94">
        <v>3.3316975153142758</v>
      </c>
      <c r="L343" s="94">
        <v>19</v>
      </c>
      <c r="M343" s="94">
        <v>20</v>
      </c>
      <c r="N343" s="94">
        <v>19</v>
      </c>
      <c r="O343" s="94">
        <v>20</v>
      </c>
    </row>
    <row r="344" spans="1:15" x14ac:dyDescent="0.25">
      <c r="A344" s="89">
        <v>44732.833333333336</v>
      </c>
      <c r="B344" s="94">
        <v>358.85</v>
      </c>
      <c r="C344" s="94">
        <v>301.58</v>
      </c>
      <c r="D344" s="94">
        <v>86.547917527983216</v>
      </c>
      <c r="E344" s="94">
        <v>6.9729491237870604</v>
      </c>
      <c r="F344" s="94">
        <v>-3.9</v>
      </c>
      <c r="G344" s="94">
        <v>0</v>
      </c>
      <c r="H344" s="94">
        <v>83.707663918609413</v>
      </c>
      <c r="I344" s="94">
        <v>15.945579622535856</v>
      </c>
      <c r="J344" s="94">
        <v>9668</v>
      </c>
      <c r="K344" s="94">
        <v>3.5009999999999999</v>
      </c>
      <c r="L344" s="94">
        <v>42</v>
      </c>
      <c r="M344" s="94">
        <v>43</v>
      </c>
      <c r="N344" s="94">
        <v>42.478685870776104</v>
      </c>
      <c r="O344" s="94">
        <v>43</v>
      </c>
    </row>
    <row r="345" spans="1:15" x14ac:dyDescent="0.25">
      <c r="A345" s="89">
        <v>44733.333333333336</v>
      </c>
      <c r="B345" s="94">
        <v>358.8168595747477</v>
      </c>
      <c r="C345" s="94">
        <v>301.59864385523031</v>
      </c>
      <c r="D345" s="94">
        <v>86.009831117366019</v>
      </c>
      <c r="E345" s="94">
        <v>6.9708877703736523</v>
      </c>
      <c r="F345" s="94">
        <v>-3.9</v>
      </c>
      <c r="G345" s="94">
        <v>0</v>
      </c>
      <c r="H345" s="94">
        <v>84</v>
      </c>
      <c r="I345" s="94">
        <v>16.047860527992295</v>
      </c>
      <c r="J345" s="94">
        <v>9663.2069449801711</v>
      </c>
      <c r="K345" s="94">
        <v>3.5003333311451259</v>
      </c>
      <c r="L345" s="94">
        <v>42</v>
      </c>
      <c r="M345" s="94">
        <v>42</v>
      </c>
      <c r="N345" s="94">
        <v>42</v>
      </c>
      <c r="O345" s="94">
        <v>42.570794912771987</v>
      </c>
    </row>
    <row r="346" spans="1:15" x14ac:dyDescent="0.25">
      <c r="A346" s="89">
        <v>44733.833333333336</v>
      </c>
      <c r="B346" s="94">
        <v>358.77</v>
      </c>
      <c r="C346" s="94">
        <v>301.35000000000002</v>
      </c>
      <c r="D346" s="94">
        <v>86.072619063003174</v>
      </c>
      <c r="E346" s="94">
        <v>6.99</v>
      </c>
      <c r="F346" s="94">
        <v>-3.9</v>
      </c>
      <c r="G346" s="94">
        <v>0</v>
      </c>
      <c r="H346" s="94">
        <v>90.385282717036858</v>
      </c>
      <c r="I346" s="94">
        <v>17.142445378793671</v>
      </c>
      <c r="J346" s="94">
        <v>7965.155542165202</v>
      </c>
      <c r="K346" s="94">
        <v>3.2842994106575465</v>
      </c>
      <c r="L346" s="94">
        <v>42.336423256577646</v>
      </c>
      <c r="M346" s="94">
        <v>43</v>
      </c>
      <c r="N346" s="94">
        <v>20</v>
      </c>
      <c r="O346" s="94">
        <v>0</v>
      </c>
    </row>
    <row r="347" spans="1:15" x14ac:dyDescent="0.25">
      <c r="A347" s="89">
        <v>44734.333333333336</v>
      </c>
      <c r="B347" s="94">
        <v>358.74409766037815</v>
      </c>
      <c r="C347" s="94">
        <v>301.33999999999997</v>
      </c>
      <c r="D347" s="94">
        <v>85.550414741315734</v>
      </c>
      <c r="E347" s="94">
        <v>6.995325492592027</v>
      </c>
      <c r="F347" s="94">
        <v>-3.9</v>
      </c>
      <c r="G347" s="94">
        <v>0</v>
      </c>
      <c r="H347" s="94">
        <v>90.699663997307141</v>
      </c>
      <c r="I347" s="94">
        <v>16.793723480625008</v>
      </c>
      <c r="J347" s="94">
        <v>7986</v>
      </c>
      <c r="K347" s="94">
        <v>3.2886149869169108</v>
      </c>
      <c r="L347" s="94">
        <v>42</v>
      </c>
      <c r="M347" s="94">
        <v>42.267907574521466</v>
      </c>
      <c r="N347" s="94">
        <v>20</v>
      </c>
      <c r="O347" s="94">
        <v>0</v>
      </c>
    </row>
    <row r="348" spans="1:15" x14ac:dyDescent="0.25">
      <c r="A348" s="89">
        <v>44734.833333333336</v>
      </c>
      <c r="B348" s="94">
        <v>358.71</v>
      </c>
      <c r="C348" s="94">
        <v>301.18528512155359</v>
      </c>
      <c r="D348" s="94">
        <v>85.306892364485677</v>
      </c>
      <c r="E348" s="94">
        <v>7.0243997192382812</v>
      </c>
      <c r="F348" s="94">
        <v>-3.9</v>
      </c>
      <c r="G348" s="94">
        <v>0</v>
      </c>
      <c r="H348" s="94">
        <v>90.7</v>
      </c>
      <c r="I348" s="94">
        <v>17.037122608372247</v>
      </c>
      <c r="J348" s="94">
        <v>6752</v>
      </c>
      <c r="K348" s="94">
        <v>3.1160000000000001</v>
      </c>
      <c r="L348" s="94">
        <v>34</v>
      </c>
      <c r="M348" s="94">
        <v>32</v>
      </c>
      <c r="N348" s="94">
        <v>0</v>
      </c>
      <c r="O348" s="94">
        <v>0</v>
      </c>
    </row>
    <row r="349" spans="1:15" x14ac:dyDescent="0.25">
      <c r="A349" s="89">
        <v>44735.333333333336</v>
      </c>
      <c r="B349" s="94">
        <v>358.70554138196206</v>
      </c>
      <c r="C349" s="94">
        <v>301.1855025859175</v>
      </c>
      <c r="D349" s="94">
        <v>85.201345414104424</v>
      </c>
      <c r="E349" s="94">
        <v>7.0262812452077901</v>
      </c>
      <c r="F349" s="94">
        <v>-3.9</v>
      </c>
      <c r="G349" s="94">
        <v>0</v>
      </c>
      <c r="H349" s="94">
        <v>90.710781399893634</v>
      </c>
      <c r="I349" s="94">
        <v>16.996619476882106</v>
      </c>
      <c r="J349" s="94">
        <v>6753.4021408011859</v>
      </c>
      <c r="K349" s="94">
        <v>3.1160000000000001</v>
      </c>
      <c r="L349" s="94">
        <v>34</v>
      </c>
      <c r="M349" s="94">
        <v>32.622567313058035</v>
      </c>
      <c r="N349" s="94">
        <v>0</v>
      </c>
      <c r="O349" s="94">
        <v>0</v>
      </c>
    </row>
    <row r="350" spans="1:15" x14ac:dyDescent="0.25">
      <c r="A350" s="89">
        <v>44735.833333333336</v>
      </c>
      <c r="B350" s="94">
        <v>358.7</v>
      </c>
      <c r="C350" s="94">
        <v>300.98393719921143</v>
      </c>
      <c r="D350" s="94">
        <v>84.9</v>
      </c>
      <c r="E350" s="94">
        <v>7.0596199035644531</v>
      </c>
      <c r="F350" s="94">
        <v>1.7641326904296875</v>
      </c>
      <c r="G350" s="94">
        <v>0</v>
      </c>
      <c r="H350" s="94">
        <v>89.9</v>
      </c>
      <c r="I350" s="94">
        <v>17.034368473358306</v>
      </c>
      <c r="J350" s="94">
        <v>5416</v>
      </c>
      <c r="K350" s="94">
        <v>2.9159999999999999</v>
      </c>
      <c r="L350" s="94">
        <v>21.056390211731909</v>
      </c>
      <c r="M350" s="94">
        <v>0</v>
      </c>
      <c r="N350" s="94">
        <v>0</v>
      </c>
      <c r="O350" s="94">
        <v>0</v>
      </c>
    </row>
    <row r="351" spans="1:15" x14ac:dyDescent="0.25">
      <c r="A351" s="89">
        <v>44736.333333333336</v>
      </c>
      <c r="B351" s="94">
        <v>358.69084377972109</v>
      </c>
      <c r="C351" s="94">
        <v>300.97516043526025</v>
      </c>
      <c r="D351" s="94">
        <v>83.7</v>
      </c>
      <c r="E351" s="94">
        <v>7.0461654072079787</v>
      </c>
      <c r="F351" s="94">
        <v>1.7260742976479018</v>
      </c>
      <c r="G351" s="94">
        <v>0</v>
      </c>
      <c r="H351" s="94">
        <v>89.8</v>
      </c>
      <c r="I351" s="94">
        <v>16.960699684456031</v>
      </c>
      <c r="J351" s="94">
        <v>5374</v>
      </c>
      <c r="K351" s="94">
        <v>2.9081494786454982</v>
      </c>
      <c r="L351" s="94">
        <v>21</v>
      </c>
      <c r="M351" s="94">
        <v>0</v>
      </c>
      <c r="N351" s="94">
        <v>0</v>
      </c>
      <c r="O351" s="94">
        <v>0</v>
      </c>
    </row>
    <row r="352" spans="1:15" x14ac:dyDescent="0.25">
      <c r="A352" s="89">
        <v>44736.833333333336</v>
      </c>
      <c r="B352" s="94">
        <v>358.68</v>
      </c>
      <c r="C352" s="94">
        <v>300.79022795872453</v>
      </c>
      <c r="D352" s="94">
        <v>70.8</v>
      </c>
      <c r="E352" s="94">
        <v>6.0301071381152269</v>
      </c>
      <c r="F352" s="94">
        <v>1.8243482914150295</v>
      </c>
      <c r="G352" s="94">
        <v>0</v>
      </c>
      <c r="H352" s="94">
        <v>82.17402964998324</v>
      </c>
      <c r="I352" s="94">
        <v>15.879489392250004</v>
      </c>
      <c r="J352" s="94">
        <v>4194.0010180132476</v>
      </c>
      <c r="K352" s="94">
        <v>2.7082180282197714</v>
      </c>
      <c r="L352" s="94">
        <v>0</v>
      </c>
      <c r="M352" s="94">
        <v>0</v>
      </c>
      <c r="N352" s="94">
        <v>0</v>
      </c>
      <c r="O352" s="94">
        <v>0</v>
      </c>
    </row>
    <row r="353" spans="1:15" x14ac:dyDescent="0.25">
      <c r="A353" s="89">
        <v>44737.333333333336</v>
      </c>
      <c r="B353" s="94">
        <v>358.68</v>
      </c>
      <c r="C353" s="94">
        <v>300.80489681084811</v>
      </c>
      <c r="D353" s="94">
        <v>70.621388472863245</v>
      </c>
      <c r="E353" s="94">
        <v>6.05</v>
      </c>
      <c r="F353" s="94">
        <v>1.6135572908317877</v>
      </c>
      <c r="G353" s="94">
        <v>0</v>
      </c>
      <c r="H353" s="94">
        <v>82.591351838796598</v>
      </c>
      <c r="I353" s="94">
        <v>15.89172945017056</v>
      </c>
      <c r="J353" s="94">
        <v>4198.3644014085685</v>
      </c>
      <c r="K353" s="94">
        <v>2.7096491873632949</v>
      </c>
      <c r="L353" s="94">
        <v>0</v>
      </c>
      <c r="M353" s="94">
        <v>0</v>
      </c>
      <c r="N353" s="94">
        <v>0</v>
      </c>
      <c r="O353" s="94">
        <v>0</v>
      </c>
    </row>
    <row r="354" spans="1:15" x14ac:dyDescent="0.25">
      <c r="A354" s="89">
        <v>44737.833333333336</v>
      </c>
      <c r="B354" s="94">
        <v>358.68</v>
      </c>
      <c r="C354" s="94">
        <v>300.6211038976939</v>
      </c>
      <c r="D354" s="94">
        <v>41.4</v>
      </c>
      <c r="E354" s="94">
        <v>2.3984538608111787</v>
      </c>
      <c r="F354" s="94">
        <v>1.7</v>
      </c>
      <c r="G354" s="94">
        <v>0</v>
      </c>
      <c r="H354" s="94">
        <v>77.891117303973076</v>
      </c>
      <c r="I354" s="94">
        <v>14.567335191191923</v>
      </c>
      <c r="J354" s="94">
        <v>3389.7309517517151</v>
      </c>
      <c r="K354" s="94">
        <v>2.5556266104515637</v>
      </c>
      <c r="L354" s="94">
        <v>0</v>
      </c>
      <c r="M354" s="94">
        <v>0</v>
      </c>
      <c r="N354" s="94">
        <v>0</v>
      </c>
      <c r="O354" s="94">
        <v>0</v>
      </c>
    </row>
    <row r="355" spans="1:15" x14ac:dyDescent="0.25">
      <c r="A355" s="89">
        <v>44738.333333333336</v>
      </c>
      <c r="B355" s="94">
        <v>358.70852586263487</v>
      </c>
      <c r="C355" s="94">
        <v>300.62887146490181</v>
      </c>
      <c r="D355" s="94">
        <v>40.700000000000003</v>
      </c>
      <c r="E355" s="94">
        <v>2.4153893948161911</v>
      </c>
      <c r="F355" s="94">
        <v>1.6</v>
      </c>
      <c r="G355" s="94">
        <v>0</v>
      </c>
      <c r="H355" s="94">
        <v>78.249700248081623</v>
      </c>
      <c r="I355" s="94">
        <v>14.677641731795063</v>
      </c>
      <c r="J355" s="94">
        <v>3381.9810746921016</v>
      </c>
      <c r="K355" s="94">
        <v>2.5551933516447161</v>
      </c>
      <c r="L355" s="94">
        <v>0</v>
      </c>
      <c r="M355" s="94">
        <v>0</v>
      </c>
      <c r="N355" s="94">
        <v>0</v>
      </c>
      <c r="O355" s="94">
        <v>0</v>
      </c>
    </row>
    <row r="356" spans="1:15" x14ac:dyDescent="0.25">
      <c r="A356" s="89">
        <v>44738.833333333336</v>
      </c>
      <c r="B356" s="94">
        <v>358.74</v>
      </c>
      <c r="C356" s="94">
        <v>300.49969715105385</v>
      </c>
      <c r="D356" s="94">
        <v>70.729502586800308</v>
      </c>
      <c r="E356" s="94">
        <v>5.94</v>
      </c>
      <c r="F356" s="94">
        <v>1.6</v>
      </c>
      <c r="G356" s="94">
        <v>0</v>
      </c>
      <c r="H356" s="94">
        <v>48.374781852759675</v>
      </c>
      <c r="I356" s="94">
        <v>6.65911865234375</v>
      </c>
      <c r="J356" s="94">
        <v>2685.5881418015379</v>
      </c>
      <c r="K356" s="94">
        <v>2.4010502553980611</v>
      </c>
      <c r="L356" s="94">
        <v>0</v>
      </c>
      <c r="M356" s="94">
        <v>0</v>
      </c>
      <c r="N356" s="94">
        <v>0</v>
      </c>
      <c r="O356" s="94">
        <v>0</v>
      </c>
    </row>
    <row r="357" spans="1:15" x14ac:dyDescent="0.25">
      <c r="A357" s="89">
        <v>44739.333333333336</v>
      </c>
      <c r="B357" s="94">
        <v>358.76457552414109</v>
      </c>
      <c r="C357" s="94">
        <v>300.49037373155443</v>
      </c>
      <c r="D357" s="94">
        <v>71.599999999999994</v>
      </c>
      <c r="E357" s="94">
        <v>5.9341744310371158</v>
      </c>
      <c r="F357" s="94">
        <v>1.4510113669484115</v>
      </c>
      <c r="G357" s="94">
        <v>0</v>
      </c>
      <c r="H357" s="94">
        <v>48.593587386047972</v>
      </c>
      <c r="I357" s="94">
        <v>6.7055457992416683</v>
      </c>
      <c r="J357" s="94">
        <v>2687.2114713929573</v>
      </c>
      <c r="K357" s="94">
        <v>2.4018117349797414</v>
      </c>
      <c r="L357" s="94">
        <v>0</v>
      </c>
      <c r="M357" s="94">
        <v>0</v>
      </c>
      <c r="N357" s="94">
        <v>0</v>
      </c>
      <c r="O357" s="94">
        <v>0</v>
      </c>
    </row>
    <row r="358" spans="1:15" x14ac:dyDescent="0.25">
      <c r="A358" s="89">
        <v>44739.833333333336</v>
      </c>
      <c r="B358" s="94">
        <v>358.79</v>
      </c>
      <c r="C358" s="94">
        <v>300.49</v>
      </c>
      <c r="D358" s="94">
        <v>0.9</v>
      </c>
      <c r="E358" s="94">
        <v>0</v>
      </c>
      <c r="F358" s="94">
        <v>1.9162698594752632</v>
      </c>
      <c r="G358" s="94">
        <v>0</v>
      </c>
      <c r="H358" s="94">
        <v>79.324517576228359</v>
      </c>
      <c r="I358" s="94">
        <v>15.211814641270616</v>
      </c>
      <c r="J358" s="94">
        <v>2867.0370730049472</v>
      </c>
      <c r="K358" s="94">
        <v>2.4433830159242507</v>
      </c>
      <c r="L358" s="94">
        <v>0</v>
      </c>
      <c r="M358" s="94">
        <v>0</v>
      </c>
      <c r="N358" s="94">
        <v>0</v>
      </c>
      <c r="O358" s="94">
        <v>0</v>
      </c>
    </row>
    <row r="359" spans="1:15" x14ac:dyDescent="0.25">
      <c r="A359" s="89">
        <v>44740.333333333336</v>
      </c>
      <c r="B359" s="94">
        <v>358.81025355339256</v>
      </c>
      <c r="C359" s="94">
        <v>300.49319004996869</v>
      </c>
      <c r="D359" s="94">
        <v>0.96081098947244958</v>
      </c>
      <c r="E359" s="94">
        <v>0</v>
      </c>
      <c r="F359" s="94">
        <v>2.0242564364007136</v>
      </c>
      <c r="G359" s="94">
        <v>0</v>
      </c>
      <c r="H359" s="94">
        <v>79.21527376578328</v>
      </c>
      <c r="I359" s="94">
        <v>15.279044831906024</v>
      </c>
      <c r="J359" s="94">
        <v>2860</v>
      </c>
      <c r="K359" s="94">
        <v>2.4436578498150205</v>
      </c>
      <c r="L359" s="94">
        <v>0</v>
      </c>
      <c r="M359" s="94">
        <v>0</v>
      </c>
      <c r="N359" s="94">
        <v>0</v>
      </c>
      <c r="O359" s="94">
        <v>0</v>
      </c>
    </row>
    <row r="360" spans="1:15" x14ac:dyDescent="0.25">
      <c r="A360" s="89">
        <v>44740.833333333336</v>
      </c>
      <c r="B360" s="94">
        <v>358.83</v>
      </c>
      <c r="C360" s="94">
        <v>300.45999999999998</v>
      </c>
      <c r="D360" s="94">
        <v>2.1454348498916747</v>
      </c>
      <c r="E360" s="94">
        <v>0</v>
      </c>
      <c r="F360" s="94">
        <v>2.06125282037554</v>
      </c>
      <c r="G360" s="94">
        <v>0</v>
      </c>
      <c r="H360" s="94">
        <v>76.013470567315153</v>
      </c>
      <c r="I360" s="94">
        <v>14.333991490533984</v>
      </c>
      <c r="J360" s="94">
        <v>2716</v>
      </c>
      <c r="K360" s="94">
        <v>2.411108092905565</v>
      </c>
      <c r="L360" s="94">
        <v>0</v>
      </c>
      <c r="M360" s="94">
        <v>0</v>
      </c>
      <c r="N360" s="94">
        <v>0</v>
      </c>
      <c r="O360" s="94">
        <v>0</v>
      </c>
    </row>
    <row r="361" spans="1:15" x14ac:dyDescent="0.25">
      <c r="A361" s="89">
        <v>44741.333333333336</v>
      </c>
      <c r="B361" s="94">
        <v>358.84224335405702</v>
      </c>
      <c r="C361" s="94">
        <v>300.45949981689449</v>
      </c>
      <c r="D361" s="94">
        <v>2</v>
      </c>
      <c r="E361" s="94">
        <v>0</v>
      </c>
      <c r="F361" s="94">
        <v>2</v>
      </c>
      <c r="G361" s="94">
        <v>0</v>
      </c>
      <c r="H361" s="94">
        <v>76.121568154302665</v>
      </c>
      <c r="I361" s="94">
        <v>14.305445512952515</v>
      </c>
      <c r="J361" s="94">
        <v>2721.6344290170514</v>
      </c>
      <c r="K361" s="94">
        <v>2.4101426797284757</v>
      </c>
      <c r="L361" s="94">
        <v>0</v>
      </c>
      <c r="M361" s="94">
        <v>0</v>
      </c>
      <c r="N361" s="94">
        <v>0</v>
      </c>
      <c r="O361" s="94">
        <v>0</v>
      </c>
    </row>
    <row r="362" spans="1:15" x14ac:dyDescent="0.25">
      <c r="A362" s="89">
        <v>44741.833333333336</v>
      </c>
      <c r="B362" s="94">
        <v>358.88</v>
      </c>
      <c r="C362" s="94">
        <v>300.45418693926734</v>
      </c>
      <c r="D362" s="94">
        <v>1.0257175140092734</v>
      </c>
      <c r="E362" s="94">
        <v>0</v>
      </c>
      <c r="F362" s="94">
        <v>2.2333585444871664</v>
      </c>
      <c r="G362" s="94">
        <v>0</v>
      </c>
      <c r="H362" s="94">
        <v>76.099999999999994</v>
      </c>
      <c r="I362" s="94">
        <v>14.34466911494675</v>
      </c>
      <c r="J362" s="94">
        <v>2715.3310757964919</v>
      </c>
      <c r="K362" s="94">
        <v>2.4089999999999998</v>
      </c>
      <c r="L362" s="94">
        <v>0</v>
      </c>
      <c r="M362" s="94">
        <v>0</v>
      </c>
      <c r="N362" s="94">
        <v>0</v>
      </c>
      <c r="O362" s="94">
        <v>0</v>
      </c>
    </row>
    <row r="363" spans="1:15" x14ac:dyDescent="0.25">
      <c r="A363" s="89">
        <v>44742.333333333336</v>
      </c>
      <c r="B363" s="94">
        <v>358.88818436484939</v>
      </c>
      <c r="C363" s="94">
        <v>300.47000000000003</v>
      </c>
      <c r="D363" s="94">
        <v>1.9832863197066066</v>
      </c>
      <c r="E363" s="94">
        <v>0</v>
      </c>
      <c r="F363" s="94">
        <v>1.9176005045572917</v>
      </c>
      <c r="G363" s="94">
        <v>0</v>
      </c>
      <c r="H363" s="94">
        <v>76.267040807765497</v>
      </c>
      <c r="I363" s="94">
        <v>14.37628254720587</v>
      </c>
      <c r="J363" s="94">
        <v>2779.9241437565488</v>
      </c>
      <c r="K363" s="94">
        <v>2.4220000000000002</v>
      </c>
      <c r="L363" s="94">
        <v>0</v>
      </c>
      <c r="M363" s="94">
        <v>0</v>
      </c>
      <c r="N363" s="94">
        <v>0</v>
      </c>
      <c r="O363" s="94">
        <v>0</v>
      </c>
    </row>
    <row r="364" spans="1:15" x14ac:dyDescent="0.25">
      <c r="A364" s="89">
        <v>44742.833333333336</v>
      </c>
      <c r="B364" s="94">
        <v>358.91</v>
      </c>
      <c r="C364" s="94">
        <v>300.41000000000003</v>
      </c>
      <c r="D364" s="94">
        <v>1.9</v>
      </c>
      <c r="E364" s="94">
        <v>0</v>
      </c>
      <c r="F364" s="94">
        <v>66.486062175006609</v>
      </c>
      <c r="G364" s="94">
        <v>4.9689649056642242</v>
      </c>
      <c r="H364" s="94">
        <v>43.36393396067114</v>
      </c>
      <c r="I364" s="94">
        <v>5.4311451737451737</v>
      </c>
      <c r="J364" s="94">
        <v>2298</v>
      </c>
      <c r="K364" s="94">
        <v>2.3087888883983281</v>
      </c>
      <c r="L364" s="94">
        <v>0</v>
      </c>
      <c r="M364" s="94">
        <v>0</v>
      </c>
      <c r="N364" s="94">
        <v>0</v>
      </c>
      <c r="O364" s="94">
        <v>0</v>
      </c>
    </row>
    <row r="365" spans="1:15" x14ac:dyDescent="0.25">
      <c r="A365" s="89">
        <v>44743.333333333336</v>
      </c>
      <c r="B365" s="94">
        <v>358.92129064835535</v>
      </c>
      <c r="C365" s="94">
        <v>300.41000000000003</v>
      </c>
      <c r="D365" s="94">
        <v>1.96946637332298</v>
      </c>
      <c r="E365" s="94">
        <v>0</v>
      </c>
      <c r="F365" s="94">
        <v>66.675654097347163</v>
      </c>
      <c r="G365" s="94">
        <v>5.0012836901705056</v>
      </c>
      <c r="H365" s="94">
        <v>43.774128587461917</v>
      </c>
      <c r="I365" s="94">
        <v>5.4903684553080705</v>
      </c>
      <c r="J365" s="94">
        <v>2310</v>
      </c>
      <c r="K365" s="94">
        <v>2.3083776978735484</v>
      </c>
      <c r="L365" s="94">
        <v>0</v>
      </c>
      <c r="M365" s="94">
        <v>0</v>
      </c>
      <c r="N365" s="94">
        <v>0</v>
      </c>
      <c r="O365" s="94">
        <v>0</v>
      </c>
    </row>
    <row r="366" spans="1:15" x14ac:dyDescent="0.25">
      <c r="A366" s="89">
        <v>44743.833333333336</v>
      </c>
      <c r="B366" s="94">
        <v>358.95</v>
      </c>
      <c r="C366" s="94">
        <v>300.51256815692977</v>
      </c>
      <c r="D366" s="94">
        <v>1.9990570485106085</v>
      </c>
      <c r="E366" s="94">
        <v>0</v>
      </c>
      <c r="F366" s="94">
        <v>74.976102268184547</v>
      </c>
      <c r="G366" s="94">
        <v>5.9552200317382811</v>
      </c>
      <c r="H366" s="94">
        <v>51.076487144999327</v>
      </c>
      <c r="I366" s="94">
        <v>7.3086155283880263</v>
      </c>
      <c r="J366" s="94">
        <v>2772.997332397757</v>
      </c>
      <c r="K366" s="94">
        <v>2.4222112534947553</v>
      </c>
      <c r="L366" s="94">
        <v>0</v>
      </c>
      <c r="M366" s="94">
        <v>0</v>
      </c>
      <c r="N366" s="94">
        <v>0</v>
      </c>
      <c r="O366" s="94">
        <v>0</v>
      </c>
    </row>
    <row r="367" spans="1:15" x14ac:dyDescent="0.25">
      <c r="A367" s="89">
        <v>44744.333333333336</v>
      </c>
      <c r="B367" s="94">
        <v>358.95</v>
      </c>
      <c r="C367" s="94">
        <v>300.51328118806725</v>
      </c>
      <c r="D367" s="94">
        <v>1.929769107752727</v>
      </c>
      <c r="E367" s="94">
        <v>0</v>
      </c>
      <c r="F367" s="94">
        <v>74.992552761523186</v>
      </c>
      <c r="G367" s="94">
        <v>5.9517654952271553</v>
      </c>
      <c r="H367" s="94">
        <v>51.082901329756382</v>
      </c>
      <c r="I367" s="94">
        <v>7.296925533058042</v>
      </c>
      <c r="J367" s="94">
        <v>2788.0170374931472</v>
      </c>
      <c r="K367" s="94">
        <v>2.4242663769436517</v>
      </c>
      <c r="L367" s="94">
        <v>0</v>
      </c>
      <c r="M367" s="94">
        <v>0</v>
      </c>
      <c r="N367" s="94">
        <v>0</v>
      </c>
      <c r="O367" s="94">
        <v>0</v>
      </c>
    </row>
    <row r="368" spans="1:15" x14ac:dyDescent="0.25">
      <c r="A368" s="89">
        <v>44744.833333333336</v>
      </c>
      <c r="B368" s="94">
        <v>358.95</v>
      </c>
      <c r="C368" s="94">
        <v>300.64999999999998</v>
      </c>
      <c r="D368" s="94">
        <v>2.081428183110638</v>
      </c>
      <c r="E368" s="94">
        <v>0</v>
      </c>
      <c r="F368" s="94">
        <v>37.392337295252815</v>
      </c>
      <c r="G368" s="94">
        <v>2.4180557414957708</v>
      </c>
      <c r="H368" s="94">
        <v>80.772406760456803</v>
      </c>
      <c r="I368" s="94">
        <v>15.69</v>
      </c>
      <c r="J368" s="94">
        <v>3482.9871080927919</v>
      </c>
      <c r="K368" s="94">
        <v>2.5742074095124874</v>
      </c>
      <c r="L368" s="94">
        <v>0</v>
      </c>
      <c r="M368" s="94">
        <v>0</v>
      </c>
      <c r="N368" s="94">
        <v>0</v>
      </c>
      <c r="O368" s="94">
        <v>0</v>
      </c>
    </row>
    <row r="369" spans="1:15" x14ac:dyDescent="0.25">
      <c r="A369" s="89">
        <v>44745.333333333336</v>
      </c>
      <c r="B369" s="94">
        <v>358.95</v>
      </c>
      <c r="C369" s="94">
        <v>300.64999999999998</v>
      </c>
      <c r="D369" s="94">
        <v>2.2000000000000002</v>
      </c>
      <c r="E369" s="94">
        <v>0</v>
      </c>
      <c r="F369" s="94">
        <v>37.348598223627434</v>
      </c>
      <c r="G369" s="94">
        <v>2.4063738071065988</v>
      </c>
      <c r="H369" s="94">
        <v>80.664079050564283</v>
      </c>
      <c r="I369" s="94">
        <v>15.675855811822208</v>
      </c>
      <c r="J369" s="94">
        <v>3509.8222270685087</v>
      </c>
      <c r="K369" s="94">
        <v>2.5796615760672634</v>
      </c>
      <c r="L369" s="94">
        <v>0</v>
      </c>
      <c r="M369" s="94">
        <v>0</v>
      </c>
      <c r="N369" s="94">
        <v>0</v>
      </c>
      <c r="O369" s="94">
        <v>0</v>
      </c>
    </row>
    <row r="370" spans="1:15" x14ac:dyDescent="0.25">
      <c r="A370" s="89">
        <v>44745.833333333336</v>
      </c>
      <c r="B370" s="94">
        <v>358.95</v>
      </c>
      <c r="C370" s="94">
        <v>300.76</v>
      </c>
      <c r="D370" s="94">
        <v>2.2000000000000002</v>
      </c>
      <c r="E370" s="94">
        <v>0</v>
      </c>
      <c r="F370" s="94">
        <v>47.786085442409615</v>
      </c>
      <c r="G370" s="94">
        <v>3.068168321368566</v>
      </c>
      <c r="H370" s="94">
        <v>97.1</v>
      </c>
      <c r="I370" s="94">
        <v>18.097732995945247</v>
      </c>
      <c r="J370" s="94">
        <v>4211.9941578300859</v>
      </c>
      <c r="K370" s="94">
        <v>2.7125981443181195</v>
      </c>
      <c r="L370" s="94">
        <v>0</v>
      </c>
      <c r="M370" s="94">
        <v>0</v>
      </c>
      <c r="N370" s="94">
        <v>0</v>
      </c>
      <c r="O370" s="94">
        <v>0</v>
      </c>
    </row>
    <row r="371" spans="1:15" x14ac:dyDescent="0.25">
      <c r="A371" s="89">
        <v>44746.333333333336</v>
      </c>
      <c r="B371" s="94">
        <v>359.00498534056192</v>
      </c>
      <c r="C371" s="94">
        <v>300.77229696427145</v>
      </c>
      <c r="D371" s="94">
        <v>2.2000000000000002</v>
      </c>
      <c r="E371" s="94">
        <v>0</v>
      </c>
      <c r="F371" s="94">
        <v>67.896299743652349</v>
      </c>
      <c r="G371" s="94">
        <v>5.0283497619628905</v>
      </c>
      <c r="H371" s="94">
        <v>88.633749652419354</v>
      </c>
      <c r="I371" s="94">
        <v>17.056396364747211</v>
      </c>
      <c r="J371" s="94">
        <v>4249.184049089421</v>
      </c>
      <c r="K371" s="94">
        <v>2.7180679333990607</v>
      </c>
      <c r="L371" s="94">
        <v>0</v>
      </c>
      <c r="M371" s="94">
        <v>0</v>
      </c>
      <c r="N371" s="94">
        <v>0</v>
      </c>
      <c r="O371" s="94">
        <v>0</v>
      </c>
    </row>
    <row r="372" spans="1:15" x14ac:dyDescent="0.25">
      <c r="A372" s="89">
        <v>44746.833333333336</v>
      </c>
      <c r="B372" s="94">
        <v>359.14</v>
      </c>
      <c r="C372" s="94">
        <v>300.82</v>
      </c>
      <c r="D372" s="94">
        <v>86.721504419367776</v>
      </c>
      <c r="E372" s="94">
        <v>6.96</v>
      </c>
      <c r="F372" s="94">
        <v>86.5</v>
      </c>
      <c r="G372" s="94">
        <v>6.9352401733398441</v>
      </c>
      <c r="H372" s="94">
        <v>1.3223822369235667</v>
      </c>
      <c r="I372" s="94">
        <v>0</v>
      </c>
      <c r="J372" s="94">
        <v>3878.7895365152108</v>
      </c>
      <c r="K372" s="94">
        <v>2.6482061421369241</v>
      </c>
      <c r="L372" s="94">
        <v>34</v>
      </c>
      <c r="M372" s="94">
        <v>0</v>
      </c>
      <c r="N372" s="94">
        <v>0</v>
      </c>
      <c r="O372" s="94">
        <v>0</v>
      </c>
    </row>
    <row r="373" spans="1:15" x14ac:dyDescent="0.25">
      <c r="A373" s="89">
        <v>44747.333333333336</v>
      </c>
      <c r="B373" s="94">
        <v>359.14898907149814</v>
      </c>
      <c r="C373" s="94">
        <v>300.81394626642987</v>
      </c>
      <c r="D373" s="94">
        <v>86.223846074265069</v>
      </c>
      <c r="E373" s="94">
        <v>6.9945253883324954</v>
      </c>
      <c r="F373" s="94">
        <v>86.5</v>
      </c>
      <c r="G373" s="94">
        <v>6.9635369348495475</v>
      </c>
      <c r="H373" s="94">
        <v>1.4</v>
      </c>
      <c r="I373" s="94">
        <v>0</v>
      </c>
      <c r="J373" s="94">
        <v>3865</v>
      </c>
      <c r="K373" s="94">
        <v>2.6493714542676465</v>
      </c>
      <c r="L373" s="94">
        <v>33.516135033776052</v>
      </c>
      <c r="M373" s="94">
        <v>0</v>
      </c>
      <c r="N373" s="94">
        <v>0</v>
      </c>
      <c r="O373" s="94">
        <v>0</v>
      </c>
    </row>
    <row r="374" spans="1:15" x14ac:dyDescent="0.25">
      <c r="A374" s="89">
        <v>44747.833333333336</v>
      </c>
      <c r="B374" s="94">
        <v>359.17</v>
      </c>
      <c r="C374" s="94">
        <v>300.73685815676333</v>
      </c>
      <c r="D374" s="94">
        <v>84.9</v>
      </c>
      <c r="E374" s="94">
        <v>6.9747198486328124</v>
      </c>
      <c r="F374" s="94">
        <v>86.535260009765622</v>
      </c>
      <c r="G374" s="94">
        <v>7.0021763085399451</v>
      </c>
      <c r="H374" s="94">
        <v>1.3467251277965635</v>
      </c>
      <c r="I374" s="94">
        <v>0</v>
      </c>
      <c r="J374" s="94">
        <v>3454.9848246331167</v>
      </c>
      <c r="K374" s="94">
        <v>2.5674773932700625</v>
      </c>
      <c r="L374" s="94">
        <v>21</v>
      </c>
      <c r="M374" s="94">
        <v>0</v>
      </c>
      <c r="N374" s="94">
        <v>0</v>
      </c>
      <c r="O374" s="94">
        <v>0</v>
      </c>
    </row>
    <row r="375" spans="1:15" x14ac:dyDescent="0.25">
      <c r="A375" s="89">
        <v>44748.333333333336</v>
      </c>
      <c r="B375" s="94">
        <v>359.18230398992569</v>
      </c>
      <c r="C375" s="94">
        <v>300.72184197998047</v>
      </c>
      <c r="D375" s="94">
        <v>83.6</v>
      </c>
      <c r="E375" s="94">
        <v>6.9605589790966587</v>
      </c>
      <c r="F375" s="94">
        <v>86.637832385670592</v>
      </c>
      <c r="G375" s="94">
        <v>7.0184012682540162</v>
      </c>
      <c r="H375" s="94">
        <v>1.4</v>
      </c>
      <c r="I375" s="94">
        <v>0</v>
      </c>
      <c r="J375" s="94">
        <v>3442.9878034429476</v>
      </c>
      <c r="K375" s="94">
        <v>2.5667135361269646</v>
      </c>
      <c r="L375" s="94">
        <v>21</v>
      </c>
      <c r="M375" s="94">
        <v>0</v>
      </c>
      <c r="N375" s="94">
        <v>0</v>
      </c>
      <c r="O375" s="94">
        <v>0</v>
      </c>
    </row>
    <row r="376" spans="1:15" x14ac:dyDescent="0.25">
      <c r="A376" s="89">
        <v>44748.833333333336</v>
      </c>
      <c r="B376" s="94">
        <v>359.2</v>
      </c>
      <c r="C376" s="94">
        <v>300.61495685552995</v>
      </c>
      <c r="D376" s="94">
        <v>83.4</v>
      </c>
      <c r="E376" s="94">
        <v>6.9402328934010153</v>
      </c>
      <c r="F376" s="94">
        <v>86.502328934010151</v>
      </c>
      <c r="G376" s="94">
        <v>7.0203797140331083</v>
      </c>
      <c r="H376" s="94">
        <v>1.4</v>
      </c>
      <c r="I376" s="94">
        <v>0</v>
      </c>
      <c r="J376" s="94">
        <v>2926.6817201647377</v>
      </c>
      <c r="K376" s="94">
        <v>2.4550000000000001</v>
      </c>
      <c r="L376" s="94">
        <v>0</v>
      </c>
      <c r="M376" s="94">
        <v>10</v>
      </c>
      <c r="N376" s="94">
        <v>0</v>
      </c>
      <c r="O376" s="94">
        <v>0</v>
      </c>
    </row>
    <row r="377" spans="1:15" x14ac:dyDescent="0.25">
      <c r="A377" s="89">
        <v>44749.333333333336</v>
      </c>
      <c r="B377" s="94">
        <v>359.21033015624613</v>
      </c>
      <c r="C377" s="94">
        <v>300.62464371451478</v>
      </c>
      <c r="D377" s="94">
        <v>85.060037622696314</v>
      </c>
      <c r="E377" s="94">
        <v>6.9304167175292966</v>
      </c>
      <c r="F377" s="94">
        <v>86.231265409560351</v>
      </c>
      <c r="G377" s="94">
        <v>7.0238401794433587</v>
      </c>
      <c r="H377" s="94">
        <v>1.6</v>
      </c>
      <c r="I377" s="94">
        <v>0</v>
      </c>
      <c r="J377" s="94">
        <v>3004.6865499004743</v>
      </c>
      <c r="K377" s="94">
        <v>2.4740000000000002</v>
      </c>
      <c r="L377" s="94">
        <v>0</v>
      </c>
      <c r="M377" s="94">
        <v>12</v>
      </c>
      <c r="N377" s="94">
        <v>0</v>
      </c>
      <c r="O377" s="94">
        <v>0</v>
      </c>
    </row>
    <row r="378" spans="1:15" x14ac:dyDescent="0.25">
      <c r="A378" s="89">
        <v>44749.833333333336</v>
      </c>
      <c r="B378" s="94">
        <v>359.22</v>
      </c>
      <c r="C378" s="94">
        <v>300.5</v>
      </c>
      <c r="D378" s="94">
        <v>77.93518899871728</v>
      </c>
      <c r="E378" s="94">
        <v>6.4265621632611563</v>
      </c>
      <c r="F378" s="94">
        <v>80.212887662629669</v>
      </c>
      <c r="G378" s="94">
        <v>6.44</v>
      </c>
      <c r="H378" s="94">
        <v>1.6</v>
      </c>
      <c r="I378" s="94">
        <v>0</v>
      </c>
      <c r="J378" s="94">
        <v>2491.5795994181672</v>
      </c>
      <c r="K378" s="94">
        <v>2.3537805413341966</v>
      </c>
      <c r="L378" s="94">
        <v>0</v>
      </c>
      <c r="M378" s="94">
        <v>0</v>
      </c>
      <c r="N378" s="94">
        <v>0</v>
      </c>
      <c r="O378" s="94">
        <v>0</v>
      </c>
    </row>
    <row r="379" spans="1:15" x14ac:dyDescent="0.25">
      <c r="A379" s="89">
        <v>44750.333333333336</v>
      </c>
      <c r="B379" s="94">
        <v>359.2357948072239</v>
      </c>
      <c r="C379" s="94">
        <v>300.5</v>
      </c>
      <c r="D379" s="94">
        <v>78.607135279909301</v>
      </c>
      <c r="E379" s="94">
        <v>6.4688809586070048</v>
      </c>
      <c r="F379" s="94">
        <v>79.830912177616938</v>
      </c>
      <c r="G379" s="94">
        <v>6.4508009714298806</v>
      </c>
      <c r="H379" s="94">
        <v>1.6</v>
      </c>
      <c r="I379" s="94">
        <v>0</v>
      </c>
      <c r="J379" s="94">
        <v>2490.7981594813837</v>
      </c>
      <c r="K379" s="94">
        <v>2.3548337224083893</v>
      </c>
      <c r="L379" s="94">
        <v>0</v>
      </c>
      <c r="M379" s="94">
        <v>0</v>
      </c>
      <c r="N379" s="94">
        <v>0</v>
      </c>
      <c r="O379" s="94">
        <v>0</v>
      </c>
    </row>
    <row r="380" spans="1:15" x14ac:dyDescent="0.25">
      <c r="A380" s="89">
        <v>44750.833333333336</v>
      </c>
      <c r="B380" s="94">
        <v>359.25</v>
      </c>
      <c r="C380" s="94">
        <v>300.58275149182163</v>
      </c>
      <c r="D380" s="94">
        <v>1.2989494323730468</v>
      </c>
      <c r="E380" s="94">
        <v>0</v>
      </c>
      <c r="F380" s="94">
        <v>42.789679870605468</v>
      </c>
      <c r="G380" s="94">
        <v>2.351521895190237</v>
      </c>
      <c r="H380" s="94">
        <v>73.900554121274254</v>
      </c>
      <c r="I380" s="94">
        <v>13.895379863924777</v>
      </c>
      <c r="J380" s="94">
        <v>3201.0536483558858</v>
      </c>
      <c r="K380" s="94">
        <v>2.5161239962668507</v>
      </c>
      <c r="L380" s="94">
        <v>0</v>
      </c>
      <c r="M380" s="94">
        <v>0</v>
      </c>
      <c r="N380" s="94">
        <v>0</v>
      </c>
      <c r="O380" s="94">
        <v>0</v>
      </c>
    </row>
    <row r="381" spans="1:15" x14ac:dyDescent="0.25">
      <c r="A381" s="89">
        <v>44751.333333333336</v>
      </c>
      <c r="B381" s="94">
        <v>359.25</v>
      </c>
      <c r="C381" s="94">
        <v>300.58792833964026</v>
      </c>
      <c r="D381" s="94">
        <v>1.937057336768373</v>
      </c>
      <c r="E381" s="94">
        <v>0</v>
      </c>
      <c r="F381" s="94">
        <v>42.6</v>
      </c>
      <c r="G381" s="94">
        <v>2.3683218864072799</v>
      </c>
      <c r="H381" s="94">
        <v>74.395399475097662</v>
      </c>
      <c r="I381" s="94">
        <v>13.676440734863281</v>
      </c>
      <c r="J381" s="94">
        <v>3199.0099122098977</v>
      </c>
      <c r="K381" s="94">
        <v>2.5150000000000001</v>
      </c>
      <c r="L381" s="94">
        <v>0</v>
      </c>
      <c r="M381" s="94">
        <v>0</v>
      </c>
      <c r="N381" s="94">
        <v>0</v>
      </c>
      <c r="O381" s="94">
        <v>0</v>
      </c>
    </row>
    <row r="382" spans="1:15" x14ac:dyDescent="0.25">
      <c r="A382" s="89">
        <v>44751.833333333336</v>
      </c>
      <c r="B382" s="94">
        <v>359.25</v>
      </c>
      <c r="C382" s="94">
        <v>300.58</v>
      </c>
      <c r="D382" s="94">
        <v>1.973633905519468</v>
      </c>
      <c r="E382" s="94">
        <v>0</v>
      </c>
      <c r="F382" s="94">
        <v>42.6</v>
      </c>
      <c r="G382" s="94">
        <v>2.4192658645330725</v>
      </c>
      <c r="H382" s="94">
        <v>74.288322011324041</v>
      </c>
      <c r="I382" s="94">
        <v>13.693218981923444</v>
      </c>
      <c r="J382" s="94">
        <v>3205</v>
      </c>
      <c r="K382" s="94">
        <v>2.5167752310232512</v>
      </c>
      <c r="L382" s="94">
        <v>0</v>
      </c>
      <c r="M382" s="94">
        <v>0</v>
      </c>
      <c r="N382" s="94">
        <v>0</v>
      </c>
      <c r="O382" s="94">
        <v>0</v>
      </c>
    </row>
    <row r="383" spans="1:15" x14ac:dyDescent="0.25">
      <c r="A383" s="89">
        <v>44752.333333333336</v>
      </c>
      <c r="B383" s="94">
        <v>359.25</v>
      </c>
      <c r="C383" s="94">
        <v>300.58026629758746</v>
      </c>
      <c r="D383" s="94">
        <v>1.7</v>
      </c>
      <c r="E383" s="94">
        <v>0</v>
      </c>
      <c r="F383" s="94">
        <v>42.212105515801696</v>
      </c>
      <c r="G383" s="94">
        <v>2.3895003201121918</v>
      </c>
      <c r="H383" s="94">
        <v>74.322470838820166</v>
      </c>
      <c r="I383" s="94">
        <v>13.835298767089844</v>
      </c>
      <c r="J383" s="94">
        <v>3201.9666654913071</v>
      </c>
      <c r="K383" s="94">
        <v>2.515543654786597</v>
      </c>
      <c r="L383" s="94">
        <v>0</v>
      </c>
      <c r="M383" s="94">
        <v>0</v>
      </c>
      <c r="N383" s="94">
        <v>0</v>
      </c>
      <c r="O383" s="94">
        <v>0</v>
      </c>
    </row>
    <row r="384" spans="1:15" x14ac:dyDescent="0.25">
      <c r="A384" s="89">
        <v>44752.833333333336</v>
      </c>
      <c r="B384" s="94">
        <v>359.25</v>
      </c>
      <c r="C384" s="94">
        <v>300.36</v>
      </c>
      <c r="D384" s="94">
        <v>1.9869302769818529</v>
      </c>
      <c r="E384" s="94">
        <v>0</v>
      </c>
      <c r="F384" s="94">
        <v>41.090314613652744</v>
      </c>
      <c r="G384" s="94">
        <v>2.3688564432200798</v>
      </c>
      <c r="H384" s="94">
        <v>51.904739131309306</v>
      </c>
      <c r="I384" s="94">
        <v>7.7803417241536845</v>
      </c>
      <c r="J384" s="94">
        <v>2194</v>
      </c>
      <c r="K384" s="94">
        <v>2.2810000000000001</v>
      </c>
      <c r="L384" s="94">
        <v>0</v>
      </c>
      <c r="M384" s="94">
        <v>0</v>
      </c>
      <c r="N384" s="94">
        <v>0</v>
      </c>
      <c r="O384" s="94">
        <v>0</v>
      </c>
    </row>
    <row r="385" spans="1:15" x14ac:dyDescent="0.25">
      <c r="A385" s="89">
        <v>44753.333333333336</v>
      </c>
      <c r="B385" s="94">
        <v>359.29867138470024</v>
      </c>
      <c r="C385" s="94">
        <v>300.36540064891085</v>
      </c>
      <c r="D385" s="94">
        <v>1.5768831231359315</v>
      </c>
      <c r="E385" s="94">
        <v>0</v>
      </c>
      <c r="F385" s="94">
        <v>40.799999999999997</v>
      </c>
      <c r="G385" s="94">
        <v>2.38</v>
      </c>
      <c r="H385" s="94">
        <v>51.646526923546425</v>
      </c>
      <c r="I385" s="94">
        <v>7.4718017264962464</v>
      </c>
      <c r="J385" s="94">
        <v>2181.5928114608332</v>
      </c>
      <c r="K385" s="94">
        <v>2.2771088297887161</v>
      </c>
      <c r="L385" s="94">
        <v>0</v>
      </c>
      <c r="M385" s="94">
        <v>0</v>
      </c>
      <c r="N385" s="94">
        <v>0</v>
      </c>
      <c r="O385" s="94">
        <v>0</v>
      </c>
    </row>
    <row r="386" spans="1:15" x14ac:dyDescent="0.25">
      <c r="A386" s="89">
        <v>44753.833333333336</v>
      </c>
      <c r="B386" s="94">
        <v>359.34</v>
      </c>
      <c r="C386" s="94">
        <v>300.54000000000002</v>
      </c>
      <c r="D386" s="94">
        <v>1.8</v>
      </c>
      <c r="E386" s="94">
        <v>0</v>
      </c>
      <c r="F386" s="94">
        <v>36.471470486508601</v>
      </c>
      <c r="G386" s="94">
        <v>2.4</v>
      </c>
      <c r="H386" s="94">
        <v>69.953948078323847</v>
      </c>
      <c r="I386" s="94">
        <v>12.605073169256817</v>
      </c>
      <c r="J386" s="94">
        <v>2999.5923225200386</v>
      </c>
      <c r="K386" s="94">
        <v>2.4723194737131053</v>
      </c>
      <c r="L386" s="94">
        <v>0</v>
      </c>
      <c r="M386" s="94">
        <v>0</v>
      </c>
      <c r="N386" s="94">
        <v>0</v>
      </c>
      <c r="O386" s="94">
        <v>0</v>
      </c>
    </row>
    <row r="387" spans="1:15" x14ac:dyDescent="0.25">
      <c r="A387" s="89">
        <v>44754.333333333336</v>
      </c>
      <c r="B387" s="94">
        <v>359.35898680340625</v>
      </c>
      <c r="C387" s="94">
        <v>300.53910954562105</v>
      </c>
      <c r="D387" s="94">
        <v>1.5</v>
      </c>
      <c r="E387" s="94">
        <v>0</v>
      </c>
      <c r="F387" s="94">
        <v>36.071256029084246</v>
      </c>
      <c r="G387" s="94">
        <v>2.3525927905911104</v>
      </c>
      <c r="H387" s="94">
        <v>70.395721063631797</v>
      </c>
      <c r="I387" s="94">
        <v>12.78358668312983</v>
      </c>
      <c r="J387" s="94">
        <v>3006</v>
      </c>
      <c r="K387" s="94">
        <v>2.473188786509978</v>
      </c>
      <c r="L387" s="94">
        <v>0</v>
      </c>
      <c r="M387" s="94">
        <v>0</v>
      </c>
      <c r="N387" s="94">
        <v>0</v>
      </c>
      <c r="O387" s="94">
        <v>0</v>
      </c>
    </row>
    <row r="388" spans="1:15" x14ac:dyDescent="0.25">
      <c r="A388" s="89">
        <v>44754.833333333336</v>
      </c>
      <c r="B388" s="94">
        <v>359.37</v>
      </c>
      <c r="C388" s="94">
        <v>300.49864065824289</v>
      </c>
      <c r="D388" s="94">
        <v>1.8</v>
      </c>
      <c r="E388" s="94">
        <v>0</v>
      </c>
      <c r="F388" s="94">
        <v>76.099999999999994</v>
      </c>
      <c r="G388" s="94">
        <v>6.1792505506733848</v>
      </c>
      <c r="H388" s="94">
        <v>48.88497696739563</v>
      </c>
      <c r="I388" s="94">
        <v>6.7575622558593746</v>
      </c>
      <c r="J388" s="94">
        <v>2703.2091360908298</v>
      </c>
      <c r="K388" s="94">
        <v>2.4055851520001181</v>
      </c>
      <c r="L388" s="94">
        <v>0</v>
      </c>
      <c r="M388" s="94">
        <v>0</v>
      </c>
      <c r="N388" s="94">
        <v>0</v>
      </c>
      <c r="O388" s="94">
        <v>0</v>
      </c>
    </row>
    <row r="389" spans="1:15" x14ac:dyDescent="0.25">
      <c r="A389" s="89">
        <v>44755.333333333336</v>
      </c>
      <c r="B389" s="94">
        <v>359.37639022364834</v>
      </c>
      <c r="C389" s="94">
        <v>300.49269160155575</v>
      </c>
      <c r="D389" s="94">
        <v>1.7643869209279539</v>
      </c>
      <c r="E389" s="94">
        <v>0</v>
      </c>
      <c r="F389" s="94">
        <v>76.015654384978362</v>
      </c>
      <c r="G389" s="94">
        <v>6.1526352725326809</v>
      </c>
      <c r="H389" s="94">
        <v>48.951950052850506</v>
      </c>
      <c r="I389" s="94">
        <v>6.938079833984375</v>
      </c>
      <c r="J389" s="94">
        <v>2712</v>
      </c>
      <c r="K389" s="94">
        <v>2.4083061821597576</v>
      </c>
      <c r="L389" s="94">
        <v>0</v>
      </c>
      <c r="M389" s="94">
        <v>0</v>
      </c>
      <c r="N389" s="94">
        <v>0</v>
      </c>
      <c r="O389" s="94">
        <v>0</v>
      </c>
    </row>
    <row r="390" spans="1:15" x14ac:dyDescent="0.25">
      <c r="A390" s="89">
        <v>44755.833333333336</v>
      </c>
      <c r="B390" s="94">
        <v>359.38</v>
      </c>
      <c r="C390" s="94">
        <v>300.53172078074027</v>
      </c>
      <c r="D390" s="94">
        <v>81.438353056066177</v>
      </c>
      <c r="E390" s="94">
        <v>6.7622143567005581</v>
      </c>
      <c r="F390" s="94">
        <v>82.3</v>
      </c>
      <c r="G390" s="94">
        <v>6.7407239072950693</v>
      </c>
      <c r="H390" s="94">
        <v>0.7</v>
      </c>
      <c r="I390" s="94">
        <v>0</v>
      </c>
      <c r="J390" s="94">
        <v>551.49272708791318</v>
      </c>
      <c r="K390" s="94">
        <v>0.51668271484016004</v>
      </c>
      <c r="L390" s="94">
        <v>0</v>
      </c>
      <c r="M390" s="94">
        <v>0</v>
      </c>
      <c r="N390" s="94">
        <v>0</v>
      </c>
      <c r="O390" s="94">
        <v>0</v>
      </c>
    </row>
    <row r="391" spans="1:15" x14ac:dyDescent="0.25">
      <c r="A391" s="89">
        <v>44756.333333333336</v>
      </c>
      <c r="B391" s="94">
        <v>359.39301435250104</v>
      </c>
      <c r="C391" s="94">
        <v>300.52999999999997</v>
      </c>
      <c r="D391" s="94">
        <v>80.900000000000006</v>
      </c>
      <c r="E391" s="94">
        <v>6.7614517319879406</v>
      </c>
      <c r="F391" s="94">
        <v>81.8</v>
      </c>
      <c r="G391" s="94">
        <v>6.754084007942569</v>
      </c>
      <c r="H391" s="94">
        <v>0.7</v>
      </c>
      <c r="I391" s="94">
        <v>0</v>
      </c>
      <c r="J391" s="94">
        <v>2589.210130257648</v>
      </c>
      <c r="K391" s="94">
        <v>2.3784452732080514</v>
      </c>
      <c r="L391" s="94">
        <v>0</v>
      </c>
      <c r="M391" s="94">
        <v>0</v>
      </c>
      <c r="N391" s="94">
        <v>0</v>
      </c>
      <c r="O391" s="94">
        <v>0</v>
      </c>
    </row>
    <row r="392" spans="1:15" x14ac:dyDescent="0.25">
      <c r="A392" s="89">
        <v>44756.833333333336</v>
      </c>
      <c r="B392" s="94">
        <v>359.4</v>
      </c>
      <c r="C392" s="94">
        <v>300.52999999999997</v>
      </c>
      <c r="D392" s="94">
        <v>81.8</v>
      </c>
      <c r="E392" s="94">
        <v>6.8891207451105929</v>
      </c>
      <c r="F392" s="94">
        <v>82.532023162493019</v>
      </c>
      <c r="G392" s="94">
        <v>6.7503327884996089</v>
      </c>
      <c r="H392" s="94">
        <v>0.65046660567246106</v>
      </c>
      <c r="I392" s="94">
        <v>0</v>
      </c>
      <c r="J392" s="94">
        <v>2627.0081697488363</v>
      </c>
      <c r="K392" s="94">
        <v>2.3873722657579086</v>
      </c>
      <c r="L392" s="94">
        <v>0</v>
      </c>
      <c r="M392" s="94">
        <v>0</v>
      </c>
      <c r="N392" s="94">
        <v>0</v>
      </c>
      <c r="O392" s="94">
        <v>0</v>
      </c>
    </row>
    <row r="393" spans="1:15" x14ac:dyDescent="0.25">
      <c r="A393" s="89">
        <v>44757.333333333336</v>
      </c>
      <c r="B393" s="94">
        <v>359.40667386782627</v>
      </c>
      <c r="C393" s="94">
        <v>300.53331684727192</v>
      </c>
      <c r="D393" s="94">
        <v>81.877799987792969</v>
      </c>
      <c r="E393" s="94">
        <v>6.86</v>
      </c>
      <c r="F393" s="94">
        <v>82.211116116045659</v>
      </c>
      <c r="G393" s="94">
        <v>6.7691378896196737</v>
      </c>
      <c r="H393" s="94">
        <v>1.5639373600019892</v>
      </c>
      <c r="I393" s="94">
        <v>0</v>
      </c>
      <c r="J393" s="94">
        <v>2617.0387067335573</v>
      </c>
      <c r="K393" s="94">
        <v>2.3853827818445255</v>
      </c>
      <c r="L393" s="94">
        <v>0</v>
      </c>
      <c r="M393" s="94">
        <v>0</v>
      </c>
      <c r="N393" s="94">
        <v>0</v>
      </c>
      <c r="O393" s="94">
        <v>0</v>
      </c>
    </row>
    <row r="394" spans="1:15" x14ac:dyDescent="0.25">
      <c r="A394" s="89">
        <v>44757.833333333336</v>
      </c>
      <c r="B394" s="94">
        <v>359.41</v>
      </c>
      <c r="C394" s="94">
        <v>300.53270845546467</v>
      </c>
      <c r="D394" s="94">
        <v>81.71315345019427</v>
      </c>
      <c r="E394" s="94">
        <v>6.8502533292670531</v>
      </c>
      <c r="F394" s="94">
        <v>82.349777560763897</v>
      </c>
      <c r="G394" s="94">
        <v>6.7394988227379757</v>
      </c>
      <c r="H394" s="94">
        <v>1.6</v>
      </c>
      <c r="I394" s="94">
        <v>0</v>
      </c>
      <c r="J394" s="94">
        <v>2617.0400444731195</v>
      </c>
      <c r="K394" s="94">
        <v>2.3853827703069732</v>
      </c>
      <c r="L394" s="94">
        <v>0</v>
      </c>
      <c r="M394" s="94">
        <v>0</v>
      </c>
      <c r="N394" s="94">
        <v>0</v>
      </c>
      <c r="O394" s="94">
        <v>0</v>
      </c>
    </row>
    <row r="395" spans="1:15" x14ac:dyDescent="0.25">
      <c r="A395" s="89">
        <v>44758.333333333336</v>
      </c>
      <c r="B395" s="94">
        <v>359.41</v>
      </c>
      <c r="C395" s="94">
        <v>300.53052617100303</v>
      </c>
      <c r="D395" s="94">
        <v>82.558453462048931</v>
      </c>
      <c r="E395" s="94">
        <v>6.85</v>
      </c>
      <c r="F395" s="94">
        <v>82.1252201439885</v>
      </c>
      <c r="G395" s="94">
        <v>6.7628029203769602</v>
      </c>
      <c r="H395" s="94">
        <v>1.6</v>
      </c>
      <c r="I395" s="94">
        <v>0</v>
      </c>
      <c r="J395" s="94">
        <v>2613.9995415463595</v>
      </c>
      <c r="K395" s="94">
        <v>2.3840693345381618</v>
      </c>
      <c r="L395" s="94">
        <v>0</v>
      </c>
      <c r="M395" s="94">
        <v>0</v>
      </c>
      <c r="N395" s="94">
        <v>0</v>
      </c>
      <c r="O395" s="94">
        <v>0</v>
      </c>
    </row>
    <row r="396" spans="1:15" x14ac:dyDescent="0.25">
      <c r="A396" s="89">
        <v>44758.833333333336</v>
      </c>
      <c r="B396" s="94">
        <v>359.41</v>
      </c>
      <c r="C396" s="94">
        <v>300.53039253718163</v>
      </c>
      <c r="D396" s="94">
        <v>81.813001223568605</v>
      </c>
      <c r="E396" s="94">
        <v>6.82729712391746</v>
      </c>
      <c r="F396" s="94">
        <v>82.362819036580063</v>
      </c>
      <c r="G396" s="94">
        <v>6.7680983241844599</v>
      </c>
      <c r="H396" s="94">
        <v>1.6</v>
      </c>
      <c r="I396" s="94">
        <v>0</v>
      </c>
      <c r="J396" s="94">
        <v>2611.6806394657388</v>
      </c>
      <c r="K396" s="94">
        <v>2.3841968560536131</v>
      </c>
      <c r="L396" s="94">
        <v>0</v>
      </c>
      <c r="M396" s="94">
        <v>0</v>
      </c>
      <c r="N396" s="94">
        <v>0</v>
      </c>
      <c r="O396" s="94">
        <v>0</v>
      </c>
    </row>
    <row r="397" spans="1:15" x14ac:dyDescent="0.25">
      <c r="A397" s="89">
        <v>44759.333333333336</v>
      </c>
      <c r="B397" s="94">
        <v>359.41</v>
      </c>
      <c r="C397" s="94">
        <v>300.52999999999997</v>
      </c>
      <c r="D397" s="94">
        <v>83.6</v>
      </c>
      <c r="E397" s="94">
        <v>6.8474660484749927</v>
      </c>
      <c r="F397" s="94">
        <v>82.26858537443384</v>
      </c>
      <c r="G397" s="94">
        <v>6.77</v>
      </c>
      <c r="H397" s="94">
        <v>1.6</v>
      </c>
      <c r="I397" s="94">
        <v>0</v>
      </c>
      <c r="J397" s="94">
        <v>2622.9661322578836</v>
      </c>
      <c r="K397" s="94">
        <v>2.3882147417316206</v>
      </c>
      <c r="L397" s="94">
        <v>0</v>
      </c>
      <c r="M397" s="94">
        <v>0</v>
      </c>
      <c r="N397" s="94">
        <v>0</v>
      </c>
      <c r="O397" s="94">
        <v>0</v>
      </c>
    </row>
    <row r="398" spans="1:15" x14ac:dyDescent="0.25">
      <c r="A398" s="89">
        <v>44759.833333333336</v>
      </c>
      <c r="B398" s="94">
        <v>359.41</v>
      </c>
      <c r="C398" s="94">
        <v>300.41762765193749</v>
      </c>
      <c r="D398" s="94">
        <v>72.306584150206362</v>
      </c>
      <c r="E398" s="94">
        <v>5.65724717813994</v>
      </c>
      <c r="F398" s="94">
        <v>65.850728922729388</v>
      </c>
      <c r="G398" s="94">
        <v>5.5440331013997399</v>
      </c>
      <c r="H398" s="94">
        <v>1.6</v>
      </c>
      <c r="I398" s="94">
        <v>0</v>
      </c>
      <c r="J398" s="94">
        <v>2162.704380222101</v>
      </c>
      <c r="K398" s="94">
        <v>2.2723870111951356</v>
      </c>
      <c r="L398" s="94">
        <v>0</v>
      </c>
      <c r="M398" s="94">
        <v>0</v>
      </c>
      <c r="N398" s="94">
        <v>0</v>
      </c>
      <c r="O398" s="94">
        <v>0</v>
      </c>
    </row>
    <row r="399" spans="1:15" x14ac:dyDescent="0.25">
      <c r="A399" s="89">
        <v>44760.333333333336</v>
      </c>
      <c r="B399" s="94">
        <v>359.4578706946059</v>
      </c>
      <c r="C399" s="94">
        <v>300.41028889556981</v>
      </c>
      <c r="D399" s="94">
        <v>70.984178854464318</v>
      </c>
      <c r="E399" s="94">
        <v>5.6351501821431027</v>
      </c>
      <c r="F399" s="94">
        <v>65.758426612438811</v>
      </c>
      <c r="G399" s="94">
        <v>5.5163969808859328</v>
      </c>
      <c r="H399" s="94">
        <v>1.6</v>
      </c>
      <c r="I399" s="94">
        <v>0</v>
      </c>
      <c r="J399" s="94">
        <v>2160</v>
      </c>
      <c r="K399" s="94">
        <v>2.2699550858641326</v>
      </c>
      <c r="L399" s="94">
        <v>0</v>
      </c>
      <c r="M399" s="94">
        <v>0</v>
      </c>
      <c r="N399" s="94">
        <v>0</v>
      </c>
      <c r="O399" s="94">
        <v>0</v>
      </c>
    </row>
    <row r="400" spans="1:15" x14ac:dyDescent="0.25">
      <c r="A400" s="89">
        <v>44760.833333333336</v>
      </c>
      <c r="B400" s="94">
        <v>359.48</v>
      </c>
      <c r="C400" s="94">
        <v>300.32</v>
      </c>
      <c r="D400" s="94">
        <v>58.317879028481848</v>
      </c>
      <c r="E400" s="94">
        <v>4.5807682809713262</v>
      </c>
      <c r="F400" s="94">
        <v>63.2</v>
      </c>
      <c r="G400" s="94">
        <v>4.6008801269531254</v>
      </c>
      <c r="H400" s="94">
        <v>1.6</v>
      </c>
      <c r="I400" s="94">
        <v>0</v>
      </c>
      <c r="J400" s="94">
        <v>1826.4028501014332</v>
      </c>
      <c r="K400" s="94">
        <v>2.1766274036578892</v>
      </c>
      <c r="L400" s="94">
        <v>0</v>
      </c>
      <c r="M400" s="94">
        <v>0</v>
      </c>
      <c r="N400" s="94">
        <v>0</v>
      </c>
      <c r="O400" s="94">
        <v>0</v>
      </c>
    </row>
    <row r="401" spans="1:15" x14ac:dyDescent="0.25">
      <c r="A401" s="89">
        <v>44761.333333333336</v>
      </c>
      <c r="B401" s="94">
        <v>359.50777671569671</v>
      </c>
      <c r="C401" s="94">
        <v>300.32</v>
      </c>
      <c r="D401" s="94">
        <v>58.8</v>
      </c>
      <c r="E401" s="94">
        <v>4.6583174229811677</v>
      </c>
      <c r="F401" s="94">
        <v>62.7</v>
      </c>
      <c r="G401" s="94">
        <v>4.6086798095703125</v>
      </c>
      <c r="H401" s="94">
        <v>1.6</v>
      </c>
      <c r="I401" s="94">
        <v>0</v>
      </c>
      <c r="J401" s="94">
        <v>1824</v>
      </c>
      <c r="K401" s="94">
        <v>2.1760000000000002</v>
      </c>
      <c r="L401" s="94">
        <v>0</v>
      </c>
      <c r="M401" s="94">
        <v>0</v>
      </c>
      <c r="N401" s="94">
        <v>0</v>
      </c>
      <c r="O401" s="94">
        <v>0</v>
      </c>
    </row>
    <row r="402" spans="1:15" x14ac:dyDescent="0.25">
      <c r="A402" s="89">
        <v>44761.833333333336</v>
      </c>
      <c r="B402" s="94">
        <v>359.52</v>
      </c>
      <c r="C402" s="94">
        <v>300.61491333007814</v>
      </c>
      <c r="D402" s="94">
        <v>81.525349828961211</v>
      </c>
      <c r="E402" s="94">
        <v>6.74480022349774</v>
      </c>
      <c r="F402" s="94">
        <v>79.235929790296055</v>
      </c>
      <c r="G402" s="94">
        <v>6.8182466634114585</v>
      </c>
      <c r="H402" s="94">
        <v>1.6</v>
      </c>
      <c r="I402" s="94">
        <v>0</v>
      </c>
      <c r="J402" s="94">
        <v>2961.0484654371121</v>
      </c>
      <c r="K402" s="94">
        <v>2.4641562918040987</v>
      </c>
      <c r="L402" s="94">
        <v>0</v>
      </c>
      <c r="M402" s="94">
        <v>0</v>
      </c>
      <c r="N402" s="94">
        <v>0</v>
      </c>
      <c r="O402" s="94">
        <v>10.491884771894842</v>
      </c>
    </row>
    <row r="403" spans="1:15" x14ac:dyDescent="0.25">
      <c r="A403" s="89">
        <v>44762.333333333336</v>
      </c>
      <c r="B403" s="94">
        <v>359.52706691986447</v>
      </c>
      <c r="C403" s="94">
        <v>300.61</v>
      </c>
      <c r="D403" s="94">
        <v>79.599999999999994</v>
      </c>
      <c r="E403" s="94">
        <v>6.7347542087542092</v>
      </c>
      <c r="F403" s="94">
        <v>78.976228956228951</v>
      </c>
      <c r="G403" s="94">
        <v>6.8253025688355642</v>
      </c>
      <c r="H403" s="94">
        <v>1.6</v>
      </c>
      <c r="I403" s="94">
        <v>0</v>
      </c>
      <c r="J403" s="94">
        <v>2950</v>
      </c>
      <c r="K403" s="94">
        <v>2.4606046297313018</v>
      </c>
      <c r="L403" s="94">
        <v>0</v>
      </c>
      <c r="M403" s="94">
        <v>0</v>
      </c>
      <c r="N403" s="94">
        <v>0</v>
      </c>
      <c r="O403" s="94">
        <v>10</v>
      </c>
    </row>
    <row r="404" spans="1:15" x14ac:dyDescent="0.25">
      <c r="A404" s="89">
        <v>44762.833333333336</v>
      </c>
      <c r="B404" s="94">
        <v>359.53</v>
      </c>
      <c r="C404" s="94">
        <v>300.70701941937364</v>
      </c>
      <c r="D404" s="94">
        <v>41.838626146164984</v>
      </c>
      <c r="E404" s="94">
        <v>2.4809013150860686</v>
      </c>
      <c r="F404" s="94">
        <v>42.2</v>
      </c>
      <c r="G404" s="94">
        <v>2.4316519016343365</v>
      </c>
      <c r="H404" s="94">
        <v>71.080747549874445</v>
      </c>
      <c r="I404" s="94">
        <v>13.064726837596416</v>
      </c>
      <c r="J404" s="94">
        <v>3696.9931024695206</v>
      </c>
      <c r="K404" s="94">
        <v>2.6161146764542154</v>
      </c>
      <c r="L404" s="94">
        <v>0</v>
      </c>
      <c r="M404" s="94">
        <v>0</v>
      </c>
      <c r="N404" s="94">
        <v>0</v>
      </c>
      <c r="O404" s="94">
        <v>0</v>
      </c>
    </row>
    <row r="405" spans="1:15" x14ac:dyDescent="0.25">
      <c r="A405" s="89">
        <v>44763.333333333336</v>
      </c>
      <c r="B405" s="94">
        <v>359.53</v>
      </c>
      <c r="C405" s="94">
        <v>300.7</v>
      </c>
      <c r="D405" s="94">
        <v>43.028403734840786</v>
      </c>
      <c r="E405" s="94">
        <v>2.48</v>
      </c>
      <c r="F405" s="94">
        <v>42.199178266939562</v>
      </c>
      <c r="G405" s="94">
        <v>2.4959991455078123</v>
      </c>
      <c r="H405" s="94">
        <v>70.239194680932499</v>
      </c>
      <c r="I405" s="94">
        <v>12.832723648638328</v>
      </c>
      <c r="J405" s="94">
        <v>3665.1978141438713</v>
      </c>
      <c r="K405" s="94">
        <v>2.6089396150149842</v>
      </c>
      <c r="L405" s="94">
        <v>0</v>
      </c>
      <c r="M405" s="94">
        <v>0</v>
      </c>
      <c r="N405" s="94">
        <v>0</v>
      </c>
      <c r="O405" s="94">
        <v>0</v>
      </c>
    </row>
    <row r="406" spans="1:15" x14ac:dyDescent="0.25">
      <c r="A406" s="89">
        <v>44763.833333333336</v>
      </c>
      <c r="B406" s="94">
        <v>359.53</v>
      </c>
      <c r="C406" s="94">
        <v>300.38988042262423</v>
      </c>
      <c r="D406" s="94">
        <v>84.301606051358874</v>
      </c>
      <c r="E406" s="94">
        <v>6.9826527978249748</v>
      </c>
      <c r="F406" s="94">
        <v>48.968289712160235</v>
      </c>
      <c r="G406" s="94">
        <v>3.2181665078828483</v>
      </c>
      <c r="H406" s="94">
        <v>0.55499098763130084</v>
      </c>
      <c r="I406" s="94">
        <v>0</v>
      </c>
      <c r="J406" s="94">
        <v>2004.0065523923454</v>
      </c>
      <c r="K406" s="94">
        <v>2.2296549341741927</v>
      </c>
      <c r="L406" s="94">
        <v>0</v>
      </c>
      <c r="M406" s="94">
        <v>0</v>
      </c>
      <c r="N406" s="94">
        <v>0</v>
      </c>
      <c r="O406" s="94">
        <v>0</v>
      </c>
    </row>
    <row r="407" spans="1:15" x14ac:dyDescent="0.25">
      <c r="A407" s="89">
        <v>44764.333333333336</v>
      </c>
      <c r="B407" s="94">
        <v>359.53</v>
      </c>
      <c r="C407" s="94">
        <v>300.38106795215037</v>
      </c>
      <c r="D407" s="94">
        <v>83.6</v>
      </c>
      <c r="E407" s="94">
        <v>6.9608003234863283</v>
      </c>
      <c r="F407" s="94">
        <v>50.073689796591999</v>
      </c>
      <c r="G407" s="94">
        <v>3.287870317137219</v>
      </c>
      <c r="H407" s="94">
        <v>0.54557827207866183</v>
      </c>
      <c r="I407" s="94">
        <v>0</v>
      </c>
      <c r="J407" s="94">
        <v>2010</v>
      </c>
      <c r="K407" s="94">
        <v>2.2297891456360461</v>
      </c>
      <c r="L407" s="94">
        <v>0</v>
      </c>
      <c r="M407" s="94">
        <v>0</v>
      </c>
      <c r="N407" s="94">
        <v>0</v>
      </c>
      <c r="O407" s="94">
        <v>0</v>
      </c>
    </row>
    <row r="408" spans="1:15" x14ac:dyDescent="0.25">
      <c r="A408" s="89">
        <v>44764.833333333336</v>
      </c>
      <c r="B408" s="94">
        <v>359.53</v>
      </c>
      <c r="C408" s="94">
        <v>300.46528468682448</v>
      </c>
      <c r="D408" s="94">
        <v>73</v>
      </c>
      <c r="E408" s="94">
        <v>6.02</v>
      </c>
      <c r="F408" s="94">
        <v>76.637930443922059</v>
      </c>
      <c r="G408" s="94">
        <v>6.15</v>
      </c>
      <c r="H408" s="94">
        <v>1.5059952440474376</v>
      </c>
      <c r="I408" s="94">
        <v>0</v>
      </c>
      <c r="J408" s="94">
        <v>2326</v>
      </c>
      <c r="K408" s="94">
        <v>2.3140000000000001</v>
      </c>
      <c r="L408" s="94">
        <v>0</v>
      </c>
      <c r="M408" s="94">
        <v>0</v>
      </c>
      <c r="N408" s="94">
        <v>0</v>
      </c>
      <c r="O408" s="94">
        <v>0</v>
      </c>
    </row>
    <row r="409" spans="1:15" x14ac:dyDescent="0.25">
      <c r="A409" s="89">
        <v>44765.333333333336</v>
      </c>
      <c r="B409" s="94">
        <v>359.53</v>
      </c>
      <c r="C409" s="94">
        <v>300.47000000000003</v>
      </c>
      <c r="D409" s="94">
        <v>74.035200042724611</v>
      </c>
      <c r="E409" s="94">
        <v>6.0496058997891478</v>
      </c>
      <c r="F409" s="94">
        <v>75.583967081705723</v>
      </c>
      <c r="G409" s="94">
        <v>6.1504196518398837</v>
      </c>
      <c r="H409" s="94">
        <v>1.5082692538748048</v>
      </c>
      <c r="I409" s="94">
        <v>0</v>
      </c>
      <c r="J409" s="94">
        <v>2326</v>
      </c>
      <c r="K409" s="94">
        <v>2.3148051523372826</v>
      </c>
      <c r="L409" s="94">
        <v>0</v>
      </c>
      <c r="M409" s="94">
        <v>0</v>
      </c>
      <c r="N409" s="94">
        <v>0</v>
      </c>
      <c r="O409" s="94">
        <v>0</v>
      </c>
    </row>
    <row r="410" spans="1:15" x14ac:dyDescent="0.25">
      <c r="A410" s="89">
        <v>44765.833333333336</v>
      </c>
      <c r="B410" s="94">
        <v>359.53</v>
      </c>
      <c r="C410" s="94">
        <v>300.51374066723446</v>
      </c>
      <c r="D410" s="94">
        <v>80.900000000000006</v>
      </c>
      <c r="E410" s="94">
        <v>6.6596808258114777</v>
      </c>
      <c r="F410" s="94">
        <v>81.132650166618788</v>
      </c>
      <c r="G410" s="94">
        <v>6.6395790841678766</v>
      </c>
      <c r="H410" s="94">
        <v>1.5179355000693762</v>
      </c>
      <c r="I410" s="94">
        <v>0</v>
      </c>
      <c r="J410" s="94">
        <v>2527.9978872101369</v>
      </c>
      <c r="K410" s="94">
        <v>2.3660000000000001</v>
      </c>
      <c r="L410" s="94">
        <v>0</v>
      </c>
      <c r="M410" s="94">
        <v>0</v>
      </c>
      <c r="N410" s="94">
        <v>0</v>
      </c>
      <c r="O410" s="94">
        <v>0</v>
      </c>
    </row>
    <row r="411" spans="1:15" x14ac:dyDescent="0.25">
      <c r="A411" s="89">
        <v>44766.333333333336</v>
      </c>
      <c r="B411" s="94">
        <v>359.53</v>
      </c>
      <c r="C411" s="94">
        <v>300.51131000518797</v>
      </c>
      <c r="D411" s="94">
        <v>79.183622233072924</v>
      </c>
      <c r="E411" s="94">
        <v>6.6352600097656254</v>
      </c>
      <c r="F411" s="94">
        <v>80.847399902343753</v>
      </c>
      <c r="G411" s="94">
        <v>6.6150307988991033</v>
      </c>
      <c r="H411" s="94">
        <v>1.6</v>
      </c>
      <c r="I411" s="94">
        <v>0</v>
      </c>
      <c r="J411" s="94">
        <v>2510.034428036482</v>
      </c>
      <c r="K411" s="94">
        <v>2.3610017430575079</v>
      </c>
      <c r="L411" s="94">
        <v>0</v>
      </c>
      <c r="M411" s="94">
        <v>0</v>
      </c>
      <c r="N411" s="94">
        <v>0</v>
      </c>
      <c r="O411" s="94">
        <v>0</v>
      </c>
    </row>
    <row r="412" spans="1:15" x14ac:dyDescent="0.25">
      <c r="A412" s="89">
        <v>44766.833333333336</v>
      </c>
      <c r="B412" s="94">
        <v>359.53</v>
      </c>
      <c r="C412" s="94">
        <v>300.32</v>
      </c>
      <c r="D412" s="94">
        <v>79.099999999999994</v>
      </c>
      <c r="E412" s="94">
        <v>6.6488155988348154</v>
      </c>
      <c r="F412" s="94">
        <v>37.799999999999997</v>
      </c>
      <c r="G412" s="94">
        <v>2.4528305847988805</v>
      </c>
      <c r="H412" s="94">
        <v>1.6</v>
      </c>
      <c r="I412" s="94">
        <v>0</v>
      </c>
      <c r="J412" s="94">
        <v>1798.3864304492024</v>
      </c>
      <c r="K412" s="94">
        <v>2.1709999999999998</v>
      </c>
      <c r="L412" s="94">
        <v>0</v>
      </c>
      <c r="M412" s="94">
        <v>0</v>
      </c>
      <c r="N412" s="94">
        <v>0</v>
      </c>
      <c r="O412" s="94">
        <v>0</v>
      </c>
    </row>
    <row r="413" spans="1:15" x14ac:dyDescent="0.25">
      <c r="A413" s="89">
        <v>44767.333333333336</v>
      </c>
      <c r="B413" s="94">
        <v>359.58424946869746</v>
      </c>
      <c r="C413" s="94">
        <v>300.32</v>
      </c>
      <c r="D413" s="94">
        <v>77.599999999999994</v>
      </c>
      <c r="E413" s="94">
        <v>6.6552001953125002</v>
      </c>
      <c r="F413" s="94">
        <v>37.361072288780164</v>
      </c>
      <c r="G413" s="94">
        <v>2.4540374667486939</v>
      </c>
      <c r="H413" s="94">
        <v>1.6</v>
      </c>
      <c r="I413" s="94">
        <v>0</v>
      </c>
      <c r="J413" s="94">
        <v>1807.9853408466331</v>
      </c>
      <c r="K413" s="94">
        <v>2.1705972393144495</v>
      </c>
      <c r="L413" s="94">
        <v>0</v>
      </c>
      <c r="M413" s="94">
        <v>0</v>
      </c>
      <c r="N413" s="94">
        <v>0</v>
      </c>
      <c r="O413" s="94">
        <v>0</v>
      </c>
    </row>
    <row r="414" spans="1:15" x14ac:dyDescent="0.25">
      <c r="A414" s="89">
        <v>44767.833333333336</v>
      </c>
      <c r="B414" s="94">
        <v>359.6</v>
      </c>
      <c r="C414" s="94">
        <v>300.5343103555312</v>
      </c>
      <c r="D414" s="94">
        <v>82.6</v>
      </c>
      <c r="E414" s="94">
        <v>6.8893409270877752</v>
      </c>
      <c r="F414" s="94">
        <v>83.650166940376494</v>
      </c>
      <c r="G414" s="94">
        <v>6.8771571510499916</v>
      </c>
      <c r="H414" s="94">
        <v>1.6</v>
      </c>
      <c r="I414" s="94">
        <v>0</v>
      </c>
      <c r="J414" s="94">
        <v>2634.1745245736488</v>
      </c>
      <c r="K414" s="94">
        <v>2.388693636231122</v>
      </c>
      <c r="L414" s="94">
        <v>0</v>
      </c>
      <c r="M414" s="94">
        <v>0</v>
      </c>
      <c r="N414" s="94">
        <v>0</v>
      </c>
      <c r="O414" s="94">
        <v>0</v>
      </c>
    </row>
    <row r="415" spans="1:15" x14ac:dyDescent="0.25">
      <c r="A415" s="89">
        <v>44768.333333333336</v>
      </c>
      <c r="B415" s="94">
        <v>359.63039367431605</v>
      </c>
      <c r="C415" s="94">
        <v>300.54000000000002</v>
      </c>
      <c r="D415" s="94">
        <v>83.051425888890577</v>
      </c>
      <c r="E415" s="94">
        <v>6.8468488039931277</v>
      </c>
      <c r="F415" s="94">
        <v>83.668488039931276</v>
      </c>
      <c r="G415" s="94">
        <v>6.85</v>
      </c>
      <c r="H415" s="94">
        <v>1.6</v>
      </c>
      <c r="I415" s="94">
        <v>0</v>
      </c>
      <c r="J415" s="94">
        <v>2620</v>
      </c>
      <c r="K415" s="94">
        <v>2.3858805205973144</v>
      </c>
      <c r="L415" s="94">
        <v>0</v>
      </c>
      <c r="M415" s="94">
        <v>0</v>
      </c>
      <c r="N415" s="94">
        <v>0</v>
      </c>
      <c r="O415" s="94">
        <v>0</v>
      </c>
    </row>
    <row r="416" spans="1:15" x14ac:dyDescent="0.25">
      <c r="A416" s="89">
        <v>44768.833333333336</v>
      </c>
      <c r="B416" s="94">
        <v>359.64</v>
      </c>
      <c r="C416" s="94">
        <v>300.14</v>
      </c>
      <c r="D416" s="94">
        <v>44.986906159923137</v>
      </c>
      <c r="E416" s="94">
        <v>3.0288075835180797</v>
      </c>
      <c r="F416" s="94">
        <v>45.6</v>
      </c>
      <c r="G416" s="94">
        <v>2.9315841993296501</v>
      </c>
      <c r="H416" s="94">
        <v>0.63074812755678022</v>
      </c>
      <c r="I416" s="94">
        <v>0</v>
      </c>
      <c r="J416" s="94">
        <v>1264</v>
      </c>
      <c r="K416" s="94">
        <v>1.9923396183693054</v>
      </c>
      <c r="L416" s="94">
        <v>0</v>
      </c>
      <c r="M416" s="94">
        <v>0</v>
      </c>
      <c r="N416" s="94">
        <v>0</v>
      </c>
      <c r="O416" s="94">
        <v>0</v>
      </c>
    </row>
    <row r="417" spans="1:15" x14ac:dyDescent="0.25">
      <c r="A417" s="89">
        <v>44769.333333333336</v>
      </c>
      <c r="B417" s="94">
        <v>359.67853353564504</v>
      </c>
      <c r="C417" s="94">
        <v>300.13401515377268</v>
      </c>
      <c r="D417" s="94">
        <v>45.3</v>
      </c>
      <c r="E417" s="94">
        <v>2.9805401611328124</v>
      </c>
      <c r="F417" s="94">
        <v>47</v>
      </c>
      <c r="G417" s="94">
        <v>2.99</v>
      </c>
      <c r="H417" s="94">
        <v>0.7</v>
      </c>
      <c r="I417" s="94">
        <v>0</v>
      </c>
      <c r="J417" s="94">
        <v>1262.396861904281</v>
      </c>
      <c r="K417" s="94">
        <v>1.991174094695491</v>
      </c>
      <c r="L417" s="94">
        <v>0</v>
      </c>
      <c r="M417" s="94">
        <v>0</v>
      </c>
      <c r="N417" s="94">
        <v>0</v>
      </c>
      <c r="O417" s="94">
        <v>0</v>
      </c>
    </row>
    <row r="418" spans="1:15" x14ac:dyDescent="0.25">
      <c r="A418" s="89">
        <v>44769.833333333336</v>
      </c>
      <c r="B418" s="94">
        <v>359.69</v>
      </c>
      <c r="C418" s="94">
        <v>300.85000000000002</v>
      </c>
      <c r="D418" s="94">
        <v>48.650748480204605</v>
      </c>
      <c r="E418" s="94">
        <v>3.04767947421638</v>
      </c>
      <c r="F418" s="94">
        <v>49</v>
      </c>
      <c r="G418" s="94">
        <v>3.0273491742500842</v>
      </c>
      <c r="H418" s="94">
        <v>85.889587915064808</v>
      </c>
      <c r="I418" s="94">
        <v>16.943698883056641</v>
      </c>
      <c r="J418" s="94">
        <v>4536.7999320229237</v>
      </c>
      <c r="K418" s="94">
        <v>2.7679999999999998</v>
      </c>
      <c r="L418" s="94">
        <v>0</v>
      </c>
      <c r="M418" s="94">
        <v>0</v>
      </c>
      <c r="N418" s="94">
        <v>0</v>
      </c>
      <c r="O418" s="94">
        <v>0</v>
      </c>
    </row>
    <row r="419" spans="1:15" x14ac:dyDescent="0.25">
      <c r="A419" s="89">
        <v>44770.333333333336</v>
      </c>
      <c r="B419" s="94">
        <v>359.69</v>
      </c>
      <c r="C419" s="94">
        <v>300.85010400390627</v>
      </c>
      <c r="D419" s="94">
        <v>48.2</v>
      </c>
      <c r="E419" s="94">
        <v>3.0969195556640625</v>
      </c>
      <c r="F419" s="94">
        <v>47.259275390049595</v>
      </c>
      <c r="G419" s="94">
        <v>3.0349566428447985</v>
      </c>
      <c r="H419" s="94">
        <v>85.9</v>
      </c>
      <c r="I419" s="94">
        <v>16.776365049846042</v>
      </c>
      <c r="J419" s="94">
        <v>4550</v>
      </c>
      <c r="K419" s="94">
        <v>2.7692911666256657</v>
      </c>
      <c r="L419" s="94">
        <v>0</v>
      </c>
      <c r="M419" s="94">
        <v>0</v>
      </c>
      <c r="N419" s="94">
        <v>0</v>
      </c>
      <c r="O419" s="94">
        <v>0</v>
      </c>
    </row>
    <row r="420" spans="1:15" x14ac:dyDescent="0.25">
      <c r="A420" s="89">
        <v>44770.833333333336</v>
      </c>
      <c r="B420" s="94">
        <v>359.69</v>
      </c>
      <c r="C420" s="94">
        <v>300.04000000000002</v>
      </c>
      <c r="D420" s="94">
        <v>36.700000000000003</v>
      </c>
      <c r="E420" s="94">
        <v>2.2606272457985117</v>
      </c>
      <c r="F420" s="94">
        <v>38.4</v>
      </c>
      <c r="G420" s="94">
        <v>2.2720817597898999</v>
      </c>
      <c r="H420" s="94">
        <v>0.50847644010796544</v>
      </c>
      <c r="I420" s="94">
        <v>0</v>
      </c>
      <c r="J420" s="94">
        <v>994</v>
      </c>
      <c r="K420" s="94">
        <v>1.8879019847923277</v>
      </c>
      <c r="L420" s="94">
        <v>0</v>
      </c>
      <c r="M420" s="94">
        <v>0</v>
      </c>
      <c r="N420" s="94">
        <v>0</v>
      </c>
      <c r="O420" s="94">
        <v>0</v>
      </c>
    </row>
    <row r="421" spans="1:15" x14ac:dyDescent="0.25">
      <c r="A421" s="89">
        <v>44771.333333333336</v>
      </c>
      <c r="B421" s="94">
        <v>359.69</v>
      </c>
      <c r="C421" s="94">
        <v>300.03757385157934</v>
      </c>
      <c r="D421" s="94">
        <v>36.940770904207199</v>
      </c>
      <c r="E421" s="94">
        <v>2.2799132856895974</v>
      </c>
      <c r="F421" s="94">
        <v>37.6</v>
      </c>
      <c r="G421" s="94">
        <v>2.2651850128173829</v>
      </c>
      <c r="H421" s="94">
        <v>1.015779632683788</v>
      </c>
      <c r="I421" s="94">
        <v>0</v>
      </c>
      <c r="J421" s="94">
        <v>997.24330803183625</v>
      </c>
      <c r="K421" s="94">
        <v>1.887</v>
      </c>
      <c r="L421" s="94">
        <v>0</v>
      </c>
      <c r="M421" s="94">
        <v>0</v>
      </c>
      <c r="N421" s="94">
        <v>0</v>
      </c>
      <c r="O421" s="94">
        <v>0</v>
      </c>
    </row>
    <row r="422" spans="1:15" x14ac:dyDescent="0.25">
      <c r="A422" s="89">
        <v>44771.833333333336</v>
      </c>
      <c r="B422" s="94">
        <v>359.6990516913832</v>
      </c>
      <c r="C422" s="94">
        <v>299.8031813793263</v>
      </c>
      <c r="D422" s="94">
        <v>41.693018762457335</v>
      </c>
      <c r="E422" s="94">
        <v>2.871561020314648</v>
      </c>
      <c r="F422" s="94">
        <v>0.6990319015963451</v>
      </c>
      <c r="G422" s="94">
        <v>0</v>
      </c>
      <c r="H422" s="94">
        <v>1.6</v>
      </c>
      <c r="I422" s="94">
        <v>0</v>
      </c>
      <c r="J422" s="94">
        <v>612.60459126622482</v>
      </c>
      <c r="K422" s="94">
        <v>1.6619999999999999</v>
      </c>
      <c r="L422" s="94">
        <v>0</v>
      </c>
      <c r="M422" s="94">
        <v>0</v>
      </c>
      <c r="N422" s="94">
        <v>0</v>
      </c>
      <c r="O422" s="94">
        <v>0</v>
      </c>
    </row>
    <row r="423" spans="1:15" x14ac:dyDescent="0.25">
      <c r="A423" s="89">
        <v>44772.333333333336</v>
      </c>
      <c r="B423" s="94">
        <v>359.7</v>
      </c>
      <c r="C423" s="94">
        <v>299.80967833342373</v>
      </c>
      <c r="D423" s="94">
        <v>40.9</v>
      </c>
      <c r="E423" s="94">
        <v>2.9195554133528354</v>
      </c>
      <c r="F423" s="94">
        <v>0.34198491918831386</v>
      </c>
      <c r="G423" s="94">
        <v>0</v>
      </c>
      <c r="H423" s="94">
        <v>1.7</v>
      </c>
      <c r="I423" s="94">
        <v>6.9395766972709869E-2</v>
      </c>
      <c r="J423" s="94">
        <v>608</v>
      </c>
      <c r="K423" s="94">
        <v>1.6601937282443733</v>
      </c>
      <c r="L423" s="94">
        <v>0</v>
      </c>
      <c r="M423" s="94">
        <v>0</v>
      </c>
      <c r="N423" s="94">
        <v>0</v>
      </c>
      <c r="O423" s="94">
        <v>0</v>
      </c>
    </row>
    <row r="424" spans="1:15" x14ac:dyDescent="0.25">
      <c r="A424" s="89">
        <v>44772.833333333336</v>
      </c>
      <c r="B424" s="94">
        <v>359.7</v>
      </c>
      <c r="C424" s="94">
        <v>300.2</v>
      </c>
      <c r="D424" s="94">
        <v>59</v>
      </c>
      <c r="E424" s="94">
        <v>4.6271699523925784</v>
      </c>
      <c r="F424" s="94">
        <v>44.9</v>
      </c>
      <c r="G424" s="94">
        <v>2.4787606811523437</v>
      </c>
      <c r="H424" s="94">
        <v>1.6370181518403737</v>
      </c>
      <c r="I424" s="94">
        <v>0</v>
      </c>
      <c r="J424" s="94">
        <v>1294.8878877460756</v>
      </c>
      <c r="K424" s="94">
        <v>1.8326599334805775</v>
      </c>
      <c r="L424" s="94">
        <v>0</v>
      </c>
      <c r="M424" s="94">
        <v>0</v>
      </c>
      <c r="N424" s="94">
        <v>0</v>
      </c>
      <c r="O424" s="94">
        <v>0</v>
      </c>
    </row>
    <row r="425" spans="1:15" x14ac:dyDescent="0.25">
      <c r="A425" s="89">
        <v>44773.333333333336</v>
      </c>
      <c r="B425" s="94">
        <v>359.7</v>
      </c>
      <c r="C425" s="94">
        <v>300.2</v>
      </c>
      <c r="D425" s="94">
        <v>58.810067173078174</v>
      </c>
      <c r="E425" s="94">
        <v>4.6532047562039649</v>
      </c>
      <c r="F425" s="94">
        <v>44.4</v>
      </c>
      <c r="G425" s="94">
        <v>2.5042318035662086</v>
      </c>
      <c r="H425" s="94">
        <v>1.7</v>
      </c>
      <c r="I425" s="94">
        <v>0</v>
      </c>
      <c r="J425" s="94">
        <v>1433.484481428816</v>
      </c>
      <c r="K425" s="94">
        <v>2.0546472601049639</v>
      </c>
      <c r="L425" s="94">
        <v>0</v>
      </c>
      <c r="M425" s="94">
        <v>0</v>
      </c>
      <c r="N425" s="94">
        <v>0</v>
      </c>
      <c r="O425" s="94">
        <v>0</v>
      </c>
    </row>
    <row r="426" spans="1:15" x14ac:dyDescent="0.25">
      <c r="A426" s="89">
        <v>44773.833333333336</v>
      </c>
      <c r="B426" s="94">
        <v>359.7</v>
      </c>
      <c r="C426" s="94">
        <v>300.09451400756836</v>
      </c>
      <c r="D426" s="94">
        <v>42.5</v>
      </c>
      <c r="E426" s="94">
        <v>2.72</v>
      </c>
      <c r="F426" s="94">
        <v>44.240976589690675</v>
      </c>
      <c r="G426" s="94">
        <v>2.6652836147212438</v>
      </c>
      <c r="H426" s="94">
        <v>1.7</v>
      </c>
      <c r="I426" s="94">
        <v>0</v>
      </c>
      <c r="J426" s="94">
        <v>1146</v>
      </c>
      <c r="K426" s="94">
        <v>1.9481061441778555</v>
      </c>
      <c r="L426" s="94">
        <v>0</v>
      </c>
      <c r="M426" s="94">
        <v>0</v>
      </c>
      <c r="N426" s="94">
        <v>0</v>
      </c>
      <c r="O426" s="94">
        <v>0</v>
      </c>
    </row>
    <row r="427" spans="1:15" x14ac:dyDescent="0.25">
      <c r="A427" s="89">
        <v>44774.333333333336</v>
      </c>
      <c r="B427" s="94">
        <v>359.76505936299139</v>
      </c>
      <c r="C427" s="94">
        <v>300.09141998291011</v>
      </c>
      <c r="D427" s="94">
        <v>40.30565800688116</v>
      </c>
      <c r="E427" s="94">
        <v>2.6729745994709666</v>
      </c>
      <c r="F427" s="94">
        <v>42.169740966029359</v>
      </c>
      <c r="G427" s="94">
        <v>2.65</v>
      </c>
      <c r="H427" s="94">
        <v>1.6653601074218749</v>
      </c>
      <c r="I427" s="94">
        <v>0</v>
      </c>
      <c r="J427" s="94">
        <v>1151.6160395942366</v>
      </c>
      <c r="K427" s="94">
        <v>1.950366374073393</v>
      </c>
      <c r="L427" s="94">
        <v>0</v>
      </c>
      <c r="M427" s="94">
        <v>0</v>
      </c>
      <c r="N427" s="94">
        <v>0</v>
      </c>
      <c r="O427" s="94">
        <v>0</v>
      </c>
    </row>
    <row r="428" spans="1:15" x14ac:dyDescent="0.25">
      <c r="A428" s="89">
        <v>44774.833333333336</v>
      </c>
      <c r="B428" s="94">
        <v>359.86</v>
      </c>
      <c r="C428" s="94">
        <v>301.67291171948648</v>
      </c>
      <c r="D428" s="94">
        <v>48.276162334047598</v>
      </c>
      <c r="E428" s="94">
        <v>3.0821959943854988</v>
      </c>
      <c r="F428" s="94">
        <v>74.907334928903282</v>
      </c>
      <c r="G428" s="94">
        <v>5.9686695530600273</v>
      </c>
      <c r="H428" s="94">
        <v>82</v>
      </c>
      <c r="I428" s="94">
        <v>16.064227026036775</v>
      </c>
      <c r="J428" s="94">
        <v>10871.956479183027</v>
      </c>
      <c r="K428" s="94">
        <v>3.6472738081479119</v>
      </c>
      <c r="L428" s="94">
        <v>0</v>
      </c>
      <c r="M428" s="94">
        <v>11</v>
      </c>
      <c r="N428" s="94">
        <v>0</v>
      </c>
      <c r="O428" s="94">
        <v>0</v>
      </c>
    </row>
    <row r="429" spans="1:15" x14ac:dyDescent="0.25">
      <c r="A429" s="89">
        <v>44775.333333333336</v>
      </c>
      <c r="B429" s="94">
        <v>359.84352661094738</v>
      </c>
      <c r="C429" s="94">
        <v>302.14</v>
      </c>
      <c r="D429" s="94">
        <v>87.450870688686663</v>
      </c>
      <c r="E429" s="94">
        <v>6.9573620655351318</v>
      </c>
      <c r="F429" s="94">
        <v>86.172915996855309</v>
      </c>
      <c r="G429" s="94">
        <v>6.9492213745107891</v>
      </c>
      <c r="H429" s="94">
        <v>83.705044216579864</v>
      </c>
      <c r="I429" s="94">
        <v>16.030599971497789</v>
      </c>
      <c r="J429" s="94">
        <v>15678.076187577288</v>
      </c>
      <c r="K429" s="94">
        <v>4.1375162900560634</v>
      </c>
      <c r="L429" s="94">
        <v>0</v>
      </c>
      <c r="M429" s="94">
        <v>11</v>
      </c>
      <c r="N429" s="94">
        <v>0</v>
      </c>
      <c r="O429" s="94">
        <v>0</v>
      </c>
    </row>
    <row r="430" spans="1:15" x14ac:dyDescent="0.25">
      <c r="A430" s="89">
        <v>44775.833333333336</v>
      </c>
      <c r="B430" s="94">
        <v>359.82</v>
      </c>
      <c r="C430" s="94">
        <v>302.51093836222003</v>
      </c>
      <c r="D430" s="94">
        <v>88.499711185787987</v>
      </c>
      <c r="E430" s="94">
        <v>6.9883147301006403</v>
      </c>
      <c r="F430" s="94">
        <v>87.9</v>
      </c>
      <c r="G430" s="94">
        <v>6.95</v>
      </c>
      <c r="H430" s="94">
        <v>83.4</v>
      </c>
      <c r="I430" s="94">
        <v>15.886115057467761</v>
      </c>
      <c r="J430" s="94">
        <v>19391.756623882149</v>
      </c>
      <c r="K430" s="94">
        <v>4.4590015573857427</v>
      </c>
      <c r="L430" s="94">
        <v>34</v>
      </c>
      <c r="M430" s="94">
        <v>34</v>
      </c>
      <c r="N430" s="94">
        <v>34</v>
      </c>
      <c r="O430" s="94">
        <v>34</v>
      </c>
    </row>
    <row r="431" spans="1:15" x14ac:dyDescent="0.25">
      <c r="A431" s="89">
        <v>44776.333333333336</v>
      </c>
      <c r="B431" s="94">
        <v>359.71011444177594</v>
      </c>
      <c r="C431" s="94">
        <v>302.59021702128888</v>
      </c>
      <c r="D431" s="94">
        <v>88.809467557735289</v>
      </c>
      <c r="E431" s="94">
        <v>6.9107407973117461</v>
      </c>
      <c r="F431" s="94">
        <v>88.3</v>
      </c>
      <c r="G431" s="94">
        <v>6.9208009653128864</v>
      </c>
      <c r="H431" s="94">
        <v>84.8</v>
      </c>
      <c r="I431" s="94">
        <v>15.873439941406248</v>
      </c>
      <c r="J431" s="94">
        <v>20284.009020347246</v>
      </c>
      <c r="K431" s="94">
        <v>4.5287844341837111</v>
      </c>
      <c r="L431" s="94">
        <v>66</v>
      </c>
      <c r="M431" s="94">
        <v>66.254668393771013</v>
      </c>
      <c r="N431" s="94">
        <v>33</v>
      </c>
      <c r="O431" s="94">
        <v>33</v>
      </c>
    </row>
    <row r="432" spans="1:15" x14ac:dyDescent="0.25">
      <c r="A432" s="89">
        <v>44776.833333333336</v>
      </c>
      <c r="B432" s="94">
        <v>359.61</v>
      </c>
      <c r="C432" s="94">
        <v>299.79669771185468</v>
      </c>
      <c r="D432" s="94">
        <v>35.450836420792633</v>
      </c>
      <c r="E432" s="94">
        <v>2.3952113043611747</v>
      </c>
      <c r="F432" s="94">
        <v>0.81727844622243939</v>
      </c>
      <c r="G432" s="94">
        <v>0</v>
      </c>
      <c r="H432" s="94">
        <v>0.44859069747656344</v>
      </c>
      <c r="I432" s="94">
        <v>0</v>
      </c>
      <c r="J432" s="94">
        <v>743.08867729165115</v>
      </c>
      <c r="K432" s="94">
        <v>1.7432919268429186</v>
      </c>
      <c r="L432" s="94">
        <v>0</v>
      </c>
      <c r="M432" s="94">
        <v>0</v>
      </c>
      <c r="N432" s="94">
        <v>0</v>
      </c>
      <c r="O432" s="94">
        <v>0</v>
      </c>
    </row>
    <row r="433" spans="1:15" x14ac:dyDescent="0.25">
      <c r="A433" s="89">
        <v>44777.333333333336</v>
      </c>
      <c r="B433" s="94">
        <v>359.63669000452768</v>
      </c>
      <c r="C433" s="94">
        <v>299.74694804889236</v>
      </c>
      <c r="D433" s="94">
        <v>30.103164257079605</v>
      </c>
      <c r="E433" s="94">
        <v>2.0099999999999998</v>
      </c>
      <c r="F433" s="94">
        <v>0.90710227272727273</v>
      </c>
      <c r="G433" s="94">
        <v>0</v>
      </c>
      <c r="H433" s="94">
        <v>0.57144499237622814</v>
      </c>
      <c r="I433" s="94">
        <v>0</v>
      </c>
      <c r="J433" s="94">
        <v>559.60465731570127</v>
      </c>
      <c r="K433" s="94">
        <v>1.6240000000000001</v>
      </c>
      <c r="L433" s="94">
        <v>0</v>
      </c>
      <c r="M433" s="94">
        <v>0</v>
      </c>
      <c r="N433" s="94">
        <v>0</v>
      </c>
      <c r="O433" s="94">
        <v>0</v>
      </c>
    </row>
    <row r="434" spans="1:15" x14ac:dyDescent="0.25">
      <c r="A434" s="89">
        <v>44777.833333333336</v>
      </c>
      <c r="B434" s="94">
        <v>359.64</v>
      </c>
      <c r="C434" s="94">
        <v>299.77999999999997</v>
      </c>
      <c r="D434" s="94">
        <v>2.1</v>
      </c>
      <c r="E434" s="94">
        <v>0</v>
      </c>
      <c r="F434" s="94">
        <v>1.4</v>
      </c>
      <c r="G434" s="94">
        <v>0</v>
      </c>
      <c r="H434" s="94">
        <v>0.6</v>
      </c>
      <c r="I434" s="94">
        <v>0</v>
      </c>
      <c r="J434" s="94">
        <v>690.19656045982799</v>
      </c>
      <c r="K434" s="94">
        <v>1.7156267995976391</v>
      </c>
      <c r="L434" s="94">
        <v>16</v>
      </c>
      <c r="M434" s="94">
        <v>0</v>
      </c>
      <c r="N434" s="94">
        <v>0</v>
      </c>
      <c r="O434" s="94">
        <v>0</v>
      </c>
    </row>
    <row r="435" spans="1:15" x14ac:dyDescent="0.25">
      <c r="A435" s="89">
        <v>44778.333333333336</v>
      </c>
      <c r="B435" s="94">
        <v>359.64</v>
      </c>
      <c r="C435" s="94">
        <v>302.93995426835914</v>
      </c>
      <c r="D435" s="94">
        <v>80.5</v>
      </c>
      <c r="E435" s="94">
        <v>6.9489039916992192</v>
      </c>
      <c r="F435" s="94">
        <v>83.292173587109531</v>
      </c>
      <c r="G435" s="94">
        <v>6.9611330198695587</v>
      </c>
      <c r="H435" s="94">
        <v>79.599999999999994</v>
      </c>
      <c r="I435" s="94">
        <v>15.852617450687479</v>
      </c>
      <c r="J435" s="94">
        <v>25657.704994706994</v>
      </c>
      <c r="K435" s="94">
        <v>4.9337032331144481</v>
      </c>
      <c r="L435" s="94">
        <v>0</v>
      </c>
      <c r="M435" s="94">
        <v>0</v>
      </c>
      <c r="N435" s="94">
        <v>0</v>
      </c>
      <c r="O435" s="94">
        <v>0</v>
      </c>
    </row>
    <row r="436" spans="1:15" x14ac:dyDescent="0.25">
      <c r="A436" s="89">
        <v>44778.833333333336</v>
      </c>
      <c r="B436" s="94">
        <v>359.64</v>
      </c>
      <c r="C436" s="94">
        <v>304.30606876430272</v>
      </c>
      <c r="D436" s="94">
        <v>83.6</v>
      </c>
      <c r="E436" s="94">
        <v>6.9506909929587151</v>
      </c>
      <c r="F436" s="94">
        <v>84.798472091350291</v>
      </c>
      <c r="G436" s="94">
        <v>6.9502708948713634</v>
      </c>
      <c r="H436" s="94">
        <v>80.835441135400004</v>
      </c>
      <c r="I436" s="94">
        <v>15.806037486759898</v>
      </c>
      <c r="J436" s="94">
        <v>95837.489277420711</v>
      </c>
      <c r="K436" s="94">
        <v>8.0076960136627591</v>
      </c>
      <c r="L436" s="94">
        <v>0</v>
      </c>
      <c r="M436" s="94">
        <v>0</v>
      </c>
      <c r="N436" s="94">
        <v>0</v>
      </c>
      <c r="O436" s="94">
        <v>0</v>
      </c>
    </row>
    <row r="437" spans="1:15" x14ac:dyDescent="0.25">
      <c r="A437" s="89">
        <v>44779.333333333336</v>
      </c>
      <c r="B437" s="94">
        <v>359.64</v>
      </c>
      <c r="C437" s="94">
        <v>303.58</v>
      </c>
      <c r="D437" s="94">
        <v>0.57801114968480483</v>
      </c>
      <c r="E437" s="94">
        <v>0</v>
      </c>
      <c r="F437" s="94">
        <v>82.645232162907575</v>
      </c>
      <c r="G437" s="94">
        <v>6.9265511706501055</v>
      </c>
      <c r="H437" s="94">
        <v>80.320890061197659</v>
      </c>
      <c r="I437" s="94">
        <v>16.058078534915495</v>
      </c>
      <c r="J437" s="94">
        <v>49447.814726573532</v>
      </c>
      <c r="K437" s="94">
        <v>6.327507006247286</v>
      </c>
      <c r="L437" s="94">
        <v>0</v>
      </c>
      <c r="M437" s="94">
        <v>10</v>
      </c>
      <c r="N437" s="94">
        <v>0</v>
      </c>
      <c r="O437" s="94">
        <v>0</v>
      </c>
    </row>
    <row r="438" spans="1:15" x14ac:dyDescent="0.25">
      <c r="A438" s="89">
        <v>44779.833333333336</v>
      </c>
      <c r="B438" s="94">
        <v>359.64</v>
      </c>
      <c r="C438" s="94">
        <v>303.50528725741128</v>
      </c>
      <c r="D438" s="94">
        <v>1.7414628352289194</v>
      </c>
      <c r="E438" s="94">
        <v>0</v>
      </c>
      <c r="F438" s="94">
        <v>83.091275120042681</v>
      </c>
      <c r="G438" s="94">
        <v>6.9776523581598129</v>
      </c>
      <c r="H438" s="94">
        <v>80.079222263158357</v>
      </c>
      <c r="I438" s="94">
        <v>16.016812452840735</v>
      </c>
      <c r="J438" s="94">
        <v>44912.606739084928</v>
      </c>
      <c r="K438" s="94">
        <v>6.1002848253582389</v>
      </c>
      <c r="L438" s="94">
        <v>0</v>
      </c>
      <c r="M438" s="94">
        <v>0</v>
      </c>
      <c r="N438" s="94">
        <v>0</v>
      </c>
      <c r="O438" s="94">
        <v>0</v>
      </c>
    </row>
    <row r="439" spans="1:15" x14ac:dyDescent="0.25">
      <c r="A439" s="89">
        <v>44780.333333333336</v>
      </c>
      <c r="B439" s="94">
        <v>359.64</v>
      </c>
      <c r="C439" s="94">
        <v>303.37313935695551</v>
      </c>
      <c r="D439" s="94">
        <v>1.6</v>
      </c>
      <c r="E439" s="94">
        <v>0</v>
      </c>
      <c r="F439" s="94">
        <v>83</v>
      </c>
      <c r="G439" s="94">
        <v>6.9648171919770769</v>
      </c>
      <c r="H439" s="94">
        <v>80.400000000000006</v>
      </c>
      <c r="I439" s="94">
        <v>15.96</v>
      </c>
      <c r="J439" s="94">
        <v>42216.058315613009</v>
      </c>
      <c r="K439" s="94">
        <v>5.955786335867578</v>
      </c>
      <c r="L439" s="94">
        <v>0</v>
      </c>
      <c r="M439" s="94">
        <v>0</v>
      </c>
      <c r="N439" s="94">
        <v>0</v>
      </c>
      <c r="O439" s="94">
        <v>0</v>
      </c>
    </row>
    <row r="440" spans="1:15" x14ac:dyDescent="0.25">
      <c r="A440" s="89">
        <v>44780.833333333336</v>
      </c>
      <c r="B440" s="94">
        <v>359.64</v>
      </c>
      <c r="C440" s="94">
        <v>303.23312409068308</v>
      </c>
      <c r="D440" s="94">
        <v>1.8</v>
      </c>
      <c r="E440" s="94">
        <v>0</v>
      </c>
      <c r="F440" s="94">
        <v>82.819876933301614</v>
      </c>
      <c r="G440" s="94">
        <v>6.9863865152994791</v>
      </c>
      <c r="H440" s="94">
        <v>80.099999999999994</v>
      </c>
      <c r="I440" s="94">
        <v>15.817891197107578</v>
      </c>
      <c r="J440" s="94">
        <v>34048.470215037552</v>
      </c>
      <c r="K440" s="94">
        <v>5.4862338374103938</v>
      </c>
      <c r="L440" s="94">
        <v>0</v>
      </c>
      <c r="M440" s="94">
        <v>0</v>
      </c>
      <c r="N440" s="94">
        <v>0</v>
      </c>
      <c r="O440" s="94">
        <v>0</v>
      </c>
    </row>
    <row r="441" spans="1:15" x14ac:dyDescent="0.25">
      <c r="A441" s="89">
        <v>44781.333333333336</v>
      </c>
      <c r="B441" s="94">
        <v>359.64</v>
      </c>
      <c r="C441" s="94">
        <v>303.25</v>
      </c>
      <c r="D441" s="94">
        <v>1.5046603780806862</v>
      </c>
      <c r="E441" s="94">
        <v>0</v>
      </c>
      <c r="F441" s="94">
        <v>82.836495486172765</v>
      </c>
      <c r="G441" s="94">
        <v>6.9564752019394334</v>
      </c>
      <c r="H441" s="94">
        <v>80.586889930277735</v>
      </c>
      <c r="I441" s="94">
        <v>15.880198974609376</v>
      </c>
      <c r="J441" s="94">
        <v>32585.348078050913</v>
      </c>
      <c r="K441" s="94">
        <v>5.6882134071004762</v>
      </c>
      <c r="L441" s="94">
        <v>0</v>
      </c>
      <c r="M441" s="94">
        <v>0</v>
      </c>
      <c r="N441" s="94">
        <v>0</v>
      </c>
      <c r="O441" s="94">
        <v>0</v>
      </c>
    </row>
    <row r="442" spans="1:15" x14ac:dyDescent="0.25">
      <c r="A442" s="89">
        <v>44781.833333333336</v>
      </c>
      <c r="B442" s="94">
        <v>362.16</v>
      </c>
      <c r="C442" s="94">
        <v>303.10516499110634</v>
      </c>
      <c r="D442" s="94">
        <v>1.6391199503471292</v>
      </c>
      <c r="E442" s="94">
        <v>0</v>
      </c>
      <c r="F442" s="94">
        <v>0.81733398437500004</v>
      </c>
      <c r="G442" s="94">
        <v>0</v>
      </c>
      <c r="H442" s="94">
        <v>88.972952418109912</v>
      </c>
      <c r="I442" s="94">
        <v>17.56054114385314</v>
      </c>
      <c r="J442" s="94">
        <v>38334.02881915927</v>
      </c>
      <c r="K442" s="94">
        <v>5.7372408366048866</v>
      </c>
      <c r="L442" s="94">
        <v>0</v>
      </c>
      <c r="M442" s="94">
        <v>0</v>
      </c>
      <c r="N442" s="94">
        <v>0</v>
      </c>
      <c r="O442" s="94">
        <v>0</v>
      </c>
    </row>
    <row r="443" spans="1:15" x14ac:dyDescent="0.25">
      <c r="A443" s="89">
        <v>44782.333333333336</v>
      </c>
      <c r="B443" s="94">
        <v>361.75</v>
      </c>
      <c r="C443" s="94">
        <v>303.17659103930794</v>
      </c>
      <c r="D443" s="94">
        <v>1.7</v>
      </c>
      <c r="E443" s="94">
        <v>0</v>
      </c>
      <c r="F443" s="94">
        <v>1.6</v>
      </c>
      <c r="G443" s="94">
        <v>0</v>
      </c>
      <c r="H443" s="94">
        <v>89.72581918016094</v>
      </c>
      <c r="I443" s="94">
        <v>17.469633424824643</v>
      </c>
      <c r="J443" s="94">
        <v>40679.939560545135</v>
      </c>
      <c r="K443" s="94">
        <v>5.87405820684054</v>
      </c>
      <c r="L443" s="94">
        <v>0</v>
      </c>
      <c r="M443" s="94">
        <v>0</v>
      </c>
      <c r="N443" s="94">
        <v>0</v>
      </c>
      <c r="O443" s="94">
        <v>0</v>
      </c>
    </row>
    <row r="444" spans="1:15" x14ac:dyDescent="0.25">
      <c r="A444" s="89">
        <v>44782.833333333336</v>
      </c>
      <c r="B444" s="94">
        <v>361.75</v>
      </c>
      <c r="C444" s="94">
        <v>303.25017497631967</v>
      </c>
      <c r="D444" s="94">
        <v>1.7502572195870536</v>
      </c>
      <c r="E444" s="94">
        <v>0</v>
      </c>
      <c r="F444" s="94">
        <v>83.8</v>
      </c>
      <c r="G444" s="94">
        <v>6.9390516257059991</v>
      </c>
      <c r="H444" s="94">
        <v>91.410404518394145</v>
      </c>
      <c r="I444" s="94">
        <v>17.485849761962889</v>
      </c>
      <c r="J444" s="94">
        <v>42790.266816204763</v>
      </c>
      <c r="K444" s="94">
        <v>5.9890159921017014</v>
      </c>
      <c r="L444" s="94">
        <v>0</v>
      </c>
      <c r="M444" s="94">
        <v>0</v>
      </c>
      <c r="N444" s="94">
        <v>0</v>
      </c>
      <c r="O444" s="94">
        <v>0</v>
      </c>
    </row>
    <row r="445" spans="1:15" x14ac:dyDescent="0.25">
      <c r="A445" s="89">
        <v>44783.333333333336</v>
      </c>
      <c r="B445" s="94">
        <v>361.16</v>
      </c>
      <c r="C445" s="94">
        <v>303.52079190015201</v>
      </c>
      <c r="D445" s="94">
        <v>1.5093194580078124</v>
      </c>
      <c r="E445" s="94">
        <v>0</v>
      </c>
      <c r="F445" s="94">
        <v>84.86838493527307</v>
      </c>
      <c r="G445" s="94">
        <v>6.9245553489222891</v>
      </c>
      <c r="H445" s="94">
        <v>93.9</v>
      </c>
      <c r="I445" s="94">
        <v>17.496274294599168</v>
      </c>
      <c r="J445" s="94">
        <v>44079.07867424353</v>
      </c>
      <c r="K445" s="94">
        <v>6.0533914911104176</v>
      </c>
      <c r="L445" s="94">
        <v>0</v>
      </c>
      <c r="M445" s="94">
        <v>0</v>
      </c>
      <c r="N445" s="94">
        <v>0</v>
      </c>
      <c r="O445" s="94">
        <v>0</v>
      </c>
    </row>
    <row r="446" spans="1:15" x14ac:dyDescent="0.25">
      <c r="A446" s="89">
        <v>44783.833333333336</v>
      </c>
      <c r="B446" s="94">
        <v>361.16</v>
      </c>
      <c r="C446" s="94">
        <v>303.00522721069325</v>
      </c>
      <c r="D446" s="94">
        <v>87.525585292032659</v>
      </c>
      <c r="E446" s="94">
        <v>6.9404200744628914</v>
      </c>
      <c r="F446" s="94">
        <v>86.539733410628997</v>
      </c>
      <c r="G446" s="94">
        <v>6.9292014253734751</v>
      </c>
      <c r="H446" s="94">
        <v>87.230089124554254</v>
      </c>
      <c r="I446" s="94">
        <v>16.757402498418482</v>
      </c>
      <c r="J446" s="94">
        <v>33045.003453969868</v>
      </c>
      <c r="K446" s="94">
        <v>5.4269999999999996</v>
      </c>
      <c r="L446" s="94">
        <v>0</v>
      </c>
      <c r="M446" s="94">
        <v>0</v>
      </c>
      <c r="N446" s="94">
        <v>0</v>
      </c>
      <c r="O446" s="94">
        <v>0</v>
      </c>
    </row>
    <row r="447" spans="1:15" x14ac:dyDescent="0.25">
      <c r="A447" s="89">
        <v>44784.333333333336</v>
      </c>
      <c r="B447" s="94">
        <v>360.77</v>
      </c>
      <c r="C447" s="94">
        <v>302.61764905005714</v>
      </c>
      <c r="D447" s="94">
        <v>87.966566993535906</v>
      </c>
      <c r="E447" s="94">
        <v>6.9620937106792624</v>
      </c>
      <c r="F447" s="94">
        <v>87</v>
      </c>
      <c r="G447" s="94">
        <v>6.95</v>
      </c>
      <c r="H447" s="94">
        <v>87.345845332284014</v>
      </c>
      <c r="I447" s="94">
        <v>16.758640895094665</v>
      </c>
      <c r="J447" s="94">
        <v>20350.567945146329</v>
      </c>
      <c r="K447" s="94">
        <v>4.5484507823416509</v>
      </c>
      <c r="L447" s="94">
        <v>0</v>
      </c>
      <c r="M447" s="94">
        <v>0</v>
      </c>
      <c r="N447" s="94">
        <v>0</v>
      </c>
      <c r="O447" s="94">
        <v>0</v>
      </c>
    </row>
    <row r="448" spans="1:15" x14ac:dyDescent="0.25">
      <c r="A448" s="89">
        <v>44784.833333333336</v>
      </c>
      <c r="B448" s="94">
        <v>360.77</v>
      </c>
      <c r="C448" s="94">
        <v>301.88072460467998</v>
      </c>
      <c r="D448" s="94">
        <v>83.268646552250658</v>
      </c>
      <c r="E448" s="94">
        <v>7.0093792576752705</v>
      </c>
      <c r="F448" s="94">
        <v>81.750193379720045</v>
      </c>
      <c r="G448" s="94">
        <v>6.9608408431342603</v>
      </c>
      <c r="H448" s="94">
        <v>84.178714924442446</v>
      </c>
      <c r="I448" s="94">
        <v>16.703300476074219</v>
      </c>
      <c r="J448" s="94">
        <v>11700.037769745619</v>
      </c>
      <c r="K448" s="94">
        <v>3.7385995344953824</v>
      </c>
      <c r="L448" s="94">
        <v>52.002215951300514</v>
      </c>
      <c r="M448" s="94">
        <v>54.721499411698211</v>
      </c>
      <c r="N448" s="94">
        <v>52.002215951300514</v>
      </c>
      <c r="O448" s="94">
        <v>48.022869704424537</v>
      </c>
    </row>
    <row r="449" spans="1:15" x14ac:dyDescent="0.25">
      <c r="A449" s="89">
        <v>44785.333333333336</v>
      </c>
      <c r="B449" s="94">
        <v>360.77</v>
      </c>
      <c r="C449" s="94">
        <v>301.9079264536249</v>
      </c>
      <c r="D449" s="94">
        <v>83.1</v>
      </c>
      <c r="E449" s="94">
        <v>6.9515868701174108</v>
      </c>
      <c r="F449" s="94">
        <v>82.037840159605679</v>
      </c>
      <c r="G449" s="94">
        <v>7.0030703735351558</v>
      </c>
      <c r="H449" s="94">
        <v>84.226056782919272</v>
      </c>
      <c r="I449" s="94">
        <v>16.767800292968751</v>
      </c>
      <c r="J449" s="94">
        <v>11944.924126229867</v>
      </c>
      <c r="K449" s="94">
        <v>3.7610000000000001</v>
      </c>
      <c r="L449" s="94">
        <v>53</v>
      </c>
      <c r="M449" s="94">
        <v>54.425500241794317</v>
      </c>
      <c r="N449" s="94">
        <v>55.865470214020043</v>
      </c>
      <c r="O449" s="94">
        <v>55</v>
      </c>
    </row>
    <row r="450" spans="1:15" x14ac:dyDescent="0.25">
      <c r="A450" s="89">
        <v>44785.833333333336</v>
      </c>
      <c r="B450" s="94">
        <v>360.77</v>
      </c>
      <c r="C450" s="94">
        <v>301.92</v>
      </c>
      <c r="D450" s="94">
        <v>83.3</v>
      </c>
      <c r="E450" s="94">
        <v>6.98</v>
      </c>
      <c r="F450" s="94">
        <v>82.1</v>
      </c>
      <c r="G450" s="94">
        <v>6.9792366280524103</v>
      </c>
      <c r="H450" s="94">
        <v>84.24902808223851</v>
      </c>
      <c r="I450" s="94">
        <v>16.789511089963341</v>
      </c>
      <c r="J450" s="94">
        <v>11969.963755444087</v>
      </c>
      <c r="K450" s="94">
        <v>3.7664145858142564</v>
      </c>
      <c r="L450" s="94">
        <v>55</v>
      </c>
      <c r="M450" s="94">
        <v>55</v>
      </c>
      <c r="N450" s="94">
        <v>56</v>
      </c>
      <c r="O450" s="94">
        <v>56</v>
      </c>
    </row>
    <row r="451" spans="1:15" x14ac:dyDescent="0.25">
      <c r="A451" s="89">
        <v>44786.333333333336</v>
      </c>
      <c r="B451" s="94">
        <v>360.77</v>
      </c>
      <c r="C451" s="94">
        <v>301.92365841645119</v>
      </c>
      <c r="D451" s="94">
        <v>83.392496662062868</v>
      </c>
      <c r="E451" s="94">
        <v>6.9803100585937505</v>
      </c>
      <c r="F451" s="94">
        <v>82.035097347846076</v>
      </c>
      <c r="G451" s="94">
        <v>7.019439697265625</v>
      </c>
      <c r="H451" s="94">
        <v>83.936875179627222</v>
      </c>
      <c r="I451" s="94">
        <v>16.816906692484569</v>
      </c>
      <c r="J451" s="94">
        <v>11896.475332271873</v>
      </c>
      <c r="K451" s="94">
        <v>3.7600300536443854</v>
      </c>
      <c r="L451" s="94">
        <v>55</v>
      </c>
      <c r="M451" s="94">
        <v>55</v>
      </c>
      <c r="N451" s="94">
        <v>56</v>
      </c>
      <c r="O451" s="94">
        <v>55.598283888534745</v>
      </c>
    </row>
    <row r="452" spans="1:15" x14ac:dyDescent="0.25">
      <c r="A452" s="89">
        <v>44786.833333333336</v>
      </c>
      <c r="B452" s="94">
        <v>360.77</v>
      </c>
      <c r="C452" s="94">
        <v>302.80316113469877</v>
      </c>
      <c r="D452" s="94">
        <v>87.584937351546955</v>
      </c>
      <c r="E452" s="94">
        <v>6.9626740391588111</v>
      </c>
      <c r="F452" s="94">
        <v>86.36869890240007</v>
      </c>
      <c r="G452" s="94">
        <v>6.9384811438675653</v>
      </c>
      <c r="H452" s="94">
        <v>85.8</v>
      </c>
      <c r="I452" s="94">
        <v>16.730538931274459</v>
      </c>
      <c r="J452" s="94">
        <v>22989.118008082642</v>
      </c>
      <c r="K452" s="94">
        <v>4.7493602765352252</v>
      </c>
      <c r="L452" s="94">
        <v>40</v>
      </c>
      <c r="M452" s="94">
        <v>40</v>
      </c>
      <c r="N452" s="94">
        <v>0</v>
      </c>
      <c r="O452" s="94">
        <v>20</v>
      </c>
    </row>
    <row r="453" spans="1:15" x14ac:dyDescent="0.25">
      <c r="A453" s="89">
        <v>44787.333333333336</v>
      </c>
      <c r="B453" s="94">
        <v>360.77</v>
      </c>
      <c r="C453" s="94">
        <v>302.8658325553946</v>
      </c>
      <c r="D453" s="94">
        <v>87.9</v>
      </c>
      <c r="E453" s="94">
        <v>6.9311892930093597</v>
      </c>
      <c r="F453" s="94">
        <v>87.355778115501522</v>
      </c>
      <c r="G453" s="94">
        <v>6.94</v>
      </c>
      <c r="H453" s="94">
        <v>86.4</v>
      </c>
      <c r="I453" s="94">
        <v>16.698400878906249</v>
      </c>
      <c r="J453" s="94">
        <v>24959.969621353284</v>
      </c>
      <c r="K453" s="94">
        <v>4.8859785211248292</v>
      </c>
      <c r="L453" s="94">
        <v>40</v>
      </c>
      <c r="M453" s="94">
        <v>40</v>
      </c>
      <c r="N453" s="94">
        <v>32</v>
      </c>
      <c r="O453" s="94">
        <v>35</v>
      </c>
    </row>
    <row r="454" spans="1:15" x14ac:dyDescent="0.25">
      <c r="A454" s="89">
        <v>44787.833333333336</v>
      </c>
      <c r="B454" s="94">
        <v>360.77</v>
      </c>
      <c r="C454" s="94">
        <v>302.7825376297792</v>
      </c>
      <c r="D454" s="94">
        <v>87.992700973469837</v>
      </c>
      <c r="E454" s="94">
        <v>6.9505011772620247</v>
      </c>
      <c r="F454" s="94">
        <v>87.46499938964844</v>
      </c>
      <c r="G454" s="94">
        <v>6.97</v>
      </c>
      <c r="H454" s="94">
        <v>86.103514734825794</v>
      </c>
      <c r="I454" s="94">
        <v>16.712535303129126</v>
      </c>
      <c r="J454" s="94">
        <v>23736.765240227785</v>
      </c>
      <c r="K454" s="94">
        <v>4.7942965869368894</v>
      </c>
      <c r="L454" s="94">
        <v>40</v>
      </c>
      <c r="M454" s="94">
        <v>40</v>
      </c>
      <c r="N454" s="94">
        <v>29</v>
      </c>
      <c r="O454" s="94">
        <v>0</v>
      </c>
    </row>
    <row r="455" spans="1:15" x14ac:dyDescent="0.25">
      <c r="A455" s="89">
        <v>44788.333333333336</v>
      </c>
      <c r="B455" s="94">
        <v>360.70128124642741</v>
      </c>
      <c r="C455" s="94">
        <v>302.77999999999997</v>
      </c>
      <c r="D455" s="94">
        <v>87.854925873479175</v>
      </c>
      <c r="E455" s="94">
        <v>6.9495784681962931</v>
      </c>
      <c r="F455" s="94">
        <v>87.465702003370367</v>
      </c>
      <c r="G455" s="94">
        <v>6.945192545257667</v>
      </c>
      <c r="H455" s="94">
        <v>86.382759333778566</v>
      </c>
      <c r="I455" s="94">
        <v>16.693439941406247</v>
      </c>
      <c r="J455" s="94">
        <v>23799.803528224555</v>
      </c>
      <c r="K455" s="94">
        <v>4.7967839884459114</v>
      </c>
      <c r="L455" s="94">
        <v>40</v>
      </c>
      <c r="M455" s="94">
        <v>40</v>
      </c>
      <c r="N455" s="94">
        <v>29</v>
      </c>
      <c r="O455" s="94">
        <v>0</v>
      </c>
    </row>
    <row r="456" spans="1:15" x14ac:dyDescent="0.25">
      <c r="A456" s="89">
        <v>44788.833333333336</v>
      </c>
      <c r="B456" s="94">
        <v>360.65</v>
      </c>
      <c r="C456" s="94">
        <v>302.72000000000003</v>
      </c>
      <c r="D456" s="94">
        <v>87.8</v>
      </c>
      <c r="E456" s="94">
        <v>6.9996567398676985</v>
      </c>
      <c r="F456" s="94">
        <v>87.451699214183336</v>
      </c>
      <c r="G456" s="94">
        <v>6.9754400634765625</v>
      </c>
      <c r="H456" s="94">
        <v>81.267259169528458</v>
      </c>
      <c r="I456" s="94">
        <v>15.972199859619142</v>
      </c>
      <c r="J456" s="94">
        <v>22699.781687808885</v>
      </c>
      <c r="K456" s="94">
        <v>4.7176579464906014</v>
      </c>
      <c r="L456" s="94">
        <v>41</v>
      </c>
      <c r="M456" s="94">
        <v>40</v>
      </c>
      <c r="N456" s="94">
        <v>15</v>
      </c>
      <c r="O456" s="94">
        <v>0</v>
      </c>
    </row>
    <row r="457" spans="1:15" x14ac:dyDescent="0.25">
      <c r="A457" s="89">
        <v>44789.333333333336</v>
      </c>
      <c r="B457" s="94">
        <v>360.55773979691031</v>
      </c>
      <c r="C457" s="94">
        <v>303.03261753082273</v>
      </c>
      <c r="D457" s="94">
        <v>88.64493998099104</v>
      </c>
      <c r="E457" s="94">
        <v>6.94</v>
      </c>
      <c r="F457" s="94">
        <v>87.974393689345732</v>
      </c>
      <c r="G457" s="94">
        <v>6.9515203857421879</v>
      </c>
      <c r="H457" s="94">
        <v>82.7</v>
      </c>
      <c r="I457" s="94">
        <v>16.005395513577334</v>
      </c>
      <c r="J457" s="94">
        <v>27009.854243147642</v>
      </c>
      <c r="K457" s="94">
        <v>5.0284194940996638</v>
      </c>
      <c r="L457" s="94">
        <v>40</v>
      </c>
      <c r="M457" s="94">
        <v>40</v>
      </c>
      <c r="N457" s="94">
        <v>40</v>
      </c>
      <c r="O457" s="94">
        <v>20</v>
      </c>
    </row>
    <row r="458" spans="1:15" x14ac:dyDescent="0.25">
      <c r="A458" s="89">
        <v>44789.833333333336</v>
      </c>
      <c r="B458" s="94">
        <v>360.49</v>
      </c>
      <c r="C458" s="94">
        <v>303.08585087016922</v>
      </c>
      <c r="D458" s="94">
        <v>89.1</v>
      </c>
      <c r="E458" s="94">
        <v>6.9451733398437501</v>
      </c>
      <c r="F458" s="94">
        <v>88.476129811781391</v>
      </c>
      <c r="G458" s="94">
        <v>6.9338600158691408</v>
      </c>
      <c r="H458" s="94">
        <v>82.747488490499236</v>
      </c>
      <c r="I458" s="94">
        <v>15.937577669161447</v>
      </c>
      <c r="J458" s="94">
        <v>27371.525665709112</v>
      </c>
      <c r="K458" s="94">
        <v>5.0558716580457821</v>
      </c>
      <c r="L458" s="94">
        <v>41</v>
      </c>
      <c r="M458" s="94">
        <v>41</v>
      </c>
      <c r="N458" s="94">
        <v>41</v>
      </c>
      <c r="O458" s="94">
        <v>21</v>
      </c>
    </row>
    <row r="459" spans="1:15" x14ac:dyDescent="0.25">
      <c r="A459" s="89">
        <v>44790.333333333336</v>
      </c>
      <c r="B459" s="94">
        <v>360.49</v>
      </c>
      <c r="C459" s="94">
        <v>303.11667732669764</v>
      </c>
      <c r="D459" s="94">
        <v>89.113891046697432</v>
      </c>
      <c r="E459" s="94">
        <v>6.9391362026946251</v>
      </c>
      <c r="F459" s="94">
        <v>88.653360875727515</v>
      </c>
      <c r="G459" s="94">
        <v>6.9253053306858101</v>
      </c>
      <c r="H459" s="94">
        <v>83.660570017672882</v>
      </c>
      <c r="I459" s="94">
        <v>15.995200195312501</v>
      </c>
      <c r="J459" s="94">
        <v>29336.851510582255</v>
      </c>
      <c r="K459" s="94">
        <v>5.1904557297404645</v>
      </c>
      <c r="L459" s="94">
        <v>40</v>
      </c>
      <c r="M459" s="94">
        <v>40</v>
      </c>
      <c r="N459" s="94">
        <v>40</v>
      </c>
      <c r="O459" s="94">
        <v>20</v>
      </c>
    </row>
    <row r="460" spans="1:15" x14ac:dyDescent="0.25">
      <c r="A460" s="89">
        <v>44790.833333333336</v>
      </c>
      <c r="B460" s="94">
        <v>360.18</v>
      </c>
      <c r="C460" s="94">
        <v>302.87</v>
      </c>
      <c r="D460" s="94">
        <v>89.221031695189296</v>
      </c>
      <c r="E460" s="94">
        <v>6.9921099853515623</v>
      </c>
      <c r="F460" s="94">
        <v>88.547399902343741</v>
      </c>
      <c r="G460" s="94">
        <v>6.9151967063129005</v>
      </c>
      <c r="H460" s="94">
        <v>83.1</v>
      </c>
      <c r="I460" s="94">
        <v>15.982185882246405</v>
      </c>
      <c r="J460" s="94">
        <v>24496.010231403765</v>
      </c>
      <c r="K460" s="94">
        <v>4.849389018480986</v>
      </c>
      <c r="L460" s="94">
        <v>41</v>
      </c>
      <c r="M460" s="94">
        <v>40</v>
      </c>
      <c r="N460" s="94">
        <v>41</v>
      </c>
      <c r="O460" s="94">
        <v>20.009665676423598</v>
      </c>
    </row>
    <row r="461" spans="1:15" x14ac:dyDescent="0.25">
      <c r="A461" s="89">
        <v>44791.333333333336</v>
      </c>
      <c r="B461" s="94">
        <v>359.89</v>
      </c>
      <c r="C461" s="94">
        <v>302.90406982113439</v>
      </c>
      <c r="D461" s="94">
        <v>89.005099120113599</v>
      </c>
      <c r="E461" s="94">
        <v>6.9708821955507991</v>
      </c>
      <c r="F461" s="94">
        <v>88.6</v>
      </c>
      <c r="G461" s="94">
        <v>6.9499099731445311</v>
      </c>
      <c r="H461" s="94">
        <v>83.895260166635367</v>
      </c>
      <c r="I461" s="94">
        <v>15.915205358097479</v>
      </c>
      <c r="J461" s="94">
        <v>23818.961937282118</v>
      </c>
      <c r="K461" s="94">
        <v>4.7996484915881803</v>
      </c>
      <c r="L461" s="94">
        <v>40.543442385948701</v>
      </c>
      <c r="M461" s="94">
        <v>40</v>
      </c>
      <c r="N461" s="94">
        <v>40</v>
      </c>
      <c r="O461" s="94">
        <v>20</v>
      </c>
    </row>
    <row r="462" spans="1:15" x14ac:dyDescent="0.25">
      <c r="A462" s="89">
        <v>44791.833333333336</v>
      </c>
      <c r="B462" s="94">
        <v>359.89</v>
      </c>
      <c r="C462" s="94">
        <v>302.49046879656674</v>
      </c>
      <c r="D462" s="94">
        <v>90.2</v>
      </c>
      <c r="E462" s="94">
        <v>6.9973372943746091</v>
      </c>
      <c r="F462" s="94">
        <v>89.023523392036168</v>
      </c>
      <c r="G462" s="94">
        <v>6.9831824046324993</v>
      </c>
      <c r="H462" s="94">
        <v>83.472076739396613</v>
      </c>
      <c r="I462" s="94">
        <v>15.994779968261719</v>
      </c>
      <c r="J462" s="94">
        <v>19421.245133781609</v>
      </c>
      <c r="K462" s="94">
        <v>4.4607362788202485</v>
      </c>
      <c r="L462" s="94">
        <v>41</v>
      </c>
      <c r="M462" s="94">
        <v>41</v>
      </c>
      <c r="N462" s="94">
        <v>41</v>
      </c>
      <c r="O462" s="94">
        <v>21</v>
      </c>
    </row>
    <row r="463" spans="1:15" x14ac:dyDescent="0.25">
      <c r="A463" s="89">
        <v>44792.333333333336</v>
      </c>
      <c r="B463" s="94">
        <v>359.66259103190265</v>
      </c>
      <c r="C463" s="94">
        <v>302.45982106976226</v>
      </c>
      <c r="D463" s="94">
        <v>89.600228460715059</v>
      </c>
      <c r="E463" s="94">
        <v>7.0190437399313046</v>
      </c>
      <c r="F463" s="94">
        <v>89.002390650171733</v>
      </c>
      <c r="G463" s="94">
        <v>6.99</v>
      </c>
      <c r="H463" s="94">
        <v>83.742418858624887</v>
      </c>
      <c r="I463" s="94">
        <v>16.025624904887032</v>
      </c>
      <c r="J463" s="94">
        <v>18939.677893407781</v>
      </c>
      <c r="K463" s="94">
        <v>4.4221039213666247</v>
      </c>
      <c r="L463" s="94">
        <v>41</v>
      </c>
      <c r="M463" s="94">
        <v>40.399530394565119</v>
      </c>
      <c r="N463" s="94">
        <v>41</v>
      </c>
      <c r="O463" s="94">
        <v>20.37330563957623</v>
      </c>
    </row>
    <row r="464" spans="1:15" x14ac:dyDescent="0.25">
      <c r="A464" s="89">
        <v>44792.833333333336</v>
      </c>
      <c r="B464" s="94">
        <v>359.66</v>
      </c>
      <c r="C464" s="94">
        <v>302.28733139013866</v>
      </c>
      <c r="D464" s="94">
        <v>89.7</v>
      </c>
      <c r="E464" s="94">
        <v>7.0181569730256541</v>
      </c>
      <c r="F464" s="94">
        <v>89.168333265516495</v>
      </c>
      <c r="G464" s="94">
        <v>6.9872004922211479</v>
      </c>
      <c r="H464" s="94">
        <v>83.210025284737668</v>
      </c>
      <c r="I464" s="94">
        <v>15.899517883059305</v>
      </c>
      <c r="J464" s="94">
        <v>17053.966640545586</v>
      </c>
      <c r="K464" s="94">
        <v>4.2554414903821698</v>
      </c>
      <c r="L464" s="94">
        <v>61</v>
      </c>
      <c r="M464" s="94">
        <v>36</v>
      </c>
      <c r="N464" s="94">
        <v>0</v>
      </c>
      <c r="O464" s="94">
        <v>0</v>
      </c>
    </row>
    <row r="465" spans="1:15" x14ac:dyDescent="0.25">
      <c r="A465" s="89">
        <v>44793.333333333336</v>
      </c>
      <c r="B465" s="94">
        <v>359.66</v>
      </c>
      <c r="C465" s="94">
        <v>302.26908731850079</v>
      </c>
      <c r="D465" s="94">
        <v>89.010634393952245</v>
      </c>
      <c r="E465" s="94">
        <v>7.0170939530616927</v>
      </c>
      <c r="F465" s="94">
        <v>88.659406494683139</v>
      </c>
      <c r="G465" s="94">
        <v>6.9952128732540722</v>
      </c>
      <c r="H465" s="94">
        <v>83.9</v>
      </c>
      <c r="I465" s="94">
        <v>15.88536805137992</v>
      </c>
      <c r="J465" s="94">
        <v>16780.381016346571</v>
      </c>
      <c r="K465" s="94">
        <v>4.2369260533227315</v>
      </c>
      <c r="L465" s="94">
        <v>61</v>
      </c>
      <c r="M465" s="94">
        <v>37</v>
      </c>
      <c r="N465" s="94">
        <v>0</v>
      </c>
      <c r="O465" s="94">
        <v>0</v>
      </c>
    </row>
    <row r="466" spans="1:15" x14ac:dyDescent="0.25">
      <c r="A466" s="89">
        <v>44793.833333333336</v>
      </c>
      <c r="B466" s="94">
        <v>359.66</v>
      </c>
      <c r="C466" s="94">
        <v>302.1188217712413</v>
      </c>
      <c r="D466" s="94">
        <v>88.077849466938545</v>
      </c>
      <c r="E466" s="94">
        <v>7.0310238490958969</v>
      </c>
      <c r="F466" s="94">
        <v>88.793027629104586</v>
      </c>
      <c r="G466" s="94">
        <v>6.996963451168364</v>
      </c>
      <c r="H466" s="94">
        <v>83.660766000959555</v>
      </c>
      <c r="I466" s="94">
        <v>15.920739317998201</v>
      </c>
      <c r="J466" s="94">
        <v>15360.016847311064</v>
      </c>
      <c r="K466" s="94">
        <v>4.1058976246191614</v>
      </c>
      <c r="L466" s="94">
        <v>43</v>
      </c>
      <c r="M466" s="94">
        <v>0</v>
      </c>
      <c r="N466" s="94">
        <v>0</v>
      </c>
      <c r="O466" s="94">
        <v>0</v>
      </c>
    </row>
    <row r="467" spans="1:15" x14ac:dyDescent="0.25">
      <c r="A467" s="89">
        <v>44794.333333333336</v>
      </c>
      <c r="B467" s="94">
        <v>359.66</v>
      </c>
      <c r="C467" s="94">
        <v>302.09781770385985</v>
      </c>
      <c r="D467" s="94">
        <v>87.659751703963266</v>
      </c>
      <c r="E467" s="94">
        <v>7.0097533481802374</v>
      </c>
      <c r="F467" s="94">
        <v>88.791286065484158</v>
      </c>
      <c r="G467" s="94">
        <v>7.0104418298250453</v>
      </c>
      <c r="H467" s="94">
        <v>83.997628787030692</v>
      </c>
      <c r="I467" s="94">
        <v>16.031549209388604</v>
      </c>
      <c r="J467" s="94">
        <v>15054.075671863397</v>
      </c>
      <c r="K467" s="94">
        <v>4.0753631703201982</v>
      </c>
      <c r="L467" s="94">
        <v>46</v>
      </c>
      <c r="M467" s="94">
        <v>0</v>
      </c>
      <c r="N467" s="94">
        <v>0</v>
      </c>
      <c r="O467" s="94">
        <v>0</v>
      </c>
    </row>
    <row r="468" spans="1:15" x14ac:dyDescent="0.25">
      <c r="A468" s="89">
        <v>44794.833333333336</v>
      </c>
      <c r="B468" s="94">
        <v>359.66</v>
      </c>
      <c r="C468" s="94">
        <v>302.10000000000002</v>
      </c>
      <c r="D468" s="94">
        <v>87.876138497473406</v>
      </c>
      <c r="E468" s="94">
        <v>6.9804995174480622</v>
      </c>
      <c r="F468" s="94">
        <v>88.9</v>
      </c>
      <c r="G468" s="94">
        <v>6.9794782635312487</v>
      </c>
      <c r="H468" s="94">
        <v>83.821298577494957</v>
      </c>
      <c r="I468" s="94">
        <v>16.01295883178711</v>
      </c>
      <c r="J468" s="94">
        <v>14978.018490275941</v>
      </c>
      <c r="K468" s="94">
        <v>4.0678831373147011</v>
      </c>
      <c r="L468" s="94">
        <v>61</v>
      </c>
      <c r="M468" s="94">
        <v>0</v>
      </c>
      <c r="N468" s="94">
        <v>0</v>
      </c>
      <c r="O468" s="94">
        <v>0</v>
      </c>
    </row>
    <row r="469" spans="1:15" x14ac:dyDescent="0.25">
      <c r="A469" s="89">
        <v>44795.333333333336</v>
      </c>
      <c r="B469" s="94">
        <v>359.23</v>
      </c>
      <c r="C469" s="94">
        <v>302.08745170932889</v>
      </c>
      <c r="D469" s="94">
        <v>87.533892102399633</v>
      </c>
      <c r="E469" s="94">
        <v>6.99</v>
      </c>
      <c r="F469" s="94">
        <v>88.81438969594079</v>
      </c>
      <c r="G469" s="94">
        <v>6.9671962909018816</v>
      </c>
      <c r="H469" s="94">
        <v>84.4</v>
      </c>
      <c r="I469" s="94">
        <v>16.059832715841473</v>
      </c>
      <c r="J469" s="94">
        <v>14923.974777056601</v>
      </c>
      <c r="K469" s="94">
        <v>4.0624176248539783</v>
      </c>
      <c r="L469" s="94">
        <v>61</v>
      </c>
      <c r="M469" s="94">
        <v>10</v>
      </c>
      <c r="N469" s="94">
        <v>0</v>
      </c>
      <c r="O469" s="94">
        <v>0</v>
      </c>
    </row>
    <row r="470" spans="1:15" x14ac:dyDescent="0.25">
      <c r="A470" s="89">
        <v>44795.833333333336</v>
      </c>
      <c r="B470" s="94">
        <v>359.23</v>
      </c>
      <c r="C470" s="94">
        <v>301.88883248308002</v>
      </c>
      <c r="D470" s="94">
        <v>87.710404518394142</v>
      </c>
      <c r="E470" s="94">
        <v>7.0069205540630124</v>
      </c>
      <c r="F470" s="94">
        <v>88.904540114253393</v>
      </c>
      <c r="G470" s="94">
        <v>7.0231465657552086</v>
      </c>
      <c r="H470" s="94">
        <v>83.073699951171875</v>
      </c>
      <c r="I470" s="94">
        <v>15.866329956054688</v>
      </c>
      <c r="J470" s="94">
        <v>11547.922125164192</v>
      </c>
      <c r="K470" s="94">
        <v>3.7148949989212827</v>
      </c>
      <c r="L470" s="94">
        <v>81.00057197840637</v>
      </c>
      <c r="M470" s="94">
        <v>82</v>
      </c>
      <c r="N470" s="94">
        <v>58</v>
      </c>
      <c r="O470" s="94">
        <v>0</v>
      </c>
    </row>
    <row r="471" spans="1:15" x14ac:dyDescent="0.25">
      <c r="A471" s="89">
        <v>44796.333333333336</v>
      </c>
      <c r="B471" s="94">
        <v>359.11</v>
      </c>
      <c r="C471" s="94">
        <v>301.82332758105252</v>
      </c>
      <c r="D471" s="94">
        <v>87.788648394412945</v>
      </c>
      <c r="E471" s="94">
        <v>7.0196395350613248</v>
      </c>
      <c r="F471" s="94">
        <v>88.9</v>
      </c>
      <c r="G471" s="94">
        <v>7.0268704882796662</v>
      </c>
      <c r="H471" s="94">
        <v>83.4</v>
      </c>
      <c r="I471" s="94">
        <v>16.04845424700606</v>
      </c>
      <c r="J471" s="94">
        <v>11152.092152495159</v>
      </c>
      <c r="K471" s="94">
        <v>3.6751401060281768</v>
      </c>
      <c r="L471" s="94">
        <v>81</v>
      </c>
      <c r="M471" s="94">
        <v>82</v>
      </c>
      <c r="N471" s="94">
        <v>42</v>
      </c>
      <c r="O471" s="94">
        <v>0</v>
      </c>
    </row>
    <row r="472" spans="1:15" x14ac:dyDescent="0.25">
      <c r="A472" s="89">
        <v>44796.833333333336</v>
      </c>
      <c r="B472" s="94">
        <v>359.11</v>
      </c>
      <c r="C472" s="94">
        <v>301.42732192546146</v>
      </c>
      <c r="D472" s="94">
        <v>85.4</v>
      </c>
      <c r="E472" s="94">
        <v>6.9604930415069788</v>
      </c>
      <c r="F472" s="94">
        <v>84.4</v>
      </c>
      <c r="G472" s="94">
        <v>7.0386368014677778</v>
      </c>
      <c r="H472" s="94">
        <v>82.828611808715564</v>
      </c>
      <c r="I472" s="94">
        <v>15.989082231261371</v>
      </c>
      <c r="J472" s="94">
        <v>7927.2358624423932</v>
      </c>
      <c r="K472" s="94">
        <v>3.2803431180227061</v>
      </c>
      <c r="L472" s="94">
        <v>37</v>
      </c>
      <c r="M472" s="94">
        <v>39</v>
      </c>
      <c r="N472" s="94">
        <v>0</v>
      </c>
      <c r="O472" s="94">
        <v>0</v>
      </c>
    </row>
    <row r="473" spans="1:15" x14ac:dyDescent="0.25">
      <c r="A473" s="89">
        <v>44797.333333333336</v>
      </c>
      <c r="B473" s="94">
        <v>359.11360476940382</v>
      </c>
      <c r="C473" s="94">
        <v>301.44</v>
      </c>
      <c r="D473" s="94">
        <v>84.7</v>
      </c>
      <c r="E473" s="94">
        <v>6.9502498399439041</v>
      </c>
      <c r="F473" s="94">
        <v>83.975798544135685</v>
      </c>
      <c r="G473" s="94">
        <v>7</v>
      </c>
      <c r="H473" s="94">
        <v>83.1</v>
      </c>
      <c r="I473" s="94">
        <v>15.941243899499909</v>
      </c>
      <c r="J473" s="94">
        <v>8063.1504713264903</v>
      </c>
      <c r="K473" s="94">
        <v>3.2976156233630007</v>
      </c>
      <c r="L473" s="94">
        <v>36.911008269840814</v>
      </c>
      <c r="M473" s="94">
        <v>43</v>
      </c>
      <c r="N473" s="94">
        <v>0</v>
      </c>
      <c r="O473" s="94">
        <v>0</v>
      </c>
    </row>
    <row r="474" spans="1:15" x14ac:dyDescent="0.25">
      <c r="A474" s="89">
        <v>44797.833333333336</v>
      </c>
      <c r="B474" s="94">
        <v>359.17</v>
      </c>
      <c r="C474" s="94">
        <v>301.46262634821039</v>
      </c>
      <c r="D474" s="94">
        <v>87.5</v>
      </c>
      <c r="E474" s="94">
        <v>6.9596139814142033</v>
      </c>
      <c r="F474" s="94">
        <v>84.3</v>
      </c>
      <c r="G474" s="94">
        <v>7.0003698422260685</v>
      </c>
      <c r="H474" s="94">
        <v>82.885649871826175</v>
      </c>
      <c r="I474" s="94">
        <v>16.039929726680995</v>
      </c>
      <c r="J474" s="94">
        <v>8210.7278308974528</v>
      </c>
      <c r="K474" s="94">
        <v>3.3161759410734177</v>
      </c>
      <c r="L474" s="94">
        <v>37</v>
      </c>
      <c r="M474" s="94">
        <v>49</v>
      </c>
      <c r="N474" s="94">
        <v>0</v>
      </c>
      <c r="O474" s="94">
        <v>0</v>
      </c>
    </row>
    <row r="475" spans="1:15" x14ac:dyDescent="0.25">
      <c r="A475" s="89">
        <v>44798.333333333336</v>
      </c>
      <c r="B475" s="94">
        <v>359.17155609828654</v>
      </c>
      <c r="C475" s="94">
        <v>301.45813013801188</v>
      </c>
      <c r="D475" s="94">
        <v>86.445797729492185</v>
      </c>
      <c r="E475" s="94">
        <v>6.9754183814280655</v>
      </c>
      <c r="F475" s="94">
        <v>84.172753671499393</v>
      </c>
      <c r="G475" s="94">
        <v>6.9992982295202273</v>
      </c>
      <c r="H475" s="94">
        <v>83</v>
      </c>
      <c r="I475" s="94">
        <v>15.957235921972764</v>
      </c>
      <c r="J475" s="94">
        <v>8115.0470164630042</v>
      </c>
      <c r="K475" s="94">
        <v>3.3045377495602826</v>
      </c>
      <c r="L475" s="94">
        <v>37</v>
      </c>
      <c r="M475" s="94">
        <v>46</v>
      </c>
      <c r="N475" s="94">
        <v>0</v>
      </c>
      <c r="O475" s="94">
        <v>0</v>
      </c>
    </row>
    <row r="476" spans="1:15" x14ac:dyDescent="0.25">
      <c r="A476" s="89">
        <v>44798.833333333336</v>
      </c>
      <c r="B476" s="94">
        <v>359.19</v>
      </c>
      <c r="C476" s="94">
        <v>301.35000000000002</v>
      </c>
      <c r="D476" s="94">
        <v>86.494953699354525</v>
      </c>
      <c r="E476" s="94">
        <v>7.0004004826564437</v>
      </c>
      <c r="F476" s="94">
        <v>84.5</v>
      </c>
      <c r="G476" s="94">
        <v>7.0096296013441268</v>
      </c>
      <c r="H476" s="94">
        <v>82.7</v>
      </c>
      <c r="I476" s="94">
        <v>16.104388885498047</v>
      </c>
      <c r="J476" s="94">
        <v>7404</v>
      </c>
      <c r="K476" s="94">
        <v>3.2080000000000002</v>
      </c>
      <c r="L476" s="94">
        <v>28</v>
      </c>
      <c r="M476" s="94">
        <v>29</v>
      </c>
      <c r="N476" s="94">
        <v>0</v>
      </c>
      <c r="O476" s="94">
        <v>0</v>
      </c>
    </row>
    <row r="477" spans="1:15" x14ac:dyDescent="0.25">
      <c r="A477" s="89">
        <v>44799.333333333336</v>
      </c>
      <c r="B477" s="94">
        <v>359.2</v>
      </c>
      <c r="C477" s="94">
        <v>301.35000000000002</v>
      </c>
      <c r="D477" s="94">
        <v>86.14693267153821</v>
      </c>
      <c r="E477" s="94">
        <v>6.980298645694158</v>
      </c>
      <c r="F477" s="94">
        <v>83.18376637729321</v>
      </c>
      <c r="G477" s="94">
        <v>6.9014308956234407</v>
      </c>
      <c r="H477" s="94">
        <v>82.8662514931316</v>
      </c>
      <c r="I477" s="94">
        <v>15.798136864046628</v>
      </c>
      <c r="J477" s="94">
        <v>7348</v>
      </c>
      <c r="K477" s="94">
        <v>3.2010000000000001</v>
      </c>
      <c r="L477" s="94">
        <v>27</v>
      </c>
      <c r="M477" s="94">
        <v>28</v>
      </c>
      <c r="N477" s="94">
        <v>0</v>
      </c>
      <c r="O477" s="94">
        <v>0</v>
      </c>
    </row>
    <row r="478" spans="1:15" x14ac:dyDescent="0.25">
      <c r="A478" s="89">
        <v>44799.833333333336</v>
      </c>
      <c r="B478" s="94">
        <v>359.2</v>
      </c>
      <c r="C478" s="94">
        <v>301.68</v>
      </c>
      <c r="D478" s="94">
        <v>88.824561754678555</v>
      </c>
      <c r="E478" s="94">
        <v>6.9705647485854598</v>
      </c>
      <c r="F478" s="94">
        <v>87.4</v>
      </c>
      <c r="G478" s="94">
        <v>6.97</v>
      </c>
      <c r="H478" s="94">
        <v>82.8</v>
      </c>
      <c r="I478" s="94">
        <v>15.867875468112459</v>
      </c>
      <c r="J478" s="94">
        <v>9749</v>
      </c>
      <c r="K478" s="94">
        <v>3.511752741877284</v>
      </c>
      <c r="L478" s="94">
        <v>47</v>
      </c>
      <c r="M478" s="94">
        <v>47</v>
      </c>
      <c r="N478" s="94">
        <v>47</v>
      </c>
      <c r="O478" s="94">
        <v>0</v>
      </c>
    </row>
    <row r="479" spans="1:15" x14ac:dyDescent="0.25">
      <c r="A479" s="89">
        <v>44800.333333333336</v>
      </c>
      <c r="B479" s="94">
        <v>359.2</v>
      </c>
      <c r="C479" s="94">
        <v>301.68</v>
      </c>
      <c r="D479" s="94">
        <v>87.68648963339912</v>
      </c>
      <c r="E479" s="94">
        <v>6.9502147498647817</v>
      </c>
      <c r="F479" s="94">
        <v>87.019680972897035</v>
      </c>
      <c r="G479" s="94">
        <v>6.9607969847107816</v>
      </c>
      <c r="H479" s="94">
        <v>83.079149816148345</v>
      </c>
      <c r="I479" s="94">
        <v>15.979654010152284</v>
      </c>
      <c r="J479" s="94">
        <v>9785</v>
      </c>
      <c r="K479" s="94">
        <v>3.5137892789801812</v>
      </c>
      <c r="L479" s="94">
        <v>47</v>
      </c>
      <c r="M479" s="94">
        <v>47</v>
      </c>
      <c r="N479" s="94">
        <v>47</v>
      </c>
      <c r="O479" s="94">
        <v>0</v>
      </c>
    </row>
    <row r="480" spans="1:15" x14ac:dyDescent="0.25">
      <c r="A480" s="89">
        <v>44800.833333333336</v>
      </c>
      <c r="B480" s="94">
        <v>359.2</v>
      </c>
      <c r="C480" s="94">
        <v>301.66554016579795</v>
      </c>
      <c r="D480" s="94">
        <v>88.383934332621422</v>
      </c>
      <c r="E480" s="94">
        <v>6.944113334351611</v>
      </c>
      <c r="F480" s="94">
        <v>87.818993299466626</v>
      </c>
      <c r="G480" s="94">
        <v>6.9423811123154664</v>
      </c>
      <c r="H480" s="94">
        <v>83</v>
      </c>
      <c r="I480" s="94">
        <v>15.987228869517258</v>
      </c>
      <c r="J480" s="94">
        <v>9827.3472868897225</v>
      </c>
      <c r="K480" s="94">
        <v>3.5197722409077854</v>
      </c>
      <c r="L480" s="94">
        <v>48</v>
      </c>
      <c r="M480" s="94">
        <v>47.757644600854036</v>
      </c>
      <c r="N480" s="94">
        <v>47</v>
      </c>
      <c r="O480" s="94">
        <v>0</v>
      </c>
    </row>
    <row r="481" spans="1:15" x14ac:dyDescent="0.25">
      <c r="A481" s="89">
        <v>44801.333333333336</v>
      </c>
      <c r="B481" s="94">
        <v>359.2</v>
      </c>
      <c r="C481" s="94">
        <v>301.66902458903854</v>
      </c>
      <c r="D481" s="94">
        <v>89.051992461776948</v>
      </c>
      <c r="E481" s="94">
        <v>6.9655977385330861</v>
      </c>
      <c r="F481" s="94">
        <v>87.692544924403222</v>
      </c>
      <c r="G481" s="94">
        <v>6.9348635824436533</v>
      </c>
      <c r="H481" s="94">
        <v>83.335757955631365</v>
      </c>
      <c r="I481" s="94">
        <v>16.019683348095658</v>
      </c>
      <c r="J481" s="94">
        <v>9820.3548211207763</v>
      </c>
      <c r="K481" s="94">
        <v>3.5188520684074041</v>
      </c>
      <c r="L481" s="94">
        <v>47.300420608442963</v>
      </c>
      <c r="M481" s="94">
        <v>47.89235701623501</v>
      </c>
      <c r="N481" s="94">
        <v>47</v>
      </c>
      <c r="O481" s="94">
        <v>0</v>
      </c>
    </row>
    <row r="482" spans="1:15" x14ac:dyDescent="0.25">
      <c r="A482" s="89">
        <v>44801.833333333336</v>
      </c>
      <c r="B482" s="94">
        <v>359.2</v>
      </c>
      <c r="C482" s="94">
        <v>301.44</v>
      </c>
      <c r="D482" s="94">
        <v>88.421523095975161</v>
      </c>
      <c r="E482" s="94">
        <v>6.9868963827876218</v>
      </c>
      <c r="F482" s="94">
        <v>88.2</v>
      </c>
      <c r="G482" s="94">
        <v>6.9603248049355839</v>
      </c>
      <c r="H482" s="94">
        <v>82.395763166125803</v>
      </c>
      <c r="I482" s="94">
        <v>16.045689976444116</v>
      </c>
      <c r="J482" s="94">
        <v>8009.7647775698269</v>
      </c>
      <c r="K482" s="94">
        <v>3.29026399793125</v>
      </c>
      <c r="L482" s="94">
        <v>44</v>
      </c>
      <c r="M482" s="94">
        <v>35</v>
      </c>
      <c r="N482" s="94">
        <v>0</v>
      </c>
      <c r="O482" s="94">
        <v>0</v>
      </c>
    </row>
    <row r="483" spans="1:15" x14ac:dyDescent="0.25">
      <c r="A483" s="89">
        <v>44802.333333333336</v>
      </c>
      <c r="B483" s="94">
        <v>359.18846403395378</v>
      </c>
      <c r="C483" s="94">
        <v>301.01633461847462</v>
      </c>
      <c r="D483" s="94">
        <v>72.226000976562503</v>
      </c>
      <c r="E483" s="94">
        <v>6.0473999023437495</v>
      </c>
      <c r="F483" s="94">
        <v>72.405201227050043</v>
      </c>
      <c r="G483" s="94">
        <v>6.0298100667662577</v>
      </c>
      <c r="H483" s="94">
        <v>77.599999999999994</v>
      </c>
      <c r="I483" s="94">
        <v>14.694495785393466</v>
      </c>
      <c r="J483" s="94">
        <v>5309.1016582123902</v>
      </c>
      <c r="K483" s="94">
        <v>2.8948538170206901</v>
      </c>
      <c r="L483" s="94">
        <v>0</v>
      </c>
      <c r="M483" s="94">
        <v>0</v>
      </c>
      <c r="N483" s="94">
        <v>0</v>
      </c>
      <c r="O483" s="94">
        <v>0</v>
      </c>
    </row>
    <row r="484" spans="1:15" x14ac:dyDescent="0.25">
      <c r="A484" s="89">
        <v>44802.833333333336</v>
      </c>
      <c r="B484" s="94">
        <v>359.08</v>
      </c>
      <c r="C484" s="94">
        <v>300.9851304161698</v>
      </c>
      <c r="D484" s="94">
        <v>71.400000000000006</v>
      </c>
      <c r="E484" s="94">
        <v>5.9694787860255332</v>
      </c>
      <c r="F484" s="94">
        <v>75.403144476725316</v>
      </c>
      <c r="G484" s="94">
        <v>5.9695397949218751</v>
      </c>
      <c r="H484" s="94">
        <v>75.818284869838877</v>
      </c>
      <c r="I484" s="94">
        <v>14.242195927939452</v>
      </c>
      <c r="J484" s="94">
        <v>5035.5409298616723</v>
      </c>
      <c r="K484" s="94">
        <v>2.8524045475525153</v>
      </c>
      <c r="L484" s="94">
        <v>0</v>
      </c>
      <c r="M484" s="94">
        <v>0</v>
      </c>
      <c r="N484" s="94">
        <v>0</v>
      </c>
      <c r="O484" s="94">
        <v>0</v>
      </c>
    </row>
    <row r="485" spans="1:15" x14ac:dyDescent="0.25">
      <c r="A485" s="89">
        <v>44803.333333333336</v>
      </c>
      <c r="B485" s="94">
        <v>359.11</v>
      </c>
      <c r="C485" s="94">
        <v>300.98737228113856</v>
      </c>
      <c r="D485" s="94">
        <v>71.42309219003495</v>
      </c>
      <c r="E485" s="94">
        <v>5.9692704490716748</v>
      </c>
      <c r="F485" s="94">
        <v>75.400000000000006</v>
      </c>
      <c r="G485" s="94">
        <v>5.9476376697961424</v>
      </c>
      <c r="H485" s="94">
        <v>75.673726010274237</v>
      </c>
      <c r="I485" s="94">
        <v>14.199022688999134</v>
      </c>
      <c r="J485" s="94">
        <v>5025.9241354875057</v>
      </c>
      <c r="K485" s="94">
        <v>2.8510647272077705</v>
      </c>
      <c r="L485" s="94">
        <v>0</v>
      </c>
      <c r="M485" s="94">
        <v>0</v>
      </c>
      <c r="N485" s="94">
        <v>0</v>
      </c>
      <c r="O485" s="94">
        <v>0</v>
      </c>
    </row>
    <row r="486" spans="1:15" x14ac:dyDescent="0.25">
      <c r="A486" s="89">
        <v>44803.833333333336</v>
      </c>
      <c r="B486" s="94">
        <v>359.11</v>
      </c>
      <c r="C486" s="94">
        <v>301.44</v>
      </c>
      <c r="D486" s="94">
        <v>88.136941982595161</v>
      </c>
      <c r="E486" s="94">
        <v>6.9705851916482358</v>
      </c>
      <c r="F486" s="94">
        <v>87.8</v>
      </c>
      <c r="G486" s="94">
        <v>6.9695899963378904</v>
      </c>
      <c r="H486" s="94">
        <v>82.403493383282324</v>
      </c>
      <c r="I486" s="94">
        <v>15.910417801998184</v>
      </c>
      <c r="J486" s="94">
        <v>7974.8349808260045</v>
      </c>
      <c r="K486" s="94">
        <v>3.2855867291271696</v>
      </c>
      <c r="L486" s="94">
        <v>39</v>
      </c>
      <c r="M486" s="94">
        <v>39</v>
      </c>
      <c r="N486" s="94">
        <v>0</v>
      </c>
      <c r="O486" s="94">
        <v>0</v>
      </c>
    </row>
    <row r="487" spans="1:15" x14ac:dyDescent="0.25">
      <c r="A487" s="89">
        <v>44804.333333333336</v>
      </c>
      <c r="B487" s="94">
        <v>359.15324436897407</v>
      </c>
      <c r="C487" s="94">
        <v>301.44</v>
      </c>
      <c r="D487" s="94">
        <v>87.697202786542888</v>
      </c>
      <c r="E487" s="94">
        <v>6.95</v>
      </c>
      <c r="F487" s="94">
        <v>87.570179961369846</v>
      </c>
      <c r="G487" s="94">
        <v>6.9939974872589845</v>
      </c>
      <c r="H487" s="94">
        <v>82.424275174537371</v>
      </c>
      <c r="I487" s="94">
        <v>16.009100931960774</v>
      </c>
      <c r="J487" s="94">
        <v>7984.4196793993287</v>
      </c>
      <c r="K487" s="94">
        <v>3.2869999999999999</v>
      </c>
      <c r="L487" s="94">
        <v>38</v>
      </c>
      <c r="M487" s="94">
        <v>38</v>
      </c>
      <c r="N487" s="94">
        <v>0</v>
      </c>
      <c r="O487" s="94">
        <v>0</v>
      </c>
    </row>
    <row r="488" spans="1:15" x14ac:dyDescent="0.25">
      <c r="A488" s="89">
        <v>44804.833333333336</v>
      </c>
      <c r="B488" s="94">
        <v>359.17</v>
      </c>
      <c r="C488" s="94">
        <v>301.44</v>
      </c>
      <c r="D488" s="94">
        <v>86.107128130892761</v>
      </c>
      <c r="E488" s="94">
        <v>6.9540670314158728</v>
      </c>
      <c r="F488" s="94">
        <v>87.4</v>
      </c>
      <c r="G488" s="94">
        <v>6.9773023899504976</v>
      </c>
      <c r="H488" s="94">
        <v>82.474299621582034</v>
      </c>
      <c r="I488" s="94">
        <v>16.076069946289063</v>
      </c>
      <c r="J488" s="94">
        <v>7939.2477385054171</v>
      </c>
      <c r="K488" s="94">
        <v>3.281397491850456</v>
      </c>
      <c r="L488" s="94">
        <v>39</v>
      </c>
      <c r="M488" s="94">
        <v>39</v>
      </c>
      <c r="N488" s="94">
        <v>0</v>
      </c>
      <c r="O488" s="94">
        <v>0</v>
      </c>
    </row>
    <row r="489" spans="1:15" x14ac:dyDescent="0.25">
      <c r="A489" s="89">
        <v>44805.333333333336</v>
      </c>
      <c r="B489" s="94">
        <v>359.17738075482646</v>
      </c>
      <c r="C489" s="94">
        <v>301.44</v>
      </c>
      <c r="D489" s="94">
        <v>87.32241339676105</v>
      </c>
      <c r="E489" s="94">
        <v>6.9495108654270794</v>
      </c>
      <c r="F489" s="94">
        <v>87.037801657002376</v>
      </c>
      <c r="G489" s="94">
        <v>6.9509182694504092</v>
      </c>
      <c r="H489" s="94">
        <v>82.6</v>
      </c>
      <c r="I489" s="94">
        <v>15.956459655761719</v>
      </c>
      <c r="J489" s="94">
        <v>7991.3629027783982</v>
      </c>
      <c r="K489" s="94">
        <v>3.286</v>
      </c>
      <c r="L489" s="94">
        <v>39</v>
      </c>
      <c r="M489" s="94">
        <v>39</v>
      </c>
      <c r="N489" s="94">
        <v>0</v>
      </c>
      <c r="O489" s="94">
        <v>0</v>
      </c>
    </row>
    <row r="490" spans="1:15" x14ac:dyDescent="0.25">
      <c r="A490" s="89">
        <v>44805.833333333336</v>
      </c>
      <c r="B490" s="94">
        <v>359.18</v>
      </c>
      <c r="C490" s="94">
        <v>301.58</v>
      </c>
      <c r="D490" s="94">
        <v>87.301197561020174</v>
      </c>
      <c r="E490" s="94">
        <v>6.9394012213135978</v>
      </c>
      <c r="F490" s="94">
        <v>87.899144112179641</v>
      </c>
      <c r="G490" s="94">
        <v>6.9694609164420482</v>
      </c>
      <c r="H490" s="94">
        <v>82.4</v>
      </c>
      <c r="I490" s="94">
        <v>15.898444593196617</v>
      </c>
      <c r="J490" s="94">
        <v>9006.0715792580104</v>
      </c>
      <c r="K490" s="94">
        <v>3.4185832440870225</v>
      </c>
      <c r="L490" s="94">
        <v>39</v>
      </c>
      <c r="M490" s="94">
        <v>39</v>
      </c>
      <c r="N490" s="94">
        <v>34</v>
      </c>
      <c r="O490" s="94">
        <v>0</v>
      </c>
    </row>
    <row r="491" spans="1:15" x14ac:dyDescent="0.25">
      <c r="A491" s="89">
        <v>44806.333333333336</v>
      </c>
      <c r="B491" s="94">
        <v>359.15599762984186</v>
      </c>
      <c r="C491" s="94">
        <v>301.5742122833156</v>
      </c>
      <c r="D491" s="94">
        <v>86.17349549918228</v>
      </c>
      <c r="E491" s="94">
        <v>6.94</v>
      </c>
      <c r="F491" s="94">
        <v>87.655694684613451</v>
      </c>
      <c r="G491" s="94">
        <v>6.9589420865883929</v>
      </c>
      <c r="H491" s="94">
        <v>83.122900318566082</v>
      </c>
      <c r="I491" s="94">
        <v>15.994821525885559</v>
      </c>
      <c r="J491" s="94">
        <v>9013</v>
      </c>
      <c r="K491" s="94">
        <v>3.419</v>
      </c>
      <c r="L491" s="94">
        <v>38</v>
      </c>
      <c r="M491" s="94">
        <v>38</v>
      </c>
      <c r="N491" s="94">
        <v>33</v>
      </c>
      <c r="O491" s="94">
        <v>0</v>
      </c>
    </row>
    <row r="492" spans="1:15" x14ac:dyDescent="0.25">
      <c r="A492" s="89">
        <v>44806.833333333336</v>
      </c>
      <c r="B492" s="94">
        <v>359.15</v>
      </c>
      <c r="C492" s="94">
        <v>301.56</v>
      </c>
      <c r="D492" s="94">
        <v>88.698333824680532</v>
      </c>
      <c r="E492" s="94">
        <v>6.977295989918904</v>
      </c>
      <c r="F492" s="94">
        <v>87.9</v>
      </c>
      <c r="G492" s="94">
        <v>6.9275925093176225</v>
      </c>
      <c r="H492" s="94">
        <v>83.143123275738901</v>
      </c>
      <c r="I492" s="94">
        <v>16.047725556150141</v>
      </c>
      <c r="J492" s="94">
        <v>9092</v>
      </c>
      <c r="K492" s="94">
        <v>3.4289999999999998</v>
      </c>
      <c r="L492" s="94">
        <v>39</v>
      </c>
      <c r="M492" s="94">
        <v>39</v>
      </c>
      <c r="N492" s="94">
        <v>34</v>
      </c>
      <c r="O492" s="94">
        <v>0</v>
      </c>
    </row>
    <row r="493" spans="1:15" x14ac:dyDescent="0.25">
      <c r="A493" s="89">
        <v>44807.333333333336</v>
      </c>
      <c r="B493" s="94">
        <v>359.15</v>
      </c>
      <c r="C493" s="94">
        <v>301.56636051860784</v>
      </c>
      <c r="D493" s="94">
        <v>89.1</v>
      </c>
      <c r="E493" s="94">
        <v>6.96</v>
      </c>
      <c r="F493" s="94">
        <v>87.6</v>
      </c>
      <c r="G493" s="94">
        <v>6.9405652356986751</v>
      </c>
      <c r="H493" s="94">
        <v>83.664005239173392</v>
      </c>
      <c r="I493" s="94">
        <v>16.013025034770514</v>
      </c>
      <c r="J493" s="94">
        <v>9034.6288782573702</v>
      </c>
      <c r="K493" s="94">
        <v>3.4219989753847764</v>
      </c>
      <c r="L493" s="94">
        <v>38</v>
      </c>
      <c r="M493" s="94">
        <v>38</v>
      </c>
      <c r="N493" s="94">
        <v>33.917822488859741</v>
      </c>
      <c r="O493" s="94">
        <v>0</v>
      </c>
    </row>
    <row r="494" spans="1:15" x14ac:dyDescent="0.25">
      <c r="A494" s="89">
        <v>44807.833333333336</v>
      </c>
      <c r="B494" s="94">
        <v>359.15</v>
      </c>
      <c r="C494" s="94">
        <v>301.56</v>
      </c>
      <c r="D494" s="94">
        <v>88.383770397642209</v>
      </c>
      <c r="E494" s="94">
        <v>6.9197102934233392</v>
      </c>
      <c r="F494" s="94">
        <v>88.021085020879084</v>
      </c>
      <c r="G494" s="94">
        <v>6.97</v>
      </c>
      <c r="H494" s="94">
        <v>83.00230451558599</v>
      </c>
      <c r="I494" s="94">
        <v>15.908996742159594</v>
      </c>
      <c r="J494" s="94">
        <v>9048.8195016498958</v>
      </c>
      <c r="K494" s="94">
        <v>3.4232048812341214</v>
      </c>
      <c r="L494" s="94">
        <v>39</v>
      </c>
      <c r="M494" s="94">
        <v>38.583851896043633</v>
      </c>
      <c r="N494" s="94">
        <v>34</v>
      </c>
      <c r="O494" s="94">
        <v>0</v>
      </c>
    </row>
    <row r="495" spans="1:15" x14ac:dyDescent="0.25">
      <c r="A495" s="89">
        <v>44808.333333333336</v>
      </c>
      <c r="B495" s="94">
        <v>359.15</v>
      </c>
      <c r="C495" s="94">
        <v>301.56</v>
      </c>
      <c r="D495" s="94">
        <v>88.170171247209822</v>
      </c>
      <c r="E495" s="94">
        <v>6.9881235628245539</v>
      </c>
      <c r="F495" s="94">
        <v>87.8</v>
      </c>
      <c r="G495" s="94">
        <v>6.926301401122724</v>
      </c>
      <c r="H495" s="94">
        <v>83.893592582975671</v>
      </c>
      <c r="I495" s="94">
        <v>15.938970383834064</v>
      </c>
      <c r="J495" s="94">
        <v>9036</v>
      </c>
      <c r="K495" s="94">
        <v>3.4220000000000002</v>
      </c>
      <c r="L495" s="94">
        <v>38.523029677148131</v>
      </c>
      <c r="M495" s="94">
        <v>38</v>
      </c>
      <c r="N495" s="94">
        <v>34</v>
      </c>
      <c r="O495" s="94">
        <v>0</v>
      </c>
    </row>
    <row r="496" spans="1:15" x14ac:dyDescent="0.25">
      <c r="A496" s="89">
        <v>44808.833333333336</v>
      </c>
      <c r="B496" s="94">
        <v>359.15</v>
      </c>
      <c r="C496" s="94">
        <v>301.89999999999998</v>
      </c>
      <c r="D496" s="94">
        <v>89.523847605855181</v>
      </c>
      <c r="E496" s="94">
        <v>6.94</v>
      </c>
      <c r="F496" s="94">
        <v>88.7</v>
      </c>
      <c r="G496" s="94">
        <v>6.9092497253417973</v>
      </c>
      <c r="H496" s="94">
        <v>84.2</v>
      </c>
      <c r="I496" s="94">
        <v>16.030979238437855</v>
      </c>
      <c r="J496" s="94">
        <v>11639.96691392826</v>
      </c>
      <c r="K496" s="94">
        <v>3.7328508846502575</v>
      </c>
      <c r="L496" s="94">
        <v>52</v>
      </c>
      <c r="M496" s="94">
        <v>53</v>
      </c>
      <c r="N496" s="94">
        <v>52</v>
      </c>
      <c r="O496" s="94">
        <v>52.109484617829793</v>
      </c>
    </row>
    <row r="497" spans="1:15" x14ac:dyDescent="0.25">
      <c r="A497" s="89">
        <v>44809.333333333336</v>
      </c>
      <c r="B497" s="94">
        <v>358.91</v>
      </c>
      <c r="C497" s="94">
        <v>301.8949441258813</v>
      </c>
      <c r="D497" s="94">
        <v>88.6</v>
      </c>
      <c r="E497" s="94">
        <v>6.9506394622115177</v>
      </c>
      <c r="F497" s="94">
        <v>88.666154441715761</v>
      </c>
      <c r="G497" s="94">
        <v>6.9481556833259619</v>
      </c>
      <c r="H497" s="94">
        <v>84.4</v>
      </c>
      <c r="I497" s="94">
        <v>15.957918798383126</v>
      </c>
      <c r="J497" s="94">
        <v>11600</v>
      </c>
      <c r="K497" s="94">
        <v>3.7250715489745585</v>
      </c>
      <c r="L497" s="94">
        <v>52</v>
      </c>
      <c r="M497" s="94">
        <v>54</v>
      </c>
      <c r="N497" s="94">
        <v>52.561450754381092</v>
      </c>
      <c r="O497" s="94">
        <v>53</v>
      </c>
    </row>
    <row r="498" spans="1:15" x14ac:dyDescent="0.25">
      <c r="A498" s="89">
        <v>44809.833333333336</v>
      </c>
      <c r="B498" s="94">
        <v>358.91</v>
      </c>
      <c r="C498" s="94">
        <v>302.02393373843222</v>
      </c>
      <c r="D498" s="94">
        <v>90.891348131773668</v>
      </c>
      <c r="E498" s="94">
        <v>6.9304308604978289</v>
      </c>
      <c r="F498" s="94">
        <v>89.191348131773665</v>
      </c>
      <c r="G498" s="94">
        <v>6.920827276613938</v>
      </c>
      <c r="H498" s="94">
        <v>84.878973504858635</v>
      </c>
      <c r="I498" s="94">
        <v>15.904791447759148</v>
      </c>
      <c r="J498" s="94">
        <v>15044.036884210826</v>
      </c>
      <c r="K498" s="94">
        <v>4.0747984572170663</v>
      </c>
      <c r="L498" s="94">
        <v>17</v>
      </c>
      <c r="M498" s="94">
        <v>0</v>
      </c>
      <c r="N498" s="94">
        <v>0</v>
      </c>
      <c r="O498" s="94">
        <v>0</v>
      </c>
    </row>
    <row r="499" spans="1:15" x14ac:dyDescent="0.25">
      <c r="A499" s="89">
        <v>44810.333333333336</v>
      </c>
      <c r="B499" s="94">
        <v>358.8988919723302</v>
      </c>
      <c r="C499" s="94">
        <v>302.04000000000002</v>
      </c>
      <c r="D499" s="94">
        <v>90.2</v>
      </c>
      <c r="E499" s="94">
        <v>6.9644535319010421</v>
      </c>
      <c r="F499" s="94">
        <v>89.118380724953894</v>
      </c>
      <c r="G499" s="94">
        <v>6.9253191779865952</v>
      </c>
      <c r="H499" s="94">
        <v>85.505960732893342</v>
      </c>
      <c r="I499" s="94">
        <v>15.933186912315572</v>
      </c>
      <c r="J499" s="94">
        <v>15181.979145313606</v>
      </c>
      <c r="K499" s="94">
        <v>4.0879605655039724</v>
      </c>
      <c r="L499" s="94">
        <v>16</v>
      </c>
      <c r="M499" s="94">
        <v>0</v>
      </c>
      <c r="N499" s="94">
        <v>0</v>
      </c>
      <c r="O499" s="94">
        <v>0</v>
      </c>
    </row>
    <row r="500" spans="1:15" x14ac:dyDescent="0.25">
      <c r="A500" s="89">
        <v>44810.833333333336</v>
      </c>
      <c r="B500" s="94">
        <v>358.71</v>
      </c>
      <c r="C500" s="94">
        <v>301.99</v>
      </c>
      <c r="D500" s="94">
        <v>90.790917850939536</v>
      </c>
      <c r="E500" s="94">
        <v>6.955209697560381</v>
      </c>
      <c r="F500" s="94">
        <v>89.671318141422276</v>
      </c>
      <c r="G500" s="94">
        <v>6.9125801086425778</v>
      </c>
      <c r="H500" s="94">
        <v>85.147806924222621</v>
      </c>
      <c r="I500" s="94">
        <v>15.947603681018984</v>
      </c>
      <c r="J500" s="94">
        <v>14682.026355653714</v>
      </c>
      <c r="K500" s="94">
        <v>4.0383690619104913</v>
      </c>
      <c r="L500" s="94">
        <v>17</v>
      </c>
      <c r="M500" s="94">
        <v>0</v>
      </c>
      <c r="N500" s="94">
        <v>0</v>
      </c>
      <c r="O500" s="94">
        <v>0</v>
      </c>
    </row>
    <row r="501" spans="1:15" x14ac:dyDescent="0.25">
      <c r="A501" s="89">
        <v>44811.333333333336</v>
      </c>
      <c r="B501" s="94">
        <v>358.66113310659443</v>
      </c>
      <c r="C501" s="94">
        <v>301.96351150370299</v>
      </c>
      <c r="D501" s="94">
        <v>91.6</v>
      </c>
      <c r="E501" s="94">
        <v>6.9797801862776483</v>
      </c>
      <c r="F501" s="94">
        <v>89.681184712736041</v>
      </c>
      <c r="G501" s="94">
        <v>6.9146103006121891</v>
      </c>
      <c r="H501" s="94">
        <v>85.876884412001601</v>
      </c>
      <c r="I501" s="94">
        <v>16.012297309607675</v>
      </c>
      <c r="J501" s="94">
        <v>14396.027248470835</v>
      </c>
      <c r="K501" s="94">
        <v>4.0095466885507962</v>
      </c>
      <c r="L501" s="94">
        <v>17</v>
      </c>
      <c r="M501" s="94">
        <v>0</v>
      </c>
      <c r="N501" s="94">
        <v>0</v>
      </c>
      <c r="O501" s="94">
        <v>0</v>
      </c>
    </row>
    <row r="502" spans="1:15" x14ac:dyDescent="0.25">
      <c r="A502" s="89">
        <v>44811.833333333336</v>
      </c>
      <c r="B502" s="94">
        <v>358.5</v>
      </c>
      <c r="C502" s="94">
        <v>301.66000000000003</v>
      </c>
      <c r="D502" s="94">
        <v>68.037192528911461</v>
      </c>
      <c r="E502" s="94">
        <v>5.0102459768708316</v>
      </c>
      <c r="F502" s="94">
        <v>65.324372513008882</v>
      </c>
      <c r="G502" s="94">
        <v>4.9572867376395653</v>
      </c>
      <c r="H502" s="94">
        <v>85.72041413513405</v>
      </c>
      <c r="I502" s="94">
        <v>16.044729913615168</v>
      </c>
      <c r="J502" s="94">
        <v>9894</v>
      </c>
      <c r="K502" s="94">
        <v>3.528</v>
      </c>
      <c r="L502" s="94">
        <v>48</v>
      </c>
      <c r="M502" s="94">
        <v>44.177982479044502</v>
      </c>
      <c r="N502" s="94">
        <v>48</v>
      </c>
      <c r="O502" s="94">
        <v>22.253297587973695</v>
      </c>
    </row>
    <row r="503" spans="1:15" x14ac:dyDescent="0.25">
      <c r="A503" s="89">
        <v>44812.333333333336</v>
      </c>
      <c r="B503" s="94">
        <v>358.44176789813537</v>
      </c>
      <c r="C503" s="94">
        <v>300.98</v>
      </c>
      <c r="D503" s="94">
        <v>66.400000000000006</v>
      </c>
      <c r="E503" s="94">
        <v>5.0485579538162222</v>
      </c>
      <c r="F503" s="94">
        <v>67.864781275463812</v>
      </c>
      <c r="G503" s="94">
        <v>4.9864737055837569</v>
      </c>
      <c r="H503" s="94">
        <v>83.707164958458307</v>
      </c>
      <c r="I503" s="94">
        <v>15.999488502717172</v>
      </c>
      <c r="J503" s="94">
        <v>5009.1441165481474</v>
      </c>
      <c r="K503" s="94">
        <v>2.848350807475664</v>
      </c>
      <c r="L503" s="94">
        <v>0</v>
      </c>
      <c r="M503" s="94">
        <v>0</v>
      </c>
      <c r="N503" s="94">
        <v>0</v>
      </c>
      <c r="O503" s="94">
        <v>0</v>
      </c>
    </row>
    <row r="504" spans="1:15" x14ac:dyDescent="0.25">
      <c r="A504" s="89">
        <v>44812.833333333336</v>
      </c>
      <c r="B504" s="94">
        <v>358.44</v>
      </c>
      <c r="C504" s="94">
        <v>299.70100567061644</v>
      </c>
      <c r="D504" s="94">
        <v>1.8148839260005758</v>
      </c>
      <c r="E504" s="94">
        <v>0</v>
      </c>
      <c r="F504" s="94">
        <v>2.2000000000000002</v>
      </c>
      <c r="G504" s="94">
        <v>0</v>
      </c>
      <c r="H504" s="94">
        <v>0.5</v>
      </c>
      <c r="I504" s="94">
        <v>0</v>
      </c>
      <c r="J504" s="94">
        <v>451.39473312024006</v>
      </c>
      <c r="K504" s="94">
        <v>1.5418024457457333</v>
      </c>
      <c r="L504" s="94">
        <v>0</v>
      </c>
      <c r="M504" s="94">
        <v>0</v>
      </c>
      <c r="N504" s="94">
        <v>0</v>
      </c>
      <c r="O504" s="94">
        <v>14</v>
      </c>
    </row>
    <row r="505" spans="1:15" x14ac:dyDescent="0.25">
      <c r="A505" s="89">
        <v>44813.333333333336</v>
      </c>
      <c r="B505" s="94">
        <v>358.44</v>
      </c>
      <c r="C505" s="94">
        <v>299.70999999999998</v>
      </c>
      <c r="D505" s="94">
        <v>2.6841286221707148</v>
      </c>
      <c r="E505" s="94">
        <v>0</v>
      </c>
      <c r="F505" s="94">
        <v>2.1</v>
      </c>
      <c r="G505" s="94">
        <v>0</v>
      </c>
      <c r="H505" s="94">
        <v>1.5664642291409991</v>
      </c>
      <c r="I505" s="94">
        <v>0</v>
      </c>
      <c r="J505" s="94">
        <v>462.6055664204768</v>
      </c>
      <c r="K505" s="94">
        <v>1.55</v>
      </c>
      <c r="L505" s="94">
        <v>0</v>
      </c>
      <c r="M505" s="94">
        <v>0</v>
      </c>
      <c r="N505" s="94">
        <v>0</v>
      </c>
      <c r="O505" s="94">
        <v>13.725570055930016</v>
      </c>
    </row>
    <row r="506" spans="1:15" x14ac:dyDescent="0.25">
      <c r="A506" s="89">
        <v>44813.833333333336</v>
      </c>
      <c r="B506" s="94">
        <v>358.57</v>
      </c>
      <c r="C506" s="94">
        <v>300.78522989966353</v>
      </c>
      <c r="D506" s="94">
        <v>2.6725997924804688</v>
      </c>
      <c r="E506" s="94">
        <v>0</v>
      </c>
      <c r="F506" s="94">
        <v>2.0220761937175746</v>
      </c>
      <c r="G506" s="94">
        <v>0</v>
      </c>
      <c r="H506" s="94">
        <v>88.438900020204741</v>
      </c>
      <c r="I506" s="94">
        <v>17.131259530344618</v>
      </c>
      <c r="J506" s="94">
        <v>4358</v>
      </c>
      <c r="K506" s="94">
        <v>2.7362220919936231</v>
      </c>
      <c r="L506" s="94">
        <v>0</v>
      </c>
      <c r="M506" s="94">
        <v>0</v>
      </c>
      <c r="N506" s="94">
        <v>11</v>
      </c>
      <c r="O506" s="94">
        <v>24</v>
      </c>
    </row>
    <row r="507" spans="1:15" x14ac:dyDescent="0.25">
      <c r="A507" s="89">
        <v>44814.333333333336</v>
      </c>
      <c r="B507" s="94">
        <v>358.57</v>
      </c>
      <c r="C507" s="94">
        <v>300.77999999999997</v>
      </c>
      <c r="D507" s="94">
        <v>2.6063318643838342</v>
      </c>
      <c r="E507" s="94">
        <v>0</v>
      </c>
      <c r="F507" s="94">
        <v>2.0951947456850468</v>
      </c>
      <c r="G507" s="94">
        <v>0</v>
      </c>
      <c r="H507" s="94">
        <v>87.813136935778729</v>
      </c>
      <c r="I507" s="94">
        <v>17.025261493040912</v>
      </c>
      <c r="J507" s="94">
        <v>4356.8075625530846</v>
      </c>
      <c r="K507" s="94">
        <v>2.7381435679260187</v>
      </c>
      <c r="L507" s="94">
        <v>0</v>
      </c>
      <c r="M507" s="94">
        <v>0</v>
      </c>
      <c r="N507" s="94">
        <v>11</v>
      </c>
      <c r="O507" s="94">
        <v>24</v>
      </c>
    </row>
    <row r="508" spans="1:15" x14ac:dyDescent="0.25">
      <c r="A508" s="89">
        <v>44814.833333333336</v>
      </c>
      <c r="B508" s="94">
        <v>358.57</v>
      </c>
      <c r="C508" s="94">
        <v>301.05</v>
      </c>
      <c r="D508" s="94">
        <v>2.6</v>
      </c>
      <c r="E508" s="94">
        <v>0</v>
      </c>
      <c r="F508" s="94">
        <v>2</v>
      </c>
      <c r="G508" s="94">
        <v>0</v>
      </c>
      <c r="H508" s="94">
        <v>88.3</v>
      </c>
      <c r="I508" s="94">
        <v>16.996523108812543</v>
      </c>
      <c r="J508" s="94">
        <v>5975.4192680636424</v>
      </c>
      <c r="K508" s="94">
        <v>3.004</v>
      </c>
      <c r="L508" s="94">
        <v>31</v>
      </c>
      <c r="M508" s="94">
        <v>0</v>
      </c>
      <c r="N508" s="94">
        <v>26</v>
      </c>
      <c r="O508" s="94">
        <v>27</v>
      </c>
    </row>
    <row r="509" spans="1:15" x14ac:dyDescent="0.25">
      <c r="A509" s="89">
        <v>44815.333333333336</v>
      </c>
      <c r="B509" s="94">
        <v>358.57</v>
      </c>
      <c r="C509" s="94">
        <v>301.05</v>
      </c>
      <c r="D509" s="94">
        <v>2.525926378493967</v>
      </c>
      <c r="E509" s="94">
        <v>0</v>
      </c>
      <c r="F509" s="94">
        <v>1.9493000843761754</v>
      </c>
      <c r="G509" s="94">
        <v>0</v>
      </c>
      <c r="H509" s="94">
        <v>87.402367146809908</v>
      </c>
      <c r="I509" s="94">
        <v>16.948582566851435</v>
      </c>
      <c r="J509" s="94">
        <v>5982.453486034301</v>
      </c>
      <c r="K509" s="94">
        <v>3.0033502693778651</v>
      </c>
      <c r="L509" s="94">
        <v>30</v>
      </c>
      <c r="M509" s="94">
        <v>0</v>
      </c>
      <c r="N509" s="94">
        <v>26</v>
      </c>
      <c r="O509" s="94">
        <v>27</v>
      </c>
    </row>
    <row r="510" spans="1:15" x14ac:dyDescent="0.25">
      <c r="A510" s="89">
        <v>44815.833333333336</v>
      </c>
      <c r="B510" s="94">
        <v>358.57</v>
      </c>
      <c r="C510" s="94">
        <v>301.61</v>
      </c>
      <c r="D510" s="94">
        <v>2.552749824523926</v>
      </c>
      <c r="E510" s="94">
        <v>0</v>
      </c>
      <c r="F510" s="94">
        <v>1.9</v>
      </c>
      <c r="G510" s="94">
        <v>0</v>
      </c>
      <c r="H510" s="94">
        <v>89.648661806827207</v>
      </c>
      <c r="I510" s="94">
        <v>16.883619384765627</v>
      </c>
      <c r="J510" s="94">
        <v>9839.7491099442104</v>
      </c>
      <c r="K510" s="94">
        <v>3.5216131563454574</v>
      </c>
      <c r="L510" s="94">
        <v>101</v>
      </c>
      <c r="M510" s="94">
        <v>0</v>
      </c>
      <c r="N510" s="94">
        <v>100</v>
      </c>
      <c r="O510" s="94">
        <v>101</v>
      </c>
    </row>
    <row r="511" spans="1:15" x14ac:dyDescent="0.25">
      <c r="A511" s="89">
        <v>44816.333333333336</v>
      </c>
      <c r="B511" s="94">
        <v>359.21</v>
      </c>
      <c r="C511" s="94">
        <v>301.62</v>
      </c>
      <c r="D511" s="94">
        <v>1.3078120244303311</v>
      </c>
      <c r="E511" s="94">
        <v>0</v>
      </c>
      <c r="F511" s="94">
        <v>1.9</v>
      </c>
      <c r="G511" s="94">
        <v>0</v>
      </c>
      <c r="H511" s="94">
        <v>89.7</v>
      </c>
      <c r="I511" s="94">
        <v>17.022238743329936</v>
      </c>
      <c r="J511" s="94">
        <v>9842.7338662024486</v>
      </c>
      <c r="K511" s="94">
        <v>3.5219610079169157</v>
      </c>
      <c r="L511" s="94">
        <v>100</v>
      </c>
      <c r="M511" s="94">
        <v>0</v>
      </c>
      <c r="N511" s="94">
        <v>99</v>
      </c>
      <c r="O511" s="94">
        <v>100</v>
      </c>
    </row>
    <row r="512" spans="1:15" x14ac:dyDescent="0.25">
      <c r="A512" s="89">
        <v>44816.833333333336</v>
      </c>
      <c r="B512" s="94">
        <v>359.21</v>
      </c>
      <c r="C512" s="94">
        <v>302.17201191385368</v>
      </c>
      <c r="D512" s="94">
        <v>90.3</v>
      </c>
      <c r="E512" s="94">
        <v>6.9705224132119987</v>
      </c>
      <c r="F512" s="94">
        <v>87.824718376289908</v>
      </c>
      <c r="G512" s="94">
        <v>6.895210457916062</v>
      </c>
      <c r="H512" s="94">
        <v>91.825632071410539</v>
      </c>
      <c r="I512" s="94">
        <v>16.929456500883614</v>
      </c>
      <c r="J512" s="94">
        <v>16637.640107777854</v>
      </c>
      <c r="K512" s="94">
        <v>4.2241501512401385</v>
      </c>
      <c r="L512" s="94">
        <v>85.636532651301948</v>
      </c>
      <c r="M512" s="94">
        <v>0</v>
      </c>
      <c r="N512" s="94">
        <v>0</v>
      </c>
      <c r="O512" s="94">
        <v>0</v>
      </c>
    </row>
    <row r="513" spans="1:15" x14ac:dyDescent="0.25">
      <c r="A513" s="89">
        <v>44817.333333333336</v>
      </c>
      <c r="B513" s="94">
        <v>359.1</v>
      </c>
      <c r="C513" s="94">
        <v>302.18873623564184</v>
      </c>
      <c r="D513" s="94">
        <v>90.286088865085858</v>
      </c>
      <c r="E513" s="94">
        <v>6.9791675057704525</v>
      </c>
      <c r="F513" s="94">
        <v>88.2</v>
      </c>
      <c r="G513" s="94">
        <v>6.9368064974619292</v>
      </c>
      <c r="H513" s="94">
        <v>92.971660152121871</v>
      </c>
      <c r="I513" s="94">
        <v>17.070501337818207</v>
      </c>
      <c r="J513" s="94">
        <v>16721.989271388571</v>
      </c>
      <c r="K513" s="94">
        <v>4.2319535873708212</v>
      </c>
      <c r="L513" s="94">
        <v>99</v>
      </c>
      <c r="M513" s="94">
        <v>0</v>
      </c>
      <c r="N513" s="94">
        <v>0</v>
      </c>
      <c r="O513" s="94">
        <v>0</v>
      </c>
    </row>
    <row r="514" spans="1:15" x14ac:dyDescent="0.25">
      <c r="A514" s="89">
        <v>44817.833333333336</v>
      </c>
      <c r="B514" s="94">
        <v>359.1</v>
      </c>
      <c r="C514" s="94">
        <v>302.02</v>
      </c>
      <c r="D514" s="94">
        <v>90.302100372314456</v>
      </c>
      <c r="E514" s="94">
        <v>6.959579502062013</v>
      </c>
      <c r="F514" s="94">
        <v>88.76629012021192</v>
      </c>
      <c r="G514" s="94">
        <v>6.9984399414062501</v>
      </c>
      <c r="H514" s="94">
        <v>89.622050284250946</v>
      </c>
      <c r="I514" s="94">
        <v>16.791483935681935</v>
      </c>
      <c r="J514" s="94">
        <v>15035.895243940855</v>
      </c>
      <c r="K514" s="94">
        <v>4.073988032917681</v>
      </c>
      <c r="L514" s="94">
        <v>10</v>
      </c>
      <c r="M514" s="94">
        <v>0</v>
      </c>
      <c r="N514" s="94">
        <v>0</v>
      </c>
      <c r="O514" s="94">
        <v>0</v>
      </c>
    </row>
    <row r="515" spans="1:15" x14ac:dyDescent="0.25">
      <c r="A515" s="89">
        <v>44818.333333333336</v>
      </c>
      <c r="B515" s="94">
        <v>359.09103201050067</v>
      </c>
      <c r="C515" s="94">
        <v>302.02999999999997</v>
      </c>
      <c r="D515" s="94">
        <v>90.2</v>
      </c>
      <c r="E515" s="94">
        <v>7.0078500366210932</v>
      </c>
      <c r="F515" s="94">
        <v>88.7</v>
      </c>
      <c r="G515" s="94">
        <v>6.9308001708984373</v>
      </c>
      <c r="H515" s="94">
        <v>90.5</v>
      </c>
      <c r="I515" s="94">
        <v>16.884299926757812</v>
      </c>
      <c r="J515" s="94">
        <v>15152.239079096504</v>
      </c>
      <c r="K515" s="94">
        <v>4.085052420535165</v>
      </c>
      <c r="L515" s="94">
        <v>10</v>
      </c>
      <c r="M515" s="94">
        <v>0</v>
      </c>
      <c r="N515" s="94">
        <v>0</v>
      </c>
      <c r="O515" s="94">
        <v>0</v>
      </c>
    </row>
    <row r="516" spans="1:15" x14ac:dyDescent="0.25">
      <c r="A516" s="89">
        <v>44818.833333333336</v>
      </c>
      <c r="B516" s="94">
        <v>358.94</v>
      </c>
      <c r="C516" s="94">
        <v>301.31242264672613</v>
      </c>
      <c r="D516" s="94">
        <v>87.597878736948161</v>
      </c>
      <c r="E516" s="94">
        <v>7.0425475789425542</v>
      </c>
      <c r="F516" s="94">
        <v>85.1</v>
      </c>
      <c r="G516" s="94">
        <v>7.017392961253492</v>
      </c>
      <c r="H516" s="94">
        <v>88</v>
      </c>
      <c r="I516" s="94">
        <v>16.755350202583902</v>
      </c>
      <c r="J516" s="94">
        <v>7219.5436631024895</v>
      </c>
      <c r="K516" s="94">
        <v>3.184039311113819</v>
      </c>
      <c r="L516" s="94">
        <v>1</v>
      </c>
      <c r="M516" s="94">
        <v>0</v>
      </c>
      <c r="N516" s="94">
        <v>0</v>
      </c>
      <c r="O516" s="94">
        <v>43</v>
      </c>
    </row>
    <row r="517" spans="1:15" x14ac:dyDescent="0.25">
      <c r="A517" s="89">
        <v>44819.333333333336</v>
      </c>
      <c r="B517" s="94">
        <v>358.93762067982152</v>
      </c>
      <c r="C517" s="94">
        <v>301.30938650929482</v>
      </c>
      <c r="D517" s="94">
        <v>86.317933654785151</v>
      </c>
      <c r="E517" s="94">
        <v>7.0122003173828125</v>
      </c>
      <c r="F517" s="94">
        <v>83.8</v>
      </c>
      <c r="G517" s="94">
        <v>6.989059753417969</v>
      </c>
      <c r="H517" s="94">
        <v>87.814280306166665</v>
      </c>
      <c r="I517" s="94">
        <v>16.739951891400064</v>
      </c>
      <c r="J517" s="94">
        <v>7197.1494863225562</v>
      </c>
      <c r="K517" s="94">
        <v>3.1804288075980476</v>
      </c>
      <c r="L517" s="94">
        <v>0</v>
      </c>
      <c r="M517" s="94">
        <v>0</v>
      </c>
      <c r="N517" s="94">
        <v>0</v>
      </c>
      <c r="O517" s="94">
        <v>42</v>
      </c>
    </row>
    <row r="518" spans="1:15" x14ac:dyDescent="0.25">
      <c r="A518" s="89">
        <v>44819.833333333336</v>
      </c>
      <c r="B518" s="94">
        <v>358.91</v>
      </c>
      <c r="C518" s="94">
        <v>299.8</v>
      </c>
      <c r="D518" s="94">
        <v>1.9054607635881551</v>
      </c>
      <c r="E518" s="94">
        <v>0</v>
      </c>
      <c r="F518" s="94">
        <v>43.95053405761719</v>
      </c>
      <c r="G518" s="94">
        <v>2.4462898254394529</v>
      </c>
      <c r="H518" s="94">
        <v>0.571780863639616</v>
      </c>
      <c r="I518" s="94">
        <v>0</v>
      </c>
      <c r="J518" s="94">
        <v>564.6057841186381</v>
      </c>
      <c r="K518" s="94">
        <v>1.628680235538613</v>
      </c>
      <c r="L518" s="94">
        <v>0</v>
      </c>
      <c r="M518" s="94">
        <v>0</v>
      </c>
      <c r="N518" s="94">
        <v>0</v>
      </c>
      <c r="O518" s="94">
        <v>0</v>
      </c>
    </row>
    <row r="519" spans="1:15" x14ac:dyDescent="0.25">
      <c r="A519" s="89">
        <v>44820.333333333336</v>
      </c>
      <c r="B519" s="94">
        <v>359.00138977537233</v>
      </c>
      <c r="C519" s="94">
        <v>299.79246535663378</v>
      </c>
      <c r="D519" s="94">
        <v>2.5414272408475291</v>
      </c>
      <c r="E519" s="94">
        <v>0</v>
      </c>
      <c r="F519" s="94">
        <v>43.796776481875206</v>
      </c>
      <c r="G519" s="94">
        <v>2.4695599365234373</v>
      </c>
      <c r="H519" s="94">
        <v>1.4243581986342813</v>
      </c>
      <c r="I519" s="94">
        <v>0</v>
      </c>
      <c r="J519" s="94">
        <v>552.80164062033589</v>
      </c>
      <c r="K519" s="94">
        <v>1.6201992156940332</v>
      </c>
      <c r="L519" s="94">
        <v>0</v>
      </c>
      <c r="M519" s="94">
        <v>0</v>
      </c>
      <c r="N519" s="94">
        <v>0</v>
      </c>
      <c r="O519" s="94">
        <v>0</v>
      </c>
    </row>
    <row r="520" spans="1:15" x14ac:dyDescent="0.25">
      <c r="A520" s="89">
        <v>44820.833333333336</v>
      </c>
      <c r="B520" s="94">
        <v>359.09</v>
      </c>
      <c r="C520" s="94">
        <v>301.20860508585133</v>
      </c>
      <c r="D520" s="94">
        <v>87.986856493590679</v>
      </c>
      <c r="E520" s="94">
        <v>6.9720162436548225</v>
      </c>
      <c r="F520" s="94">
        <v>86.493793107958098</v>
      </c>
      <c r="G520" s="94">
        <v>6.9489311456984391</v>
      </c>
      <c r="H520" s="94">
        <v>82.53338091866199</v>
      </c>
      <c r="I520" s="94">
        <v>16.079355488268725</v>
      </c>
      <c r="J520" s="94">
        <v>6353.166566691978</v>
      </c>
      <c r="K520" s="94">
        <v>3.0576081412430747</v>
      </c>
      <c r="L520" s="94">
        <v>20</v>
      </c>
      <c r="M520" s="94">
        <v>0</v>
      </c>
      <c r="N520" s="94">
        <v>0</v>
      </c>
      <c r="O520" s="94">
        <v>0</v>
      </c>
    </row>
    <row r="521" spans="1:15" x14ac:dyDescent="0.25">
      <c r="A521" s="89">
        <v>44821.333333333336</v>
      </c>
      <c r="B521" s="94">
        <v>359.09</v>
      </c>
      <c r="C521" s="94">
        <v>301.20896001180012</v>
      </c>
      <c r="D521" s="94">
        <v>87.131606837087247</v>
      </c>
      <c r="E521" s="94">
        <v>6.9886473429951694</v>
      </c>
      <c r="F521" s="94">
        <v>86.4</v>
      </c>
      <c r="G521" s="94">
        <v>7.0096310366930883</v>
      </c>
      <c r="H521" s="94">
        <v>81.911766520812307</v>
      </c>
      <c r="I521" s="94">
        <v>16.016174655764612</v>
      </c>
      <c r="J521" s="94">
        <v>6357.2354551332373</v>
      </c>
      <c r="K521" s="94">
        <v>3.0592544704971827</v>
      </c>
      <c r="L521" s="94">
        <v>20</v>
      </c>
      <c r="M521" s="94">
        <v>0</v>
      </c>
      <c r="N521" s="94">
        <v>0</v>
      </c>
      <c r="O521" s="94">
        <v>0</v>
      </c>
    </row>
    <row r="522" spans="1:15" x14ac:dyDescent="0.25">
      <c r="A522" s="89">
        <v>44821.833333333336</v>
      </c>
      <c r="B522" s="94">
        <v>359.09</v>
      </c>
      <c r="C522" s="94">
        <v>300.79980058922717</v>
      </c>
      <c r="D522" s="94">
        <v>43.826795540744961</v>
      </c>
      <c r="E522" s="94">
        <v>2.7242704655846466</v>
      </c>
      <c r="F522" s="94">
        <v>35.39691698129122</v>
      </c>
      <c r="G522" s="94">
        <v>2.2291949732821355</v>
      </c>
      <c r="H522" s="94">
        <v>79.504901123046878</v>
      </c>
      <c r="I522" s="94">
        <v>15.487059326171876</v>
      </c>
      <c r="J522" s="94">
        <v>4035.3842614484556</v>
      </c>
      <c r="K522" s="94">
        <v>2.6794675327892081</v>
      </c>
      <c r="L522" s="94">
        <v>0</v>
      </c>
      <c r="M522" s="94">
        <v>0</v>
      </c>
      <c r="N522" s="94">
        <v>0</v>
      </c>
      <c r="O522" s="94">
        <v>0</v>
      </c>
    </row>
    <row r="523" spans="1:15" x14ac:dyDescent="0.25">
      <c r="A523" s="89">
        <v>44822.333333333336</v>
      </c>
      <c r="B523" s="94">
        <v>359.09</v>
      </c>
      <c r="C523" s="94">
        <v>300.79561345868314</v>
      </c>
      <c r="D523" s="94">
        <v>43.101596954314722</v>
      </c>
      <c r="E523" s="94">
        <v>2.6621601867675784</v>
      </c>
      <c r="F523" s="94">
        <v>34.101596954314722</v>
      </c>
      <c r="G523" s="94">
        <v>2.1605401611328126</v>
      </c>
      <c r="H523" s="94">
        <v>79.7</v>
      </c>
      <c r="I523" s="94">
        <v>15.460347602091069</v>
      </c>
      <c r="J523" s="94">
        <v>4050</v>
      </c>
      <c r="K523" s="94">
        <v>2.6819999999999999</v>
      </c>
      <c r="L523" s="94">
        <v>0</v>
      </c>
      <c r="M523" s="94">
        <v>0</v>
      </c>
      <c r="N523" s="94">
        <v>0</v>
      </c>
      <c r="O523" s="94">
        <v>0</v>
      </c>
    </row>
    <row r="524" spans="1:15" x14ac:dyDescent="0.25">
      <c r="A524" s="89">
        <v>44822.833333333336</v>
      </c>
      <c r="B524" s="94">
        <v>359.09</v>
      </c>
      <c r="C524" s="94">
        <v>299.74</v>
      </c>
      <c r="D524" s="94">
        <v>1.7</v>
      </c>
      <c r="E524" s="94">
        <v>0</v>
      </c>
      <c r="F524" s="94">
        <v>1</v>
      </c>
      <c r="G524" s="94">
        <v>0</v>
      </c>
      <c r="H524" s="94">
        <v>0.54859440866696152</v>
      </c>
      <c r="I524" s="94">
        <v>0</v>
      </c>
      <c r="J524" s="94">
        <v>504.0054907805079</v>
      </c>
      <c r="K524" s="94">
        <v>1.5821872222785696</v>
      </c>
      <c r="L524" s="94">
        <v>15</v>
      </c>
      <c r="M524" s="94">
        <v>0</v>
      </c>
      <c r="N524" s="94">
        <v>0</v>
      </c>
      <c r="O524" s="94">
        <v>0</v>
      </c>
    </row>
    <row r="525" spans="1:15" x14ac:dyDescent="0.25">
      <c r="A525" s="89">
        <v>44823.333333333336</v>
      </c>
      <c r="B525" s="94">
        <v>359.9684280273537</v>
      </c>
      <c r="C525" s="94">
        <v>299.74</v>
      </c>
      <c r="D525" s="94">
        <v>2.588987136511645</v>
      </c>
      <c r="E525" s="94">
        <v>0</v>
      </c>
      <c r="F525" s="94">
        <v>1.9</v>
      </c>
      <c r="G525" s="94">
        <v>0</v>
      </c>
      <c r="H525" s="94">
        <v>1.5358039470359928</v>
      </c>
      <c r="I525" s="94">
        <v>0</v>
      </c>
      <c r="J525" s="94">
        <v>501.8019016696386</v>
      </c>
      <c r="K525" s="94">
        <v>1.58</v>
      </c>
      <c r="L525" s="94">
        <v>15</v>
      </c>
      <c r="M525" s="94">
        <v>0</v>
      </c>
      <c r="N525" s="94">
        <v>0</v>
      </c>
      <c r="O525" s="94">
        <v>0</v>
      </c>
    </row>
    <row r="526" spans="1:15" x14ac:dyDescent="0.25">
      <c r="A526" s="89">
        <v>44823.833333333336</v>
      </c>
      <c r="B526" s="94">
        <v>359.77</v>
      </c>
      <c r="C526" s="94">
        <v>299.74</v>
      </c>
      <c r="D526" s="94">
        <v>2.5</v>
      </c>
      <c r="E526" s="94">
        <v>0</v>
      </c>
      <c r="F526" s="94">
        <v>1.9</v>
      </c>
      <c r="G526" s="94">
        <v>0</v>
      </c>
      <c r="H526" s="94">
        <v>1.5804330417088102</v>
      </c>
      <c r="I526" s="94">
        <v>0</v>
      </c>
      <c r="J526" s="94">
        <v>498</v>
      </c>
      <c r="K526" s="94">
        <v>1.5775303814530637</v>
      </c>
      <c r="L526" s="94">
        <v>16</v>
      </c>
      <c r="M526" s="94">
        <v>0</v>
      </c>
      <c r="N526" s="94">
        <v>0</v>
      </c>
      <c r="O526" s="94">
        <v>0</v>
      </c>
    </row>
    <row r="527" spans="1:15" x14ac:dyDescent="0.25">
      <c r="A527" s="89">
        <v>44824.333333333336</v>
      </c>
      <c r="B527" s="94">
        <v>360.04</v>
      </c>
      <c r="C527" s="94">
        <v>299.74</v>
      </c>
      <c r="D527" s="94">
        <v>2.4774110441171446</v>
      </c>
      <c r="E527" s="94">
        <v>0</v>
      </c>
      <c r="F527" s="94">
        <v>1.8517523159285481</v>
      </c>
      <c r="G527" s="94">
        <v>0</v>
      </c>
      <c r="H527" s="94">
        <v>1.6</v>
      </c>
      <c r="I527" s="94">
        <v>0</v>
      </c>
      <c r="J527" s="94">
        <v>498</v>
      </c>
      <c r="K527" s="94">
        <v>1.58</v>
      </c>
      <c r="L527" s="94">
        <v>15</v>
      </c>
      <c r="M527" s="94">
        <v>0</v>
      </c>
      <c r="N527" s="94">
        <v>0</v>
      </c>
      <c r="O527" s="94">
        <v>0</v>
      </c>
    </row>
    <row r="528" spans="1:15" x14ac:dyDescent="0.25">
      <c r="A528" s="89">
        <v>44824.833333333336</v>
      </c>
      <c r="B528" s="94">
        <v>360.04</v>
      </c>
      <c r="C528" s="94">
        <v>299.69</v>
      </c>
      <c r="D528" s="94">
        <v>2.5</v>
      </c>
      <c r="E528" s="94">
        <v>0</v>
      </c>
      <c r="F528" s="94">
        <v>1.8126937253896431</v>
      </c>
      <c r="G528" s="94">
        <v>0</v>
      </c>
      <c r="H528" s="94">
        <v>1.6</v>
      </c>
      <c r="I528" s="94">
        <v>0</v>
      </c>
      <c r="J528" s="94">
        <v>437</v>
      </c>
      <c r="K528" s="94">
        <v>1.5280693571300312</v>
      </c>
      <c r="L528" s="94">
        <v>13</v>
      </c>
      <c r="M528" s="94">
        <v>0</v>
      </c>
      <c r="N528" s="94">
        <v>0</v>
      </c>
      <c r="O528" s="94">
        <v>0</v>
      </c>
    </row>
    <row r="529" spans="1:15" x14ac:dyDescent="0.25">
      <c r="A529" s="89">
        <v>44825.333333333336</v>
      </c>
      <c r="B529" s="94">
        <v>360.04</v>
      </c>
      <c r="C529" s="94">
        <v>299.69</v>
      </c>
      <c r="D529" s="94">
        <v>2.4502288055882815</v>
      </c>
      <c r="E529" s="94">
        <v>0</v>
      </c>
      <c r="F529" s="94">
        <v>1.892030152892185</v>
      </c>
      <c r="G529" s="94">
        <v>0</v>
      </c>
      <c r="H529" s="94">
        <v>1.6</v>
      </c>
      <c r="I529" s="94">
        <v>0</v>
      </c>
      <c r="J529" s="94">
        <v>440.20640942416452</v>
      </c>
      <c r="K529" s="94">
        <v>1.5311643677706437</v>
      </c>
      <c r="L529" s="94">
        <v>13</v>
      </c>
      <c r="M529" s="94">
        <v>0</v>
      </c>
      <c r="N529" s="94">
        <v>0</v>
      </c>
      <c r="O529" s="94">
        <v>0</v>
      </c>
    </row>
    <row r="530" spans="1:15" x14ac:dyDescent="0.25">
      <c r="A530" s="89">
        <v>44825.833333333336</v>
      </c>
      <c r="B530" s="94">
        <v>360.04</v>
      </c>
      <c r="C530" s="94">
        <v>299.74</v>
      </c>
      <c r="D530" s="94">
        <v>2.4277047779834429</v>
      </c>
      <c r="E530" s="94">
        <v>0</v>
      </c>
      <c r="F530" s="94">
        <v>1.8320855276925223</v>
      </c>
      <c r="G530" s="94">
        <v>0</v>
      </c>
      <c r="H530" s="94">
        <v>1.6</v>
      </c>
      <c r="I530" s="94">
        <v>0</v>
      </c>
      <c r="J530" s="94">
        <v>478.19834353382498</v>
      </c>
      <c r="K530" s="94">
        <v>1.5606063729383843</v>
      </c>
      <c r="L530" s="94">
        <v>15</v>
      </c>
      <c r="M530" s="94">
        <v>0</v>
      </c>
      <c r="N530" s="94">
        <v>0</v>
      </c>
      <c r="O530" s="94">
        <v>0</v>
      </c>
    </row>
    <row r="531" spans="1:15" x14ac:dyDescent="0.25">
      <c r="A531" s="89">
        <v>44826.333333333336</v>
      </c>
      <c r="B531" s="94">
        <v>360.04</v>
      </c>
      <c r="C531" s="94">
        <v>299.74</v>
      </c>
      <c r="D531" s="94">
        <v>2.5</v>
      </c>
      <c r="E531" s="94">
        <v>0</v>
      </c>
      <c r="F531" s="94">
        <v>1.8</v>
      </c>
      <c r="G531" s="94">
        <v>0</v>
      </c>
      <c r="H531" s="94">
        <v>1.6</v>
      </c>
      <c r="I531" s="94">
        <v>0</v>
      </c>
      <c r="J531" s="94">
        <v>508</v>
      </c>
      <c r="K531" s="94">
        <v>1.5840000000000001</v>
      </c>
      <c r="L531" s="94">
        <v>15</v>
      </c>
      <c r="M531" s="94">
        <v>0</v>
      </c>
      <c r="N531" s="94">
        <v>0</v>
      </c>
      <c r="O531" s="94">
        <v>0</v>
      </c>
    </row>
    <row r="532" spans="1:15" x14ac:dyDescent="0.25">
      <c r="A532" s="89">
        <v>44826.833333333336</v>
      </c>
      <c r="B532" s="94">
        <v>360.04</v>
      </c>
      <c r="C532" s="94">
        <v>300.66695189508579</v>
      </c>
      <c r="D532" s="94">
        <v>84.2</v>
      </c>
      <c r="E532" s="94">
        <v>6.9598749542236327</v>
      </c>
      <c r="F532" s="94">
        <v>83.207310932461539</v>
      </c>
      <c r="G532" s="94">
        <v>6.9497200012207037</v>
      </c>
      <c r="H532" s="94">
        <v>1.6</v>
      </c>
      <c r="I532" s="94">
        <v>0</v>
      </c>
      <c r="J532" s="94">
        <v>3096</v>
      </c>
      <c r="K532" s="94">
        <v>2.4940000000000002</v>
      </c>
      <c r="L532" s="94">
        <v>14</v>
      </c>
      <c r="M532" s="94">
        <v>0</v>
      </c>
      <c r="N532" s="94">
        <v>0</v>
      </c>
      <c r="O532" s="94">
        <v>0</v>
      </c>
    </row>
    <row r="533" spans="1:15" x14ac:dyDescent="0.25">
      <c r="A533" s="89">
        <v>44827.333333333336</v>
      </c>
      <c r="B533" s="94">
        <v>360.56</v>
      </c>
      <c r="C533" s="94">
        <v>300.66826085924657</v>
      </c>
      <c r="D533" s="94">
        <v>84.268700857587874</v>
      </c>
      <c r="E533" s="94">
        <v>6.9892191903223591</v>
      </c>
      <c r="F533" s="94">
        <v>83.2</v>
      </c>
      <c r="G533" s="94">
        <v>6.95</v>
      </c>
      <c r="H533" s="94">
        <v>1.6</v>
      </c>
      <c r="I533" s="94">
        <v>0</v>
      </c>
      <c r="J533" s="94">
        <v>3104.0427672006617</v>
      </c>
      <c r="K533" s="94">
        <v>2.4958572692158825</v>
      </c>
      <c r="L533" s="94">
        <v>14</v>
      </c>
      <c r="M533" s="94">
        <v>0</v>
      </c>
      <c r="N533" s="94">
        <v>0</v>
      </c>
      <c r="O533" s="94">
        <v>0</v>
      </c>
    </row>
    <row r="534" spans="1:15" x14ac:dyDescent="0.25">
      <c r="A534" s="89">
        <v>44827.833333333336</v>
      </c>
      <c r="B534" s="94">
        <v>360.56</v>
      </c>
      <c r="C534" s="94">
        <v>300.96510303570869</v>
      </c>
      <c r="D534" s="94">
        <v>72.099999999999994</v>
      </c>
      <c r="E534" s="94">
        <v>5.9470430829183805</v>
      </c>
      <c r="F534" s="94">
        <v>74.099999999999994</v>
      </c>
      <c r="G534" s="94">
        <v>5.9505189821371465</v>
      </c>
      <c r="H534" s="94">
        <v>73.477401672309895</v>
      </c>
      <c r="I534" s="94">
        <v>14.217088220528503</v>
      </c>
      <c r="J534" s="94">
        <v>4955.2055410474532</v>
      </c>
      <c r="K534" s="94">
        <v>2.8392036267808693</v>
      </c>
      <c r="L534" s="94">
        <v>1</v>
      </c>
      <c r="M534" s="94">
        <v>0</v>
      </c>
      <c r="N534" s="94">
        <v>0</v>
      </c>
      <c r="O534" s="94">
        <v>0</v>
      </c>
    </row>
    <row r="535" spans="1:15" x14ac:dyDescent="0.25">
      <c r="A535" s="89">
        <v>44828.333333333336</v>
      </c>
      <c r="B535" s="94">
        <v>360.56</v>
      </c>
      <c r="C535" s="94">
        <v>300.97000000000003</v>
      </c>
      <c r="D535" s="94">
        <v>70.212845506040679</v>
      </c>
      <c r="E535" s="94">
        <v>5.9470772093590805</v>
      </c>
      <c r="F535" s="94">
        <v>73.83247617691282</v>
      </c>
      <c r="G535" s="94">
        <v>5.93</v>
      </c>
      <c r="H535" s="94">
        <v>73.598101391572854</v>
      </c>
      <c r="I535" s="94">
        <v>14.128331691499405</v>
      </c>
      <c r="J535" s="94">
        <v>4942</v>
      </c>
      <c r="K535" s="94">
        <v>2.8370000000000002</v>
      </c>
      <c r="L535" s="94">
        <v>0.87575026360613184</v>
      </c>
      <c r="M535" s="94">
        <v>0</v>
      </c>
      <c r="N535" s="94">
        <v>0</v>
      </c>
      <c r="O535" s="94">
        <v>0</v>
      </c>
    </row>
    <row r="536" spans="1:15" x14ac:dyDescent="0.25">
      <c r="A536" s="89">
        <v>44828.833333333336</v>
      </c>
      <c r="B536" s="94">
        <v>360.56</v>
      </c>
      <c r="C536" s="94">
        <v>301.45</v>
      </c>
      <c r="D536" s="94">
        <v>85.3</v>
      </c>
      <c r="E536" s="94">
        <v>6.9709743667526158</v>
      </c>
      <c r="F536" s="94">
        <v>84.609609861177589</v>
      </c>
      <c r="G536" s="94">
        <v>6.9688910879122536</v>
      </c>
      <c r="H536" s="94">
        <v>79.599999999999994</v>
      </c>
      <c r="I536" s="94">
        <v>16.000626831054689</v>
      </c>
      <c r="J536" s="94">
        <v>8070.2378575111179</v>
      </c>
      <c r="K536" s="94">
        <v>3.2985387810425451</v>
      </c>
      <c r="L536" s="94">
        <v>1</v>
      </c>
      <c r="M536" s="94">
        <v>0</v>
      </c>
      <c r="N536" s="94">
        <v>40</v>
      </c>
      <c r="O536" s="94">
        <v>40</v>
      </c>
    </row>
    <row r="537" spans="1:15" x14ac:dyDescent="0.25">
      <c r="A537" s="89">
        <v>44829.333333333336</v>
      </c>
      <c r="B537" s="94">
        <v>360.56</v>
      </c>
      <c r="C537" s="94">
        <v>301.44679234239231</v>
      </c>
      <c r="D537" s="94">
        <v>84.1842969620877</v>
      </c>
      <c r="E537" s="94">
        <v>6.9964046324986029</v>
      </c>
      <c r="F537" s="94">
        <v>84.103566591009596</v>
      </c>
      <c r="G537" s="94">
        <v>6.9610010615468036</v>
      </c>
      <c r="H537" s="94">
        <v>80.284049379770437</v>
      </c>
      <c r="I537" s="94">
        <v>16.05</v>
      </c>
      <c r="J537" s="94">
        <v>8095.9035874707306</v>
      </c>
      <c r="K537" s="94">
        <v>3.3025094564347497</v>
      </c>
      <c r="L537" s="94">
        <v>0</v>
      </c>
      <c r="M537" s="94">
        <v>0</v>
      </c>
      <c r="N537" s="94">
        <v>39</v>
      </c>
      <c r="O537" s="94">
        <v>39</v>
      </c>
    </row>
    <row r="538" spans="1:15" x14ac:dyDescent="0.25">
      <c r="A538" s="89">
        <v>44829.833333333336</v>
      </c>
      <c r="B538" s="94">
        <v>360.56</v>
      </c>
      <c r="C538" s="94">
        <v>301.4463542555759</v>
      </c>
      <c r="D538" s="94">
        <v>84.479647109087779</v>
      </c>
      <c r="E538" s="94">
        <v>6.9818055301413038</v>
      </c>
      <c r="F538" s="94">
        <v>84.590800170898433</v>
      </c>
      <c r="G538" s="94">
        <v>6.9736509469446677</v>
      </c>
      <c r="H538" s="94">
        <v>79.901027026246823</v>
      </c>
      <c r="I538" s="94">
        <v>16.170000000000002</v>
      </c>
      <c r="J538" s="94">
        <v>8057.5407532825002</v>
      </c>
      <c r="K538" s="94">
        <v>3.296914284077745</v>
      </c>
      <c r="L538" s="94">
        <v>0</v>
      </c>
      <c r="M538" s="94">
        <v>0</v>
      </c>
      <c r="N538" s="94">
        <v>40</v>
      </c>
      <c r="O538" s="94">
        <v>40</v>
      </c>
    </row>
    <row r="539" spans="1:15" x14ac:dyDescent="0.25">
      <c r="A539" s="89">
        <v>44830.333333333336</v>
      </c>
      <c r="B539" s="94">
        <v>360.57386413729557</v>
      </c>
      <c r="C539" s="94">
        <v>301.4434253383443</v>
      </c>
      <c r="D539" s="94">
        <v>84.088295882566911</v>
      </c>
      <c r="E539" s="94">
        <v>6.99</v>
      </c>
      <c r="F539" s="94">
        <v>84.5</v>
      </c>
      <c r="G539" s="94">
        <v>7.0028971677692748</v>
      </c>
      <c r="H539" s="94">
        <v>79.609758712643327</v>
      </c>
      <c r="I539" s="94">
        <v>15.839289751031007</v>
      </c>
      <c r="J539" s="94">
        <v>8057.6126155714783</v>
      </c>
      <c r="K539" s="94">
        <v>3.29677346045181</v>
      </c>
      <c r="L539" s="94">
        <v>0</v>
      </c>
      <c r="M539" s="94">
        <v>0</v>
      </c>
      <c r="N539" s="94">
        <v>40</v>
      </c>
      <c r="O539" s="94">
        <v>40</v>
      </c>
    </row>
    <row r="540" spans="1:15" x14ac:dyDescent="0.25">
      <c r="A540" s="89">
        <v>44830.833333333336</v>
      </c>
      <c r="B540" s="94">
        <v>360.69</v>
      </c>
      <c r="C540" s="94">
        <v>301.44994678025625</v>
      </c>
      <c r="D540" s="94">
        <v>84.4</v>
      </c>
      <c r="E540" s="94">
        <v>6.9867501831054684</v>
      </c>
      <c r="F540" s="94">
        <v>84.6</v>
      </c>
      <c r="G540" s="94">
        <v>6.9453800964355468</v>
      </c>
      <c r="H540" s="94">
        <v>79.047422384863822</v>
      </c>
      <c r="I540" s="94">
        <v>15.867939458393057</v>
      </c>
      <c r="J540" s="94">
        <v>8076.7406118180479</v>
      </c>
      <c r="K540" s="94">
        <v>3.2991959362009897</v>
      </c>
      <c r="L540" s="94">
        <v>0</v>
      </c>
      <c r="M540" s="94">
        <v>0</v>
      </c>
      <c r="N540" s="94">
        <v>40</v>
      </c>
      <c r="O540" s="94">
        <v>40</v>
      </c>
    </row>
    <row r="541" spans="1:15" x14ac:dyDescent="0.25">
      <c r="A541" s="89">
        <v>44831.333333333336</v>
      </c>
      <c r="B541" s="94">
        <v>360.69357845163006</v>
      </c>
      <c r="C541" s="94">
        <v>301.44228487554278</v>
      </c>
      <c r="D541" s="94">
        <v>84.175914422158556</v>
      </c>
      <c r="E541" s="94">
        <v>7.0080760498046875</v>
      </c>
      <c r="F541" s="94">
        <v>84.483956391842298</v>
      </c>
      <c r="G541" s="94">
        <v>6.9710990518581752</v>
      </c>
      <c r="H541" s="94">
        <v>79.416645500828565</v>
      </c>
      <c r="I541" s="94">
        <v>15.901250935528706</v>
      </c>
      <c r="J541" s="94">
        <v>8047.8795704288441</v>
      </c>
      <c r="K541" s="94">
        <v>3.2955997135348083</v>
      </c>
      <c r="L541" s="94">
        <v>0</v>
      </c>
      <c r="M541" s="94">
        <v>0</v>
      </c>
      <c r="N541" s="94">
        <v>40</v>
      </c>
      <c r="O541" s="94">
        <v>40</v>
      </c>
    </row>
    <row r="542" spans="1:15" x14ac:dyDescent="0.25">
      <c r="A542" s="89">
        <v>44831.833333333336</v>
      </c>
      <c r="B542" s="94">
        <v>360.72</v>
      </c>
      <c r="C542" s="94">
        <v>301.45027832971834</v>
      </c>
      <c r="D542" s="94">
        <v>84.29968602518565</v>
      </c>
      <c r="E542" s="94">
        <v>7.0074047855668526</v>
      </c>
      <c r="F542" s="94">
        <v>84.687043341526348</v>
      </c>
      <c r="G542" s="94">
        <v>6.9778760033636571</v>
      </c>
      <c r="H542" s="94">
        <v>79.325567118326816</v>
      </c>
      <c r="I542" s="94">
        <v>16.011530562718033</v>
      </c>
      <c r="J542" s="94">
        <v>8075.8080098791525</v>
      </c>
      <c r="K542" s="94">
        <v>3.2977742730949537</v>
      </c>
      <c r="L542" s="94">
        <v>0</v>
      </c>
      <c r="M542" s="94">
        <v>0</v>
      </c>
      <c r="N542" s="94">
        <v>40</v>
      </c>
      <c r="O542" s="94">
        <v>41</v>
      </c>
    </row>
    <row r="543" spans="1:15" x14ac:dyDescent="0.25">
      <c r="A543" s="89">
        <v>44832.333333333336</v>
      </c>
      <c r="B543" s="94">
        <v>360.73536792096871</v>
      </c>
      <c r="C543" s="94">
        <v>301.45</v>
      </c>
      <c r="D543" s="94">
        <v>83.984021943414433</v>
      </c>
      <c r="E543" s="94">
        <v>7</v>
      </c>
      <c r="F543" s="94">
        <v>84.516583936293088</v>
      </c>
      <c r="G543" s="94">
        <v>7.0046852230114931</v>
      </c>
      <c r="H543" s="94">
        <v>79.245067884254652</v>
      </c>
      <c r="I543" s="94">
        <v>16.010000000000002</v>
      </c>
      <c r="J543" s="94">
        <v>8070.2261645650287</v>
      </c>
      <c r="K543" s="94">
        <v>3.2993212274457089</v>
      </c>
      <c r="L543" s="94">
        <v>0</v>
      </c>
      <c r="M543" s="94">
        <v>0</v>
      </c>
      <c r="N543" s="94">
        <v>40</v>
      </c>
      <c r="O543" s="94">
        <v>40</v>
      </c>
    </row>
    <row r="544" spans="1:15" x14ac:dyDescent="0.25">
      <c r="A544" s="89">
        <v>44832.833333333336</v>
      </c>
      <c r="B544" s="94">
        <v>360.81</v>
      </c>
      <c r="C544" s="94">
        <v>302.13161326090494</v>
      </c>
      <c r="D544" s="94">
        <v>86.6</v>
      </c>
      <c r="E544" s="94">
        <v>6.9708993628243041</v>
      </c>
      <c r="F544" s="94">
        <v>85.2679493449332</v>
      </c>
      <c r="G544" s="94">
        <v>6.9225179110392974</v>
      </c>
      <c r="H544" s="94">
        <v>79.799171900570244</v>
      </c>
      <c r="I544" s="94">
        <v>15.96</v>
      </c>
      <c r="J544" s="94">
        <v>13493.947380500023</v>
      </c>
      <c r="K544" s="94">
        <v>3.9194515575428204</v>
      </c>
      <c r="L544" s="94">
        <v>78</v>
      </c>
      <c r="M544" s="94">
        <v>78</v>
      </c>
      <c r="N544" s="94">
        <v>78</v>
      </c>
      <c r="O544" s="94">
        <v>78</v>
      </c>
    </row>
    <row r="545" spans="1:15" x14ac:dyDescent="0.25">
      <c r="A545" s="89">
        <v>44833.333333333336</v>
      </c>
      <c r="B545" s="94">
        <v>361.00930337651101</v>
      </c>
      <c r="C545" s="94">
        <v>302.18</v>
      </c>
      <c r="D545" s="94">
        <v>85.7</v>
      </c>
      <c r="E545" s="94">
        <v>6.9525773997347606</v>
      </c>
      <c r="F545" s="94">
        <v>85.066372787854462</v>
      </c>
      <c r="G545" s="94">
        <v>7.0144077231618605</v>
      </c>
      <c r="H545" s="94">
        <v>79.900000000000006</v>
      </c>
      <c r="I545" s="94">
        <v>15.977799682617189</v>
      </c>
      <c r="J545" s="94">
        <v>13904.076761726863</v>
      </c>
      <c r="K545" s="94">
        <v>3.9595582866048007</v>
      </c>
      <c r="L545" s="94">
        <v>87</v>
      </c>
      <c r="M545" s="94">
        <v>82</v>
      </c>
      <c r="N545" s="94">
        <v>79.353897717070112</v>
      </c>
      <c r="O545" s="94">
        <v>76</v>
      </c>
    </row>
    <row r="546" spans="1:15" x14ac:dyDescent="0.25">
      <c r="A546" s="89">
        <v>44833.833333333336</v>
      </c>
      <c r="B546" s="94">
        <v>361.1</v>
      </c>
      <c r="C546" s="94">
        <v>302.90529998779294</v>
      </c>
      <c r="D546" s="94">
        <v>87.490999984741208</v>
      </c>
      <c r="E546" s="94">
        <v>6.96561446297369</v>
      </c>
      <c r="F546" s="94">
        <v>85.919102072375452</v>
      </c>
      <c r="G546" s="94">
        <v>6.9516167348554836</v>
      </c>
      <c r="H546" s="94">
        <v>80.439562008355196</v>
      </c>
      <c r="I546" s="94">
        <v>15.746387005076143</v>
      </c>
      <c r="J546" s="94">
        <v>24995.664631294989</v>
      </c>
      <c r="K546" s="94">
        <v>4.8880209432277901</v>
      </c>
      <c r="L546" s="94">
        <v>57</v>
      </c>
      <c r="M546" s="94">
        <v>0</v>
      </c>
      <c r="N546" s="94">
        <v>0</v>
      </c>
      <c r="O546" s="94">
        <v>14</v>
      </c>
    </row>
    <row r="547" spans="1:15" x14ac:dyDescent="0.25">
      <c r="A547" s="89">
        <v>44834.333333333336</v>
      </c>
      <c r="B547" s="94">
        <v>361.1198210014137</v>
      </c>
      <c r="C547" s="94">
        <v>302.89999999999998</v>
      </c>
      <c r="D547" s="94">
        <v>86.481545186540615</v>
      </c>
      <c r="E547" s="94">
        <v>6.9844598388671875</v>
      </c>
      <c r="F547" s="94">
        <v>85.8</v>
      </c>
      <c r="G547" s="94">
        <v>6.9572685429022876</v>
      </c>
      <c r="H547" s="94">
        <v>81.062059207404388</v>
      </c>
      <c r="I547" s="94">
        <v>16.025975622794824</v>
      </c>
      <c r="J547" s="94">
        <v>24976.432848272838</v>
      </c>
      <c r="K547" s="94">
        <v>4.8863360670958773</v>
      </c>
      <c r="L547" s="94">
        <v>57</v>
      </c>
      <c r="M547" s="94">
        <v>0</v>
      </c>
      <c r="N547" s="94">
        <v>0</v>
      </c>
      <c r="O547" s="94">
        <v>14</v>
      </c>
    </row>
    <row r="548" spans="1:15" x14ac:dyDescent="0.25">
      <c r="A548" s="89">
        <v>44834.833333333336</v>
      </c>
      <c r="B548" s="94">
        <v>361.17</v>
      </c>
      <c r="C548" s="94">
        <v>303.02</v>
      </c>
      <c r="D548" s="94">
        <v>86.7</v>
      </c>
      <c r="E548" s="94">
        <v>6.95</v>
      </c>
      <c r="F548" s="94">
        <v>86.173673438215971</v>
      </c>
      <c r="G548" s="94">
        <v>6.9622441709349436</v>
      </c>
      <c r="H548" s="94">
        <v>80.266246803011853</v>
      </c>
      <c r="I548" s="94">
        <v>15.883400268554688</v>
      </c>
      <c r="J548" s="94">
        <v>26267.564578416306</v>
      </c>
      <c r="K548" s="94">
        <v>4.9765741916124195</v>
      </c>
      <c r="L548" s="94">
        <v>59</v>
      </c>
      <c r="M548" s="94">
        <v>0</v>
      </c>
      <c r="N548" s="94">
        <v>40</v>
      </c>
      <c r="O548" s="94">
        <v>45</v>
      </c>
    </row>
    <row r="549" spans="1:15" x14ac:dyDescent="0.25">
      <c r="A549" s="89">
        <v>44835.333333333336</v>
      </c>
      <c r="B549" s="94">
        <v>361.17</v>
      </c>
      <c r="C549" s="94">
        <v>302.99</v>
      </c>
      <c r="D549" s="94">
        <v>86.436936482843421</v>
      </c>
      <c r="E549" s="94">
        <v>6.9576067883930603</v>
      </c>
      <c r="F549" s="94">
        <v>86.134451386296448</v>
      </c>
      <c r="G549" s="94">
        <v>6.9874173298101452</v>
      </c>
      <c r="H549" s="94">
        <v>80.599999999999994</v>
      </c>
      <c r="I549" s="94">
        <v>15.937237097340807</v>
      </c>
      <c r="J549" s="94">
        <v>26100</v>
      </c>
      <c r="K549" s="94">
        <v>4.9649999999999999</v>
      </c>
      <c r="L549" s="94">
        <v>58</v>
      </c>
      <c r="M549" s="94">
        <v>0</v>
      </c>
      <c r="N549" s="94">
        <v>47.450697182689169</v>
      </c>
      <c r="O549" s="94">
        <v>38</v>
      </c>
    </row>
    <row r="550" spans="1:15" x14ac:dyDescent="0.25">
      <c r="A550" s="89">
        <v>44835.833333333336</v>
      </c>
      <c r="B550" s="94">
        <v>361.17</v>
      </c>
      <c r="C550" s="94">
        <v>302.99</v>
      </c>
      <c r="D550" s="94">
        <v>87.498070070354615</v>
      </c>
      <c r="E550" s="94">
        <v>6.94</v>
      </c>
      <c r="F550" s="94">
        <v>86.3</v>
      </c>
      <c r="G550" s="94">
        <v>6.94</v>
      </c>
      <c r="H550" s="94">
        <v>80.599999999999994</v>
      </c>
      <c r="I550" s="94">
        <v>15.889187327823691</v>
      </c>
      <c r="J550" s="94">
        <v>26000</v>
      </c>
      <c r="K550" s="94">
        <v>4.96</v>
      </c>
      <c r="L550" s="94">
        <v>59</v>
      </c>
      <c r="M550" s="94">
        <v>12</v>
      </c>
      <c r="N550" s="94">
        <v>53</v>
      </c>
      <c r="O550" s="94">
        <v>33</v>
      </c>
    </row>
    <row r="551" spans="1:15" x14ac:dyDescent="0.25">
      <c r="A551" s="89">
        <v>44836.333333333336</v>
      </c>
      <c r="B551" s="94">
        <v>361.17</v>
      </c>
      <c r="C551" s="94">
        <v>302.99277624560688</v>
      </c>
      <c r="D551" s="94">
        <v>88</v>
      </c>
      <c r="E551" s="94">
        <v>6.9412602233886727</v>
      </c>
      <c r="F551" s="94">
        <v>86.214781548197834</v>
      </c>
      <c r="G551" s="94">
        <v>6.950781603571647</v>
      </c>
      <c r="H551" s="94">
        <v>81.247094227822672</v>
      </c>
      <c r="I551" s="94">
        <v>15.949499702748433</v>
      </c>
      <c r="J551" s="94">
        <v>26357.973992207444</v>
      </c>
      <c r="K551" s="94">
        <v>4.9855796768018319</v>
      </c>
      <c r="L551" s="94">
        <v>58</v>
      </c>
      <c r="M551" s="94">
        <v>37.024403055771671</v>
      </c>
      <c r="N551" s="94">
        <v>52</v>
      </c>
      <c r="O551" s="94">
        <v>50</v>
      </c>
    </row>
    <row r="552" spans="1:15" x14ac:dyDescent="0.25">
      <c r="A552" s="89">
        <v>44836.833333333336</v>
      </c>
      <c r="B552" s="94">
        <v>361.17</v>
      </c>
      <c r="C552" s="94">
        <v>302.95999999999998</v>
      </c>
      <c r="D552" s="94">
        <v>87.881672494273801</v>
      </c>
      <c r="E552" s="94">
        <v>6.9628300476074214</v>
      </c>
      <c r="F552" s="94">
        <v>86.856539016239168</v>
      </c>
      <c r="G552" s="94">
        <v>6.9324223123391446</v>
      </c>
      <c r="H552" s="94">
        <v>80.825040673105732</v>
      </c>
      <c r="I552" s="94">
        <v>15.906902791115989</v>
      </c>
      <c r="J552" s="94">
        <v>25971.949455697937</v>
      </c>
      <c r="K552" s="94">
        <v>4.9568680814056085</v>
      </c>
      <c r="L552" s="94">
        <v>59</v>
      </c>
      <c r="M552" s="94">
        <v>59</v>
      </c>
      <c r="N552" s="94">
        <v>51</v>
      </c>
      <c r="O552" s="94">
        <v>52</v>
      </c>
    </row>
    <row r="553" spans="1:15" x14ac:dyDescent="0.25">
      <c r="A553" s="89">
        <v>44837.333333333336</v>
      </c>
      <c r="B553" s="94">
        <v>361.17</v>
      </c>
      <c r="C553" s="94">
        <v>302.95999999999998</v>
      </c>
      <c r="D553" s="94">
        <v>87.99736019016639</v>
      </c>
      <c r="E553" s="94">
        <v>6.9305496783634641</v>
      </c>
      <c r="F553" s="94">
        <v>86.680575410983167</v>
      </c>
      <c r="G553" s="94">
        <v>6.9449170235817057</v>
      </c>
      <c r="H553" s="94">
        <v>82</v>
      </c>
      <c r="I553" s="94">
        <v>16.059530197250083</v>
      </c>
      <c r="J553" s="94">
        <v>25996.58233820544</v>
      </c>
      <c r="K553" s="94">
        <v>4.9581734765017869</v>
      </c>
      <c r="L553" s="94">
        <v>65</v>
      </c>
      <c r="M553" s="94">
        <v>64</v>
      </c>
      <c r="N553" s="94">
        <v>60</v>
      </c>
      <c r="O553" s="94">
        <v>60</v>
      </c>
    </row>
    <row r="554" spans="1:15" x14ac:dyDescent="0.25">
      <c r="A554" s="89">
        <v>44837.833333333336</v>
      </c>
      <c r="B554" s="94">
        <v>361.17</v>
      </c>
      <c r="C554" s="94">
        <v>302.99</v>
      </c>
      <c r="D554" s="94">
        <v>89.497985908363688</v>
      </c>
      <c r="E554" s="94">
        <v>6.9754076354866594</v>
      </c>
      <c r="F554" s="94">
        <v>87.486505306742913</v>
      </c>
      <c r="G554" s="94">
        <v>6.9664274858659745</v>
      </c>
      <c r="H554" s="94">
        <v>81.103184451365053</v>
      </c>
      <c r="I554" s="94">
        <v>15.887266992515656</v>
      </c>
      <c r="J554" s="94">
        <v>26308.033745591831</v>
      </c>
      <c r="K554" s="94">
        <v>4.9806152380840398</v>
      </c>
      <c r="L554" s="94">
        <v>37</v>
      </c>
      <c r="M554" s="94">
        <v>36</v>
      </c>
      <c r="N554" s="94">
        <v>0</v>
      </c>
      <c r="O554" s="94">
        <v>0</v>
      </c>
    </row>
    <row r="555" spans="1:15" x14ac:dyDescent="0.25">
      <c r="A555" s="89">
        <v>44838.333333333336</v>
      </c>
      <c r="B555" s="94">
        <v>360.34</v>
      </c>
      <c r="C555" s="94">
        <v>302.99</v>
      </c>
      <c r="D555" s="94">
        <v>89.321225953899926</v>
      </c>
      <c r="E555" s="94">
        <v>6.9293997192382815</v>
      </c>
      <c r="F555" s="94">
        <v>87.512612596610325</v>
      </c>
      <c r="G555" s="94">
        <v>6.9692012263834879</v>
      </c>
      <c r="H555" s="94">
        <v>82.991146551724142</v>
      </c>
      <c r="I555" s="94">
        <v>15.971019846414681</v>
      </c>
      <c r="J555" s="94">
        <v>26000</v>
      </c>
      <c r="K555" s="94">
        <v>4.9631740695268602</v>
      </c>
      <c r="L555" s="94">
        <v>68</v>
      </c>
      <c r="M555" s="94">
        <v>70.276112807471222</v>
      </c>
      <c r="N555" s="94">
        <v>0</v>
      </c>
      <c r="O555" s="94">
        <v>0</v>
      </c>
    </row>
    <row r="556" spans="1:15" x14ac:dyDescent="0.25">
      <c r="A556" s="89">
        <v>44838.833333333336</v>
      </c>
      <c r="B556" s="94">
        <v>360.34</v>
      </c>
      <c r="C556" s="94">
        <v>302.74777763782851</v>
      </c>
      <c r="D556" s="94">
        <v>88.8</v>
      </c>
      <c r="E556" s="94">
        <v>6.9665553172239223</v>
      </c>
      <c r="F556" s="94">
        <v>87.937048456171155</v>
      </c>
      <c r="G556" s="94">
        <v>6.9887768862812916</v>
      </c>
      <c r="H556" s="94">
        <v>81.500677575858674</v>
      </c>
      <c r="I556" s="94">
        <v>16.005653562163243</v>
      </c>
      <c r="J556" s="94">
        <v>22210.073309806085</v>
      </c>
      <c r="K556" s="94">
        <v>4.6809184624862858</v>
      </c>
      <c r="L556" s="94">
        <v>1</v>
      </c>
      <c r="M556" s="94">
        <v>0</v>
      </c>
      <c r="N556" s="94">
        <v>0</v>
      </c>
      <c r="O556" s="94">
        <v>14</v>
      </c>
    </row>
    <row r="557" spans="1:15" x14ac:dyDescent="0.25">
      <c r="A557" s="89">
        <v>44839.333333333336</v>
      </c>
      <c r="B557" s="94">
        <v>360.05</v>
      </c>
      <c r="C557" s="94">
        <v>302.68007189096483</v>
      </c>
      <c r="D557" s="94">
        <v>88.2</v>
      </c>
      <c r="E557" s="94">
        <v>6.9741297912597657</v>
      </c>
      <c r="F557" s="94">
        <v>87.931288769023311</v>
      </c>
      <c r="G557" s="94">
        <v>6.96</v>
      </c>
      <c r="H557" s="94">
        <v>82.454554219939581</v>
      </c>
      <c r="I557" s="94">
        <v>16.022335874779099</v>
      </c>
      <c r="J557" s="94">
        <v>21651.702654573077</v>
      </c>
      <c r="K557" s="94">
        <v>4.6353165863495338</v>
      </c>
      <c r="L557" s="94">
        <v>0.47269605553668481</v>
      </c>
      <c r="M557" s="94">
        <v>0</v>
      </c>
      <c r="N557" s="94">
        <v>0</v>
      </c>
      <c r="O557" s="94">
        <v>46</v>
      </c>
    </row>
    <row r="558" spans="1:15" x14ac:dyDescent="0.25">
      <c r="A558" s="89">
        <v>44839.833333333336</v>
      </c>
      <c r="B558" s="94">
        <v>360.05</v>
      </c>
      <c r="C558" s="94">
        <v>301.09775392031048</v>
      </c>
      <c r="D558" s="94">
        <v>82.7</v>
      </c>
      <c r="E558" s="94">
        <v>6.9732127135868289</v>
      </c>
      <c r="F558" s="94">
        <v>81.5</v>
      </c>
      <c r="G558" s="94">
        <v>7.0277643861783536</v>
      </c>
      <c r="H558" s="94">
        <v>79.7</v>
      </c>
      <c r="I558" s="94">
        <v>15.95561930827359</v>
      </c>
      <c r="J558" s="94">
        <v>5614.4061561653534</v>
      </c>
      <c r="K558" s="94">
        <v>2.9473560497912104</v>
      </c>
      <c r="L558" s="94">
        <v>1</v>
      </c>
      <c r="M558" s="94">
        <v>0</v>
      </c>
      <c r="N558" s="94">
        <v>0</v>
      </c>
      <c r="O558" s="94">
        <v>0</v>
      </c>
    </row>
    <row r="559" spans="1:15" x14ac:dyDescent="0.25">
      <c r="A559" s="89">
        <v>44840.333333333336</v>
      </c>
      <c r="B559" s="94">
        <v>360.05</v>
      </c>
      <c r="C559" s="94">
        <v>301.08999999999997</v>
      </c>
      <c r="D559" s="94">
        <v>83.229184464853716</v>
      </c>
      <c r="E559" s="94">
        <v>6.9812788588832184</v>
      </c>
      <c r="F559" s="94">
        <v>81.425706023503352</v>
      </c>
      <c r="G559" s="94">
        <v>7.0622351673996953</v>
      </c>
      <c r="H559" s="94">
        <v>79.158762599678127</v>
      </c>
      <c r="I559" s="94">
        <v>15.883733582394489</v>
      </c>
      <c r="J559" s="94">
        <v>5653.3918052906502</v>
      </c>
      <c r="K559" s="94">
        <v>2.9530839177853743</v>
      </c>
      <c r="L559" s="94">
        <v>0</v>
      </c>
      <c r="M559" s="94">
        <v>0</v>
      </c>
      <c r="N559" s="94">
        <v>0</v>
      </c>
      <c r="O559" s="94">
        <v>0</v>
      </c>
    </row>
    <row r="560" spans="1:15" x14ac:dyDescent="0.25">
      <c r="A560" s="89">
        <v>44840.833333333336</v>
      </c>
      <c r="B560" s="94">
        <v>360.27</v>
      </c>
      <c r="C560" s="94">
        <v>299.78058119065719</v>
      </c>
      <c r="D560" s="94">
        <v>37.200000000000003</v>
      </c>
      <c r="E560" s="94">
        <v>2.4269531381392859</v>
      </c>
      <c r="F560" s="94">
        <v>1.3024991152987948</v>
      </c>
      <c r="G560" s="94">
        <v>0</v>
      </c>
      <c r="H560" s="94">
        <v>0.4</v>
      </c>
      <c r="I560" s="94">
        <v>0</v>
      </c>
      <c r="J560" s="94">
        <v>565.19866334993731</v>
      </c>
      <c r="K560" s="94">
        <v>1.6295617336075614</v>
      </c>
      <c r="L560" s="94">
        <v>1</v>
      </c>
      <c r="M560" s="94">
        <v>0</v>
      </c>
      <c r="N560" s="94">
        <v>0</v>
      </c>
      <c r="O560" s="94">
        <v>0</v>
      </c>
    </row>
    <row r="561" spans="1:15" x14ac:dyDescent="0.25">
      <c r="A561" s="89">
        <v>44841.333333333336</v>
      </c>
      <c r="B561" s="94">
        <v>361.29</v>
      </c>
      <c r="C561" s="94">
        <v>299.78935464841823</v>
      </c>
      <c r="D561" s="94">
        <v>34.476402942644398</v>
      </c>
      <c r="E561" s="94">
        <v>2.409060384263495</v>
      </c>
      <c r="F561" s="94">
        <v>2.4</v>
      </c>
      <c r="G561" s="94">
        <v>0</v>
      </c>
      <c r="H561" s="94">
        <v>1.4</v>
      </c>
      <c r="I561" s="94">
        <v>0</v>
      </c>
      <c r="J561" s="94">
        <v>565</v>
      </c>
      <c r="K561" s="94">
        <v>1.6292950860205271</v>
      </c>
      <c r="L561" s="94">
        <v>0</v>
      </c>
      <c r="M561" s="94">
        <v>0</v>
      </c>
      <c r="N561" s="94">
        <v>0</v>
      </c>
      <c r="O561" s="94">
        <v>0</v>
      </c>
    </row>
    <row r="562" spans="1:15" x14ac:dyDescent="0.25">
      <c r="A562" s="89">
        <v>44841.833333333336</v>
      </c>
      <c r="B562" s="94">
        <v>361.29</v>
      </c>
      <c r="C562" s="94">
        <v>303.05517726299348</v>
      </c>
      <c r="D562" s="94">
        <v>84.1</v>
      </c>
      <c r="E562" s="94">
        <v>6.9565804175999588</v>
      </c>
      <c r="F562" s="94">
        <v>84.144167013455402</v>
      </c>
      <c r="G562" s="94">
        <v>6.9473999023437498</v>
      </c>
      <c r="H562" s="94">
        <v>79.378680300316347</v>
      </c>
      <c r="I562" s="94">
        <v>15.877568832199806</v>
      </c>
      <c r="J562" s="94">
        <v>30600.428520519461</v>
      </c>
      <c r="K562" s="94">
        <v>5.2714423289521051</v>
      </c>
      <c r="L562" s="94">
        <v>1</v>
      </c>
      <c r="M562" s="94">
        <v>0</v>
      </c>
      <c r="N562" s="94">
        <v>0</v>
      </c>
      <c r="O562" s="94">
        <v>0</v>
      </c>
    </row>
    <row r="563" spans="1:15" x14ac:dyDescent="0.25">
      <c r="A563" s="89">
        <v>44842.333333333336</v>
      </c>
      <c r="B563" s="94">
        <v>361.29</v>
      </c>
      <c r="C563" s="94">
        <v>303.60000000000002</v>
      </c>
      <c r="D563" s="94">
        <v>83.1</v>
      </c>
      <c r="E563" s="94">
        <v>6.9683129576860612</v>
      </c>
      <c r="F563" s="94">
        <v>84.360445865993114</v>
      </c>
      <c r="G563" s="94">
        <v>6.9795111566909069</v>
      </c>
      <c r="H563" s="94">
        <v>79.2</v>
      </c>
      <c r="I563" s="94">
        <v>15.904411010742187</v>
      </c>
      <c r="J563" s="94">
        <v>48348.316691038694</v>
      </c>
      <c r="K563" s="94">
        <v>6.2730361567455279</v>
      </c>
      <c r="L563" s="94">
        <v>0</v>
      </c>
      <c r="M563" s="94">
        <v>0</v>
      </c>
      <c r="N563" s="94">
        <v>0</v>
      </c>
      <c r="O563" s="94">
        <v>0</v>
      </c>
    </row>
    <row r="564" spans="1:15" x14ac:dyDescent="0.25">
      <c r="A564" s="89">
        <v>44842.833333333336</v>
      </c>
      <c r="B564" s="94">
        <v>361.29</v>
      </c>
      <c r="C564" s="94">
        <v>303.83</v>
      </c>
      <c r="D564" s="94">
        <v>85</v>
      </c>
      <c r="E564" s="94">
        <v>6.9481799926757812</v>
      </c>
      <c r="F564" s="94">
        <v>84</v>
      </c>
      <c r="G564" s="94">
        <v>6.95</v>
      </c>
      <c r="H564" s="94">
        <v>79.704223893582551</v>
      </c>
      <c r="I564" s="94">
        <v>16.021834090356069</v>
      </c>
      <c r="J564" s="94">
        <v>59903.662990666846</v>
      </c>
      <c r="K564" s="94">
        <v>6.7824418279338881</v>
      </c>
      <c r="L564" s="94">
        <v>0</v>
      </c>
      <c r="M564" s="94">
        <v>0</v>
      </c>
      <c r="N564" s="94">
        <v>0</v>
      </c>
      <c r="O564" s="94">
        <v>0</v>
      </c>
    </row>
    <row r="565" spans="1:15" x14ac:dyDescent="0.25">
      <c r="A565" s="89">
        <v>44843.333333333336</v>
      </c>
      <c r="B565" s="94">
        <v>361.29</v>
      </c>
      <c r="C565" s="94">
        <v>303.83999999999997</v>
      </c>
      <c r="D565" s="94">
        <v>84.8</v>
      </c>
      <c r="E565" s="94">
        <v>6.9578896268242554</v>
      </c>
      <c r="F565" s="94">
        <v>84.088341225544909</v>
      </c>
      <c r="G565" s="94">
        <v>6.9486371946728598</v>
      </c>
      <c r="H565" s="94">
        <v>79.65140075683594</v>
      </c>
      <c r="I565" s="94">
        <v>15.96</v>
      </c>
      <c r="J565" s="94">
        <v>61552.635191649671</v>
      </c>
      <c r="K565" s="94">
        <v>6.8483344618652753</v>
      </c>
      <c r="L565" s="94">
        <v>0</v>
      </c>
      <c r="M565" s="94">
        <v>0</v>
      </c>
      <c r="N565" s="94">
        <v>0</v>
      </c>
      <c r="O565" s="94">
        <v>0</v>
      </c>
    </row>
    <row r="566" spans="1:15" x14ac:dyDescent="0.25">
      <c r="A566" s="89">
        <v>44843.833333333336</v>
      </c>
      <c r="B566" s="94">
        <v>361.29</v>
      </c>
      <c r="C566" s="94">
        <v>304.08539190938325</v>
      </c>
      <c r="D566" s="94">
        <v>85.400098654164907</v>
      </c>
      <c r="E566" s="94">
        <v>6.97</v>
      </c>
      <c r="F566" s="94">
        <v>84.503590281897985</v>
      </c>
      <c r="G566" s="94">
        <v>6.9574359866104425</v>
      </c>
      <c r="H566" s="94">
        <v>79.547692536065156</v>
      </c>
      <c r="I566" s="94">
        <v>15.905099547098697</v>
      </c>
      <c r="J566" s="94">
        <v>83006.211512504844</v>
      </c>
      <c r="K566" s="94">
        <v>7.6261873385659662</v>
      </c>
      <c r="L566" s="94">
        <v>0</v>
      </c>
      <c r="M566" s="94">
        <v>0</v>
      </c>
      <c r="N566" s="94">
        <v>0</v>
      </c>
      <c r="O566" s="94">
        <v>0</v>
      </c>
    </row>
    <row r="567" spans="1:15" x14ac:dyDescent="0.25">
      <c r="A567" s="89">
        <v>44844.333333333336</v>
      </c>
      <c r="B567" s="94">
        <v>361.29</v>
      </c>
      <c r="C567" s="94">
        <v>304.0592004826965</v>
      </c>
      <c r="D567" s="94">
        <v>83.751447454581452</v>
      </c>
      <c r="E567" s="94">
        <v>6.97</v>
      </c>
      <c r="F567" s="94">
        <v>84.465039472878971</v>
      </c>
      <c r="G567" s="94">
        <v>6.9365240407172442</v>
      </c>
      <c r="H567" s="94">
        <v>80.448508926239342</v>
      </c>
      <c r="I567" s="94">
        <v>15.940718778077269</v>
      </c>
      <c r="J567" s="94">
        <v>81062.206196658051</v>
      </c>
      <c r="K567" s="94">
        <v>7.5651462763575239</v>
      </c>
      <c r="L567" s="94">
        <v>0</v>
      </c>
      <c r="M567" s="94">
        <v>0</v>
      </c>
      <c r="N567" s="94">
        <v>0</v>
      </c>
      <c r="O567" s="94">
        <v>0</v>
      </c>
    </row>
    <row r="568" spans="1:15" x14ac:dyDescent="0.25">
      <c r="A568" s="89">
        <v>44844.833333333336</v>
      </c>
      <c r="B568" s="94">
        <v>362.8</v>
      </c>
      <c r="C568" s="94">
        <v>303.764715295869</v>
      </c>
      <c r="D568" s="94">
        <v>84.304542267079512</v>
      </c>
      <c r="E568" s="94">
        <v>6.9651274621197681</v>
      </c>
      <c r="F568" s="94">
        <v>85.186162348917762</v>
      </c>
      <c r="G568" s="94">
        <v>6.959707014781328</v>
      </c>
      <c r="H568" s="94">
        <v>79.308945305473983</v>
      </c>
      <c r="I568" s="94">
        <v>15.839078052136687</v>
      </c>
      <c r="J568" s="94">
        <v>64002.631735113348</v>
      </c>
      <c r="K568" s="94">
        <v>6.9426957985053859</v>
      </c>
      <c r="L568" s="94">
        <v>0</v>
      </c>
      <c r="M568" s="94">
        <v>0</v>
      </c>
      <c r="N568" s="94">
        <v>0</v>
      </c>
      <c r="O568" s="94">
        <v>0</v>
      </c>
    </row>
    <row r="569" spans="1:15" x14ac:dyDescent="0.25">
      <c r="A569" s="89">
        <v>44845.333333333336</v>
      </c>
      <c r="B569" s="94">
        <v>362.46</v>
      </c>
      <c r="C569" s="94">
        <v>303.66220677523751</v>
      </c>
      <c r="D569" s="94">
        <v>83.929539792040288</v>
      </c>
      <c r="E569" s="94">
        <v>6.9396544030563518</v>
      </c>
      <c r="F569" s="94">
        <v>85</v>
      </c>
      <c r="G569" s="94">
        <v>6.9609901428222658</v>
      </c>
      <c r="H569" s="94">
        <v>79.7</v>
      </c>
      <c r="I569" s="94">
        <v>16.026263223682207</v>
      </c>
      <c r="J569" s="94">
        <v>54470.936572019993</v>
      </c>
      <c r="K569" s="94">
        <v>6.5626195429515866</v>
      </c>
      <c r="L569" s="94">
        <v>0</v>
      </c>
      <c r="M569" s="94">
        <v>0</v>
      </c>
      <c r="N569" s="94">
        <v>0</v>
      </c>
      <c r="O569" s="94">
        <v>0</v>
      </c>
    </row>
    <row r="570" spans="1:15" x14ac:dyDescent="0.25">
      <c r="A570" s="89">
        <v>44845.833333333336</v>
      </c>
      <c r="B570" s="94">
        <v>362.46</v>
      </c>
      <c r="C570" s="94">
        <v>303.52521271740312</v>
      </c>
      <c r="D570" s="94">
        <v>86.16240727552605</v>
      </c>
      <c r="E570" s="94">
        <v>6.9632084210155583</v>
      </c>
      <c r="F570" s="94">
        <v>84.427806261469172</v>
      </c>
      <c r="G570" s="94">
        <v>6.9552485969968147</v>
      </c>
      <c r="H570" s="94">
        <v>79.5</v>
      </c>
      <c r="I570" s="94">
        <v>15.951760253906249</v>
      </c>
      <c r="J570" s="94">
        <v>47676.658911591228</v>
      </c>
      <c r="K570" s="94">
        <v>6.2426551321385437</v>
      </c>
      <c r="L570" s="94">
        <v>1</v>
      </c>
      <c r="M570" s="94">
        <v>0</v>
      </c>
      <c r="N570" s="94">
        <v>0</v>
      </c>
      <c r="O570" s="94">
        <v>0</v>
      </c>
    </row>
    <row r="571" spans="1:15" x14ac:dyDescent="0.25">
      <c r="A571" s="89">
        <v>44846.333333333336</v>
      </c>
      <c r="B571" s="94">
        <v>362.01</v>
      </c>
      <c r="C571" s="94">
        <v>303.36295054609951</v>
      </c>
      <c r="D571" s="94">
        <v>86.584344661427878</v>
      </c>
      <c r="E571" s="94">
        <v>6.9951000976562501</v>
      </c>
      <c r="F571" s="94">
        <v>85.461730289221194</v>
      </c>
      <c r="G571" s="94">
        <v>6.9431004333496089</v>
      </c>
      <c r="H571" s="94">
        <v>79.652883361140596</v>
      </c>
      <c r="I571" s="94">
        <v>16.027964274293023</v>
      </c>
      <c r="J571" s="94">
        <v>44120.202318117634</v>
      </c>
      <c r="K571" s="94">
        <v>6.0615986035652325</v>
      </c>
      <c r="L571" s="94">
        <v>0</v>
      </c>
      <c r="M571" s="94">
        <v>0</v>
      </c>
      <c r="N571" s="94">
        <v>0</v>
      </c>
      <c r="O571" s="94">
        <v>0</v>
      </c>
    </row>
    <row r="572" spans="1:15" x14ac:dyDescent="0.25">
      <c r="A572" s="89">
        <v>44846.833333333336</v>
      </c>
      <c r="B572" s="94">
        <v>362.01</v>
      </c>
      <c r="C572" s="94">
        <v>303.40905565519068</v>
      </c>
      <c r="D572" s="94">
        <v>84.908431633151309</v>
      </c>
      <c r="E572" s="94">
        <v>6.9503100585937503</v>
      </c>
      <c r="F572" s="94">
        <v>85.791152120107441</v>
      </c>
      <c r="G572" s="94">
        <v>6.9301666158381616</v>
      </c>
      <c r="H572" s="94">
        <v>80.099999999999994</v>
      </c>
      <c r="I572" s="94">
        <v>16.048197675306625</v>
      </c>
      <c r="J572" s="94">
        <v>45550.936467068153</v>
      </c>
      <c r="K572" s="94">
        <v>6.1334457691278548</v>
      </c>
      <c r="L572" s="94">
        <v>0</v>
      </c>
      <c r="M572" s="94">
        <v>0</v>
      </c>
      <c r="N572" s="94">
        <v>0</v>
      </c>
      <c r="O572" s="94">
        <v>0</v>
      </c>
    </row>
    <row r="573" spans="1:15" x14ac:dyDescent="0.25">
      <c r="A573" s="89">
        <v>44847.333333333336</v>
      </c>
      <c r="B573" s="94">
        <v>361.56</v>
      </c>
      <c r="C573" s="94">
        <v>303.33999999999997</v>
      </c>
      <c r="D573" s="94">
        <v>86.723974397460097</v>
      </c>
      <c r="E573" s="94">
        <v>6.9622020772873068</v>
      </c>
      <c r="F573" s="94">
        <v>85.863470055173551</v>
      </c>
      <c r="G573" s="94">
        <v>6.9266965022147549</v>
      </c>
      <c r="H573" s="94">
        <v>80.38390937135425</v>
      </c>
      <c r="I573" s="94">
        <v>15.977782232249018</v>
      </c>
      <c r="J573" s="94">
        <v>42300.562710146005</v>
      </c>
      <c r="K573" s="94">
        <v>5.9579594928261219</v>
      </c>
      <c r="L573" s="94">
        <v>0</v>
      </c>
      <c r="M573" s="94">
        <v>0</v>
      </c>
      <c r="N573" s="94">
        <v>0</v>
      </c>
      <c r="O573" s="94">
        <v>0</v>
      </c>
    </row>
    <row r="574" spans="1:15" x14ac:dyDescent="0.25">
      <c r="A574" s="89">
        <v>44847.833333333336</v>
      </c>
      <c r="B574" s="94">
        <v>361.56</v>
      </c>
      <c r="C574" s="94">
        <v>302.8112225551954</v>
      </c>
      <c r="D574" s="94">
        <v>85.5</v>
      </c>
      <c r="E574" s="94">
        <v>6.9191616328768237</v>
      </c>
      <c r="F574" s="94">
        <v>82.8</v>
      </c>
      <c r="G574" s="94">
        <v>6.9905851916482362</v>
      </c>
      <c r="H574" s="94">
        <v>79.7</v>
      </c>
      <c r="I574" s="94">
        <v>15.873454101115014</v>
      </c>
      <c r="J574" s="94">
        <v>24590</v>
      </c>
      <c r="K574" s="94">
        <v>4.859</v>
      </c>
      <c r="L574" s="94">
        <v>0</v>
      </c>
      <c r="M574" s="94">
        <v>0</v>
      </c>
      <c r="N574" s="94">
        <v>0</v>
      </c>
      <c r="O574" s="94">
        <v>0</v>
      </c>
    </row>
    <row r="575" spans="1:15" x14ac:dyDescent="0.25">
      <c r="A575" s="89">
        <v>44848.333333333336</v>
      </c>
      <c r="B575" s="94">
        <v>361.4</v>
      </c>
      <c r="C575" s="94">
        <v>302.19737571114803</v>
      </c>
      <c r="D575" s="94">
        <v>82.672583166342235</v>
      </c>
      <c r="E575" s="94">
        <v>6.9527035842104334</v>
      </c>
      <c r="F575" s="94">
        <v>80.7</v>
      </c>
      <c r="G575" s="94">
        <v>6.9989001464843748</v>
      </c>
      <c r="H575" s="94">
        <v>78.900000000000006</v>
      </c>
      <c r="I575" s="94">
        <v>15.995937954361102</v>
      </c>
      <c r="J575" s="94">
        <v>13911.973050193215</v>
      </c>
      <c r="K575" s="94">
        <v>3.9620000000000002</v>
      </c>
      <c r="L575" s="94">
        <v>99.685423822763681</v>
      </c>
      <c r="M575" s="94">
        <v>90.485852560088958</v>
      </c>
      <c r="N575" s="94">
        <v>97</v>
      </c>
      <c r="O575" s="94">
        <v>77</v>
      </c>
    </row>
    <row r="576" spans="1:15" x14ac:dyDescent="0.25">
      <c r="A576" s="89">
        <v>44848.833333333336</v>
      </c>
      <c r="B576" s="94">
        <v>361.4</v>
      </c>
      <c r="C576" s="94">
        <v>302.95638638776239</v>
      </c>
      <c r="D576" s="94">
        <v>86.869140523723104</v>
      </c>
      <c r="E576" s="94">
        <v>6.9795996093750006</v>
      </c>
      <c r="F576" s="94">
        <v>84.792110569865542</v>
      </c>
      <c r="G576" s="94">
        <v>6.9296602555316982</v>
      </c>
      <c r="H576" s="94">
        <v>79.243931098593478</v>
      </c>
      <c r="I576" s="94">
        <v>15.929908722574726</v>
      </c>
      <c r="J576" s="94">
        <v>25468.610874167258</v>
      </c>
      <c r="K576" s="94">
        <v>4.91830772514201</v>
      </c>
      <c r="L576" s="94">
        <v>102</v>
      </c>
      <c r="M576" s="94">
        <v>93.809573087032106</v>
      </c>
      <c r="N576" s="94">
        <v>100</v>
      </c>
      <c r="O576" s="94">
        <v>80</v>
      </c>
    </row>
    <row r="577" spans="1:15" x14ac:dyDescent="0.25">
      <c r="A577" s="89">
        <v>44849.333333333336</v>
      </c>
      <c r="B577" s="94">
        <v>361.4</v>
      </c>
      <c r="C577" s="94">
        <v>302.94031819896236</v>
      </c>
      <c r="D577" s="94">
        <v>85.526725191557375</v>
      </c>
      <c r="E577" s="94">
        <v>6.9498526212580813</v>
      </c>
      <c r="F577" s="94">
        <v>84.463071057245457</v>
      </c>
      <c r="G577" s="94">
        <v>6.9467439847671804</v>
      </c>
      <c r="H577" s="94">
        <v>79.400000000000006</v>
      </c>
      <c r="I577" s="94">
        <v>15.904272434354283</v>
      </c>
      <c r="J577" s="94">
        <v>25424.136395813533</v>
      </c>
      <c r="K577" s="94">
        <v>4.9157884065695505</v>
      </c>
      <c r="L577" s="94">
        <v>100</v>
      </c>
      <c r="M577" s="94">
        <v>91</v>
      </c>
      <c r="N577" s="94">
        <v>98</v>
      </c>
      <c r="O577" s="94">
        <v>77</v>
      </c>
    </row>
    <row r="578" spans="1:15" x14ac:dyDescent="0.25">
      <c r="A578" s="89">
        <v>44849.833333333336</v>
      </c>
      <c r="B578" s="94">
        <v>361.4</v>
      </c>
      <c r="C578" s="94">
        <v>303.15796779174178</v>
      </c>
      <c r="D578" s="94">
        <v>87.18002539086973</v>
      </c>
      <c r="E578" s="94">
        <v>6.9470869100351305</v>
      </c>
      <c r="F578" s="94">
        <v>86.013872736150574</v>
      </c>
      <c r="G578" s="94">
        <v>6.9776077011783935</v>
      </c>
      <c r="H578" s="94">
        <v>79.679649659762873</v>
      </c>
      <c r="I578" s="94">
        <v>15.995754761834013</v>
      </c>
      <c r="J578" s="94">
        <v>28401.900502497541</v>
      </c>
      <c r="K578" s="94">
        <v>5.1260693190647189</v>
      </c>
      <c r="L578" s="94">
        <v>102</v>
      </c>
      <c r="M578" s="94">
        <v>93</v>
      </c>
      <c r="N578" s="94">
        <v>100</v>
      </c>
      <c r="O578" s="94">
        <v>79</v>
      </c>
    </row>
    <row r="579" spans="1:15" x14ac:dyDescent="0.25">
      <c r="A579" s="89">
        <v>44850.333333333336</v>
      </c>
      <c r="B579" s="94">
        <v>361.4</v>
      </c>
      <c r="C579" s="94">
        <v>303.12290167163707</v>
      </c>
      <c r="D579" s="94">
        <v>86</v>
      </c>
      <c r="E579" s="94">
        <v>6.9995399475097653</v>
      </c>
      <c r="F579" s="94">
        <v>85.7</v>
      </c>
      <c r="G579" s="94">
        <v>6.9788322901914208</v>
      </c>
      <c r="H579" s="94">
        <v>80.1432610972617</v>
      </c>
      <c r="I579" s="94">
        <v>16.036546509851838</v>
      </c>
      <c r="J579" s="94">
        <v>27767.902791448683</v>
      </c>
      <c r="K579" s="94">
        <v>5.0834552299091964</v>
      </c>
      <c r="L579" s="94">
        <v>100</v>
      </c>
      <c r="M579" s="94">
        <v>91.275619632941627</v>
      </c>
      <c r="N579" s="94">
        <v>98</v>
      </c>
      <c r="O579" s="94">
        <v>78</v>
      </c>
    </row>
    <row r="580" spans="1:15" x14ac:dyDescent="0.25">
      <c r="A580" s="89">
        <v>44850.833333333336</v>
      </c>
      <c r="B580" s="94">
        <v>361.4</v>
      </c>
      <c r="C580" s="94">
        <v>303.13078881581413</v>
      </c>
      <c r="D580" s="94">
        <v>87.8</v>
      </c>
      <c r="E580" s="94">
        <v>6.9764555906840577</v>
      </c>
      <c r="F580" s="94">
        <v>86.3</v>
      </c>
      <c r="G580" s="94">
        <v>6.9431560058593753</v>
      </c>
      <c r="H580" s="94">
        <v>80.025865915838224</v>
      </c>
      <c r="I580" s="94">
        <v>15.992981941814776</v>
      </c>
      <c r="J580" s="94">
        <v>27944.063465275474</v>
      </c>
      <c r="K580" s="94">
        <v>5.092771704636406</v>
      </c>
      <c r="L580" s="94">
        <v>102</v>
      </c>
      <c r="M580" s="94">
        <v>93</v>
      </c>
      <c r="N580" s="94">
        <v>100</v>
      </c>
      <c r="O580" s="94">
        <v>79</v>
      </c>
    </row>
    <row r="581" spans="1:15" x14ac:dyDescent="0.25">
      <c r="A581" s="89">
        <v>44851.333333333336</v>
      </c>
      <c r="B581" s="94">
        <v>361.16</v>
      </c>
      <c r="C581" s="94">
        <v>303.08</v>
      </c>
      <c r="D581" s="94">
        <v>87.083912073584386</v>
      </c>
      <c r="E581" s="94">
        <v>6.9724148000917356</v>
      </c>
      <c r="F581" s="94">
        <v>86.3</v>
      </c>
      <c r="G581" s="94">
        <v>6.902319641113281</v>
      </c>
      <c r="H581" s="94">
        <v>79.93643025680079</v>
      </c>
      <c r="I581" s="94">
        <v>15.951111195967618</v>
      </c>
      <c r="J581" s="94">
        <v>27350</v>
      </c>
      <c r="K581" s="94">
        <v>5.0549999999999997</v>
      </c>
      <c r="L581" s="94">
        <v>100</v>
      </c>
      <c r="M581" s="94">
        <v>90.04642774161357</v>
      </c>
      <c r="N581" s="94">
        <v>97</v>
      </c>
      <c r="O581" s="94">
        <v>77</v>
      </c>
    </row>
    <row r="582" spans="1:15" x14ac:dyDescent="0.25">
      <c r="A582" s="89">
        <v>44851.833333333336</v>
      </c>
      <c r="B582" s="94">
        <v>361.16</v>
      </c>
      <c r="C582" s="94">
        <v>303.02364727467318</v>
      </c>
      <c r="D582" s="94">
        <v>87.998500053378876</v>
      </c>
      <c r="E582" s="94">
        <v>6.9576497816700416</v>
      </c>
      <c r="F582" s="94">
        <v>86.621895059792692</v>
      </c>
      <c r="G582" s="94">
        <v>6.9601650238037109</v>
      </c>
      <c r="H582" s="94">
        <v>80.090682171571189</v>
      </c>
      <c r="I582" s="94">
        <v>15.969028466483012</v>
      </c>
      <c r="J582" s="94">
        <v>26447.297776070402</v>
      </c>
      <c r="K582" s="94">
        <v>4.9932636390869005</v>
      </c>
      <c r="L582" s="94">
        <v>102.46023115829588</v>
      </c>
      <c r="M582" s="94">
        <v>94</v>
      </c>
      <c r="N582" s="94">
        <v>101</v>
      </c>
      <c r="O582" s="94">
        <v>80</v>
      </c>
    </row>
    <row r="583" spans="1:15" x14ac:dyDescent="0.25">
      <c r="A583" s="89">
        <v>44852.333333333336</v>
      </c>
      <c r="B583" s="94">
        <v>361.08033841215502</v>
      </c>
      <c r="C583" s="94">
        <v>303.02</v>
      </c>
      <c r="D583" s="94">
        <v>87.314450118170939</v>
      </c>
      <c r="E583" s="94">
        <v>6.93</v>
      </c>
      <c r="F583" s="94">
        <v>86.872403838699114</v>
      </c>
      <c r="G583" s="94">
        <v>6.9309854218519833</v>
      </c>
      <c r="H583" s="94">
        <v>80.3</v>
      </c>
      <c r="I583" s="94">
        <v>15.88298480949236</v>
      </c>
      <c r="J583" s="94">
        <v>26302.046334287745</v>
      </c>
      <c r="K583" s="94">
        <v>4.9789377209509107</v>
      </c>
      <c r="L583" s="94">
        <v>101</v>
      </c>
      <c r="M583" s="94">
        <v>91.747534118630284</v>
      </c>
      <c r="N583" s="94">
        <v>99</v>
      </c>
      <c r="O583" s="94">
        <v>100</v>
      </c>
    </row>
    <row r="584" spans="1:15" x14ac:dyDescent="0.25">
      <c r="A584" s="89">
        <v>44852.833333333336</v>
      </c>
      <c r="B584" s="94">
        <v>360.94</v>
      </c>
      <c r="C584" s="94">
        <v>303.02315239034004</v>
      </c>
      <c r="D584" s="94">
        <v>88.929582360433187</v>
      </c>
      <c r="E584" s="94">
        <v>6.9553219839430174</v>
      </c>
      <c r="F584" s="94">
        <v>87.364732869466152</v>
      </c>
      <c r="G584" s="94">
        <v>6.9493597412109374</v>
      </c>
      <c r="H584" s="94">
        <v>80.329323488151246</v>
      </c>
      <c r="I584" s="94">
        <v>15.878557707736391</v>
      </c>
      <c r="J584" s="94">
        <v>26760.509499096494</v>
      </c>
      <c r="K584" s="94">
        <v>5.0112564835307118</v>
      </c>
      <c r="L584" s="94">
        <v>102</v>
      </c>
      <c r="M584" s="94">
        <v>92.685674108834121</v>
      </c>
      <c r="N584" s="94">
        <v>99</v>
      </c>
      <c r="O584" s="94">
        <v>101</v>
      </c>
    </row>
    <row r="585" spans="1:15" x14ac:dyDescent="0.25">
      <c r="A585" s="89">
        <v>44853.333333333336</v>
      </c>
      <c r="B585" s="94">
        <v>360.6</v>
      </c>
      <c r="C585" s="94">
        <v>303.0209580234449</v>
      </c>
      <c r="D585" s="94">
        <v>88.9</v>
      </c>
      <c r="E585" s="94">
        <v>6.930570373535156</v>
      </c>
      <c r="F585" s="94">
        <v>87.132158934220129</v>
      </c>
      <c r="G585" s="94">
        <v>6.9580821109425051</v>
      </c>
      <c r="H585" s="94">
        <v>81.044044438181729</v>
      </c>
      <c r="I585" s="94">
        <v>15.903795290548926</v>
      </c>
      <c r="J585" s="94">
        <v>26727.56694566763</v>
      </c>
      <c r="K585" s="94">
        <v>5.0112628197046014</v>
      </c>
      <c r="L585" s="94">
        <v>101</v>
      </c>
      <c r="M585" s="94">
        <v>91</v>
      </c>
      <c r="N585" s="94">
        <v>98</v>
      </c>
      <c r="O585" s="94">
        <v>99.161113728169823</v>
      </c>
    </row>
    <row r="586" spans="1:15" x14ac:dyDescent="0.25">
      <c r="A586" s="89">
        <v>44853.833333333336</v>
      </c>
      <c r="B586" s="94">
        <v>360.6</v>
      </c>
      <c r="C586" s="94">
        <v>303.02</v>
      </c>
      <c r="D586" s="94">
        <v>89.5</v>
      </c>
      <c r="E586" s="94">
        <v>6.9607380841263717</v>
      </c>
      <c r="F586" s="94">
        <v>87.801847365694613</v>
      </c>
      <c r="G586" s="94">
        <v>6.9391431480721595</v>
      </c>
      <c r="H586" s="94">
        <v>81.059765953284952</v>
      </c>
      <c r="I586" s="94">
        <v>15.981380157470703</v>
      </c>
      <c r="J586" s="94">
        <v>26803.551859067891</v>
      </c>
      <c r="K586" s="94">
        <v>5.0129981930703327</v>
      </c>
      <c r="L586" s="94">
        <v>102</v>
      </c>
      <c r="M586" s="94">
        <v>93.99490540147761</v>
      </c>
      <c r="N586" s="94">
        <v>100</v>
      </c>
      <c r="O586" s="94">
        <v>102</v>
      </c>
    </row>
    <row r="587" spans="1:15" x14ac:dyDescent="0.25">
      <c r="A587" s="89">
        <v>44854.333333333336</v>
      </c>
      <c r="B587" s="94">
        <v>360.29</v>
      </c>
      <c r="C587" s="94">
        <v>302.97756011962895</v>
      </c>
      <c r="D587" s="94">
        <v>89.751517951843951</v>
      </c>
      <c r="E587" s="94">
        <v>6.9663417640288063</v>
      </c>
      <c r="F587" s="94">
        <v>87.9</v>
      </c>
      <c r="G587" s="94">
        <v>6.92</v>
      </c>
      <c r="H587" s="94">
        <v>81.817780628633045</v>
      </c>
      <c r="I587" s="94">
        <v>16.017144306020196</v>
      </c>
      <c r="J587" s="94">
        <v>25666.992300404207</v>
      </c>
      <c r="K587" s="94">
        <v>4.9351478591111855</v>
      </c>
      <c r="L587" s="94">
        <v>101.14210380262207</v>
      </c>
      <c r="M587" s="94">
        <v>92.553902246748123</v>
      </c>
      <c r="N587" s="94">
        <v>99</v>
      </c>
      <c r="O587" s="94">
        <v>101</v>
      </c>
    </row>
    <row r="588" spans="1:15" x14ac:dyDescent="0.25">
      <c r="A588" s="89">
        <v>44854.833333333336</v>
      </c>
      <c r="B588" s="94">
        <v>360.29</v>
      </c>
      <c r="C588" s="94">
        <v>302.92</v>
      </c>
      <c r="D588" s="94">
        <v>89.711250702898013</v>
      </c>
      <c r="E588" s="94">
        <v>6.942927856445313</v>
      </c>
      <c r="F588" s="94">
        <v>88.384882805587253</v>
      </c>
      <c r="G588" s="94">
        <v>6.9695560391545861</v>
      </c>
      <c r="H588" s="94">
        <v>81.81632033090915</v>
      </c>
      <c r="I588" s="94">
        <v>15.860975343131301</v>
      </c>
      <c r="J588" s="94">
        <v>25091.993431350038</v>
      </c>
      <c r="K588" s="94">
        <v>4.8946643664197955</v>
      </c>
      <c r="L588" s="94">
        <v>102</v>
      </c>
      <c r="M588" s="94">
        <v>93.166337618914582</v>
      </c>
      <c r="N588" s="94">
        <v>100</v>
      </c>
      <c r="O588" s="94">
        <v>102</v>
      </c>
    </row>
    <row r="589" spans="1:15" x14ac:dyDescent="0.25">
      <c r="A589" s="89">
        <v>44855.333333333336</v>
      </c>
      <c r="B589" s="94">
        <v>359.99</v>
      </c>
      <c r="C589" s="94">
        <v>302.53937012995215</v>
      </c>
      <c r="D589" s="94">
        <v>90.2</v>
      </c>
      <c r="E589" s="94">
        <v>7.0198999695028972</v>
      </c>
      <c r="F589" s="94">
        <v>88.717783086103864</v>
      </c>
      <c r="G589" s="94">
        <v>7.0035258819210355</v>
      </c>
      <c r="H589" s="94">
        <v>81.454697866960245</v>
      </c>
      <c r="I589" s="94">
        <v>15.977125728187476</v>
      </c>
      <c r="J589" s="94">
        <v>18251.941382158911</v>
      </c>
      <c r="K589" s="94">
        <v>4.3652580361535849</v>
      </c>
      <c r="L589" s="94">
        <v>102</v>
      </c>
      <c r="M589" s="94">
        <v>93</v>
      </c>
      <c r="N589" s="94">
        <v>99.821455550193733</v>
      </c>
      <c r="O589" s="94">
        <v>101</v>
      </c>
    </row>
    <row r="590" spans="1:15" x14ac:dyDescent="0.25">
      <c r="A590" s="89">
        <v>44855.833333333336</v>
      </c>
      <c r="B590" s="94">
        <v>359.99</v>
      </c>
      <c r="C590" s="94">
        <v>301.08</v>
      </c>
      <c r="D590" s="94">
        <v>84.993859701662927</v>
      </c>
      <c r="E590" s="94">
        <v>6.9493893386283796</v>
      </c>
      <c r="F590" s="94">
        <v>81.734101389520461</v>
      </c>
      <c r="G590" s="94">
        <v>6.9525616951765938</v>
      </c>
      <c r="H590" s="94">
        <v>79.5</v>
      </c>
      <c r="I590" s="94">
        <v>16.003540078803645</v>
      </c>
      <c r="J590" s="94">
        <v>5506.7654484522955</v>
      </c>
      <c r="K590" s="94">
        <v>2.9296555011619287</v>
      </c>
      <c r="L590" s="94">
        <v>1</v>
      </c>
      <c r="M590" s="94">
        <v>0</v>
      </c>
      <c r="N590" s="94">
        <v>0</v>
      </c>
      <c r="O590" s="94">
        <v>0</v>
      </c>
    </row>
    <row r="591" spans="1:15" x14ac:dyDescent="0.25">
      <c r="A591" s="89">
        <v>44856.333333333336</v>
      </c>
      <c r="B591" s="94">
        <v>359.99</v>
      </c>
      <c r="C591" s="94">
        <v>301.08</v>
      </c>
      <c r="D591" s="94">
        <v>82.949639892578134</v>
      </c>
      <c r="E591" s="94">
        <v>6.9924174936357675</v>
      </c>
      <c r="F591" s="94">
        <v>82.7</v>
      </c>
      <c r="G591" s="94">
        <v>6.9283210129988877</v>
      </c>
      <c r="H591" s="94">
        <v>78.958575690455177</v>
      </c>
      <c r="I591" s="94">
        <v>15.987333128694637</v>
      </c>
      <c r="J591" s="94">
        <v>5503.0449589386544</v>
      </c>
      <c r="K591" s="94">
        <v>2.9296118705592158</v>
      </c>
      <c r="L591" s="94">
        <v>1</v>
      </c>
      <c r="M591" s="94">
        <v>0</v>
      </c>
      <c r="N591" s="94">
        <v>0</v>
      </c>
      <c r="O591" s="94">
        <v>0</v>
      </c>
    </row>
    <row r="592" spans="1:15" x14ac:dyDescent="0.25">
      <c r="A592" s="89">
        <v>44856.833333333336</v>
      </c>
      <c r="B592" s="94">
        <v>359.99</v>
      </c>
      <c r="C592" s="94">
        <v>299.60517634826573</v>
      </c>
      <c r="D592" s="94">
        <v>2.2679540751367653</v>
      </c>
      <c r="E592" s="94">
        <v>0</v>
      </c>
      <c r="F592" s="94">
        <v>1.7826445188803439</v>
      </c>
      <c r="G592" s="94">
        <v>0</v>
      </c>
      <c r="H592" s="94">
        <v>0.2</v>
      </c>
      <c r="I592" s="94">
        <v>0</v>
      </c>
      <c r="J592" s="94">
        <v>431</v>
      </c>
      <c r="K592" s="94">
        <v>1.5225779711793996</v>
      </c>
      <c r="L592" s="94">
        <v>1</v>
      </c>
      <c r="M592" s="94">
        <v>0</v>
      </c>
      <c r="N592" s="94">
        <v>0</v>
      </c>
      <c r="O592" s="94">
        <v>12</v>
      </c>
    </row>
    <row r="593" spans="1:15" x14ac:dyDescent="0.25">
      <c r="A593" s="89">
        <v>44857.333333333336</v>
      </c>
      <c r="B593" s="94">
        <v>360.14620229178075</v>
      </c>
      <c r="C593" s="94">
        <v>300.24355590663441</v>
      </c>
      <c r="D593" s="94">
        <v>7.3814749119889154</v>
      </c>
      <c r="E593" s="94">
        <v>0.44170959370004831</v>
      </c>
      <c r="F593" s="94">
        <v>7.9004957227282739</v>
      </c>
      <c r="G593" s="94">
        <v>0.43026759232210854</v>
      </c>
      <c r="H593" s="94">
        <v>6.0337447849832788</v>
      </c>
      <c r="I593" s="94">
        <v>1.0284355996467163</v>
      </c>
      <c r="J593" s="94">
        <v>3234.5676923521978</v>
      </c>
      <c r="K593" s="94">
        <v>2.0278041558264035</v>
      </c>
      <c r="L593" s="94">
        <v>1</v>
      </c>
      <c r="M593" s="94">
        <v>0</v>
      </c>
      <c r="N593" s="94">
        <v>0</v>
      </c>
      <c r="O593" s="94">
        <v>10.291119720161753</v>
      </c>
    </row>
    <row r="594" spans="1:15" x14ac:dyDescent="0.25">
      <c r="A594" s="89">
        <v>44857.833333333336</v>
      </c>
      <c r="B594" s="94">
        <v>360.73419638663626</v>
      </c>
      <c r="C594" s="94">
        <v>301.04824152286216</v>
      </c>
      <c r="D594" s="94">
        <v>26.926554942170352</v>
      </c>
      <c r="E594" s="94">
        <v>2.0810095250978766</v>
      </c>
      <c r="F594" s="94">
        <v>27.140113551169378</v>
      </c>
      <c r="G594" s="94">
        <v>2.061402327827897</v>
      </c>
      <c r="H594" s="94">
        <v>24.243651808239015</v>
      </c>
      <c r="I594" s="94">
        <v>4.7638154926145102</v>
      </c>
      <c r="J594" s="94">
        <v>12473.051964591012</v>
      </c>
      <c r="K594" s="94">
        <v>2.9840383926545542</v>
      </c>
      <c r="L594" s="94">
        <v>1</v>
      </c>
      <c r="M594" s="94">
        <v>0</v>
      </c>
      <c r="N594" s="94">
        <v>0</v>
      </c>
      <c r="O594" s="94">
        <v>7.6402190990005181</v>
      </c>
    </row>
    <row r="595" spans="1:15" x14ac:dyDescent="0.25">
      <c r="A595" s="89">
        <v>44858.333333333336</v>
      </c>
      <c r="B595" s="94">
        <v>361.32219048149176</v>
      </c>
      <c r="C595" s="94">
        <v>301.85292713908984</v>
      </c>
      <c r="D595" s="94">
        <v>46.471634972351794</v>
      </c>
      <c r="E595" s="94">
        <v>3.7203094564957051</v>
      </c>
      <c r="F595" s="94">
        <v>46.37973137961049</v>
      </c>
      <c r="G595" s="94">
        <v>3.6925370633336856</v>
      </c>
      <c r="H595" s="94">
        <v>42.453558831494753</v>
      </c>
      <c r="I595" s="94">
        <v>8.4991953855823041</v>
      </c>
      <c r="J595" s="94">
        <v>21711.536236829823</v>
      </c>
      <c r="K595" s="94">
        <v>3.9402726294827044</v>
      </c>
      <c r="L595" s="94">
        <v>1</v>
      </c>
      <c r="M595" s="94">
        <v>0</v>
      </c>
      <c r="N595" s="94">
        <v>0</v>
      </c>
      <c r="O595" s="94">
        <v>4.9893184778392845</v>
      </c>
    </row>
    <row r="596" spans="1:15" x14ac:dyDescent="0.25">
      <c r="A596" s="89">
        <v>44858.833333333336</v>
      </c>
      <c r="B596" s="94">
        <v>361.91018457634721</v>
      </c>
      <c r="C596" s="94">
        <v>302.65761275531759</v>
      </c>
      <c r="D596" s="94">
        <v>66.016715002533232</v>
      </c>
      <c r="E596" s="94">
        <v>5.3596093878935331</v>
      </c>
      <c r="F596" s="94">
        <v>65.619349208051588</v>
      </c>
      <c r="G596" s="94">
        <v>5.3236717988394746</v>
      </c>
      <c r="H596" s="94">
        <v>60.663465854750491</v>
      </c>
      <c r="I596" s="94">
        <v>12.234575278550098</v>
      </c>
      <c r="J596" s="94">
        <v>30950.02050906864</v>
      </c>
      <c r="K596" s="94">
        <v>4.8965068663108546</v>
      </c>
      <c r="L596" s="94">
        <v>1</v>
      </c>
      <c r="M596" s="94">
        <v>0</v>
      </c>
      <c r="N596" s="94">
        <v>0</v>
      </c>
      <c r="O596" s="94">
        <v>2.3384178566780491</v>
      </c>
    </row>
    <row r="597" spans="1:15" x14ac:dyDescent="0.25">
      <c r="A597" s="89">
        <v>44859.333333333336</v>
      </c>
      <c r="B597" s="94">
        <v>362.49</v>
      </c>
      <c r="C597" s="94">
        <v>303.45</v>
      </c>
      <c r="D597" s="94">
        <v>85.34136870723384</v>
      </c>
      <c r="E597" s="94">
        <v>7.0002509947964491</v>
      </c>
      <c r="F597" s="94">
        <v>84.751400756835935</v>
      </c>
      <c r="G597" s="94">
        <v>6.9375851999082636</v>
      </c>
      <c r="H597" s="94">
        <v>78.758126818901999</v>
      </c>
      <c r="I597" s="94">
        <v>16.006799926757814</v>
      </c>
      <c r="J597" s="94">
        <v>39876.864085742665</v>
      </c>
      <c r="K597" s="94">
        <v>5.8274062108582063</v>
      </c>
      <c r="L597" s="94">
        <v>1</v>
      </c>
      <c r="M597" s="94">
        <v>0</v>
      </c>
      <c r="N597" s="94">
        <v>0</v>
      </c>
      <c r="O597" s="94">
        <v>0</v>
      </c>
    </row>
    <row r="598" spans="1:15" x14ac:dyDescent="0.25">
      <c r="A598" s="89">
        <v>44859.833333333336</v>
      </c>
      <c r="B598" s="94">
        <v>362.49</v>
      </c>
      <c r="C598" s="94">
        <v>303.36</v>
      </c>
      <c r="D598" s="94">
        <v>85.326800537109378</v>
      </c>
      <c r="E598" s="94">
        <v>6.9892199707031253</v>
      </c>
      <c r="F598" s="94">
        <v>84.8</v>
      </c>
      <c r="G598" s="94">
        <v>6.94</v>
      </c>
      <c r="H598" s="94">
        <v>78.532401102133235</v>
      </c>
      <c r="I598" s="94">
        <v>15.904739406195423</v>
      </c>
      <c r="J598" s="94">
        <v>36236.181232203184</v>
      </c>
      <c r="K598" s="94">
        <v>5.6134068149761003</v>
      </c>
      <c r="L598" s="94">
        <v>1</v>
      </c>
      <c r="M598" s="94">
        <v>0</v>
      </c>
      <c r="N598" s="94">
        <v>0</v>
      </c>
      <c r="O598" s="94">
        <v>0</v>
      </c>
    </row>
    <row r="599" spans="1:15" x14ac:dyDescent="0.25">
      <c r="A599" s="89">
        <v>44860.333333333336</v>
      </c>
      <c r="B599" s="94">
        <v>362.38</v>
      </c>
      <c r="C599" s="94">
        <v>303.34684042418252</v>
      </c>
      <c r="D599" s="94">
        <v>85.2</v>
      </c>
      <c r="E599" s="94">
        <v>6.9694595708626252</v>
      </c>
      <c r="F599" s="94">
        <v>84.8998682855391</v>
      </c>
      <c r="G599" s="94">
        <v>6.9009292541272238</v>
      </c>
      <c r="H599" s="94">
        <v>78.321983342084593</v>
      </c>
      <c r="I599" s="94">
        <v>15.80736519103964</v>
      </c>
      <c r="J599" s="94">
        <v>38682.517029064016</v>
      </c>
      <c r="K599" s="94">
        <v>5.7585501495858784</v>
      </c>
      <c r="L599" s="94">
        <v>1</v>
      </c>
      <c r="M599" s="94">
        <v>0</v>
      </c>
      <c r="N599" s="94">
        <v>0</v>
      </c>
      <c r="O599" s="94">
        <v>0</v>
      </c>
    </row>
    <row r="600" spans="1:15" x14ac:dyDescent="0.25">
      <c r="A600" s="89">
        <v>44860.833333333336</v>
      </c>
      <c r="B600" s="94">
        <v>362.38</v>
      </c>
      <c r="C600" s="94">
        <v>303.52</v>
      </c>
      <c r="D600" s="94">
        <v>85.3</v>
      </c>
      <c r="E600" s="94">
        <v>6.9695498657226569</v>
      </c>
      <c r="F600" s="94">
        <v>84.832437712243973</v>
      </c>
      <c r="G600" s="94">
        <v>6.9209600830078122</v>
      </c>
      <c r="H600" s="94">
        <v>78.5</v>
      </c>
      <c r="I600" s="94">
        <v>15.746294111370254</v>
      </c>
      <c r="J600" s="94">
        <v>45120.156914170431</v>
      </c>
      <c r="K600" s="94">
        <v>6.1106353687716126</v>
      </c>
      <c r="L600" s="94">
        <v>1</v>
      </c>
      <c r="M600" s="94">
        <v>0</v>
      </c>
      <c r="N600" s="94">
        <v>0</v>
      </c>
      <c r="O600" s="94">
        <v>0</v>
      </c>
    </row>
    <row r="601" spans="1:15" x14ac:dyDescent="0.25">
      <c r="A601" s="89">
        <v>44861.333333333336</v>
      </c>
      <c r="B601" s="94">
        <v>362.51</v>
      </c>
      <c r="C601" s="94">
        <v>303.54000000000002</v>
      </c>
      <c r="D601" s="94">
        <v>85.239279785156242</v>
      </c>
      <c r="E601" s="94">
        <v>6.94</v>
      </c>
      <c r="F601" s="94">
        <v>84.921685791015634</v>
      </c>
      <c r="G601" s="94">
        <v>6.9214187175598125</v>
      </c>
      <c r="H601" s="94">
        <v>78.403252205522762</v>
      </c>
      <c r="I601" s="94">
        <v>15.819199480678174</v>
      </c>
      <c r="J601" s="94">
        <v>45688.010609696619</v>
      </c>
      <c r="K601" s="94">
        <v>6.1396131822507929</v>
      </c>
      <c r="L601" s="94">
        <v>0</v>
      </c>
      <c r="M601" s="94">
        <v>0</v>
      </c>
      <c r="N601" s="94">
        <v>0</v>
      </c>
      <c r="O601" s="94">
        <v>0</v>
      </c>
    </row>
    <row r="602" spans="1:15" x14ac:dyDescent="0.25">
      <c r="A602" s="89">
        <v>44861.833333333336</v>
      </c>
      <c r="B602" s="94">
        <v>362.51</v>
      </c>
      <c r="C602" s="94">
        <v>303.36610400390623</v>
      </c>
      <c r="D602" s="94">
        <v>85.365420227557479</v>
      </c>
      <c r="E602" s="94">
        <v>6.9931932576497395</v>
      </c>
      <c r="F602" s="94">
        <v>85.030464716411174</v>
      </c>
      <c r="G602" s="94">
        <v>6.9225153803983677</v>
      </c>
      <c r="H602" s="94">
        <v>78.665165811522925</v>
      </c>
      <c r="I602" s="94">
        <v>15.93</v>
      </c>
      <c r="J602" s="94">
        <v>39245.836862183278</v>
      </c>
      <c r="K602" s="94">
        <v>5.7923132151936398</v>
      </c>
      <c r="L602" s="94">
        <v>1</v>
      </c>
      <c r="M602" s="94">
        <v>0</v>
      </c>
      <c r="N602" s="94">
        <v>0</v>
      </c>
      <c r="O602" s="94">
        <v>0</v>
      </c>
    </row>
    <row r="603" spans="1:15" x14ac:dyDescent="0.25">
      <c r="A603" s="89">
        <v>44862.333333333336</v>
      </c>
      <c r="B603" s="94">
        <v>362.33</v>
      </c>
      <c r="C603" s="94">
        <v>303.28050105044713</v>
      </c>
      <c r="D603" s="94">
        <v>85.192021949194128</v>
      </c>
      <c r="E603" s="94">
        <v>6.9446365941423869</v>
      </c>
      <c r="F603" s="94">
        <v>84.879125464488979</v>
      </c>
      <c r="G603" s="94">
        <v>6.9344754733087406</v>
      </c>
      <c r="H603" s="94">
        <v>78.794052550958952</v>
      </c>
      <c r="I603" s="94">
        <v>15.976062496196677</v>
      </c>
      <c r="J603" s="94">
        <v>37854.106371877919</v>
      </c>
      <c r="K603" s="94">
        <v>5.7085634902799081</v>
      </c>
      <c r="L603" s="94">
        <v>0</v>
      </c>
      <c r="M603" s="94">
        <v>0</v>
      </c>
      <c r="N603" s="94">
        <v>0</v>
      </c>
      <c r="O603" s="94">
        <v>0</v>
      </c>
    </row>
    <row r="604" spans="1:15" x14ac:dyDescent="0.25">
      <c r="A604" s="89">
        <v>44862.833333333336</v>
      </c>
      <c r="B604" s="94">
        <v>362.33</v>
      </c>
      <c r="C604" s="94">
        <v>303.33260118250587</v>
      </c>
      <c r="D604" s="94">
        <v>86.7</v>
      </c>
      <c r="E604" s="94">
        <v>6.9823948350188569</v>
      </c>
      <c r="F604" s="94">
        <v>85.091423870326551</v>
      </c>
      <c r="G604" s="94">
        <v>6.9047094258848718</v>
      </c>
      <c r="H604" s="94">
        <v>78.955403562030327</v>
      </c>
      <c r="I604" s="94">
        <v>15.98433308919271</v>
      </c>
      <c r="J604" s="94">
        <v>37730.960578038917</v>
      </c>
      <c r="K604" s="94">
        <v>5.7013481765278549</v>
      </c>
      <c r="L604" s="94">
        <v>0</v>
      </c>
      <c r="M604" s="94">
        <v>0</v>
      </c>
      <c r="N604" s="94">
        <v>0</v>
      </c>
      <c r="O604" s="94">
        <v>0</v>
      </c>
    </row>
    <row r="605" spans="1:15" x14ac:dyDescent="0.25">
      <c r="A605" s="89">
        <v>44863.333333333336</v>
      </c>
      <c r="B605" s="94">
        <v>362.33</v>
      </c>
      <c r="C605" s="94">
        <v>303.23148052072213</v>
      </c>
      <c r="D605" s="94">
        <v>86.191016642252606</v>
      </c>
      <c r="E605" s="94">
        <v>6.9707908965938596</v>
      </c>
      <c r="F605" s="94">
        <v>84.8</v>
      </c>
      <c r="G605" s="94">
        <v>6.89</v>
      </c>
      <c r="H605" s="94">
        <v>79.322338160673226</v>
      </c>
      <c r="I605" s="94">
        <v>15.92</v>
      </c>
      <c r="J605" s="94">
        <v>37560.634556773126</v>
      </c>
      <c r="K605" s="94">
        <v>5.693628485489663</v>
      </c>
      <c r="L605" s="94">
        <v>0</v>
      </c>
      <c r="M605" s="94">
        <v>0</v>
      </c>
      <c r="N605" s="94">
        <v>0</v>
      </c>
      <c r="O605" s="94">
        <v>0</v>
      </c>
    </row>
    <row r="606" spans="1:15" x14ac:dyDescent="0.25">
      <c r="A606" s="89">
        <v>44863.833333333336</v>
      </c>
      <c r="B606" s="94">
        <v>362.33</v>
      </c>
      <c r="C606" s="94">
        <v>303.26</v>
      </c>
      <c r="D606" s="94">
        <v>87.082009460825944</v>
      </c>
      <c r="E606" s="94">
        <v>6.952272185733924</v>
      </c>
      <c r="F606" s="94">
        <v>84.972871958577088</v>
      </c>
      <c r="G606" s="94">
        <v>6.8454855659080494</v>
      </c>
      <c r="H606" s="94">
        <v>79.522682910347385</v>
      </c>
      <c r="I606" s="94">
        <v>16.01790008544922</v>
      </c>
      <c r="J606" s="94">
        <v>30971.729641938218</v>
      </c>
      <c r="K606" s="94">
        <v>4.5498179296013772</v>
      </c>
      <c r="L606" s="94">
        <v>0.25588696684563694</v>
      </c>
      <c r="M606" s="94">
        <v>0</v>
      </c>
      <c r="N606" s="94">
        <v>0</v>
      </c>
      <c r="O606" s="94">
        <v>0</v>
      </c>
    </row>
    <row r="607" spans="1:15" x14ac:dyDescent="0.25">
      <c r="A607" s="89">
        <v>44864.333333333336</v>
      </c>
      <c r="B607" s="94">
        <v>362.33</v>
      </c>
      <c r="C607" s="94">
        <v>303.17</v>
      </c>
      <c r="D607" s="94">
        <v>86.301200708364505</v>
      </c>
      <c r="E607" s="94">
        <v>6.9792792118527576</v>
      </c>
      <c r="F607" s="94">
        <v>84.9</v>
      </c>
      <c r="G607" s="94">
        <v>6.88</v>
      </c>
      <c r="H607" s="94">
        <v>79.705202896758507</v>
      </c>
      <c r="I607" s="94">
        <v>15.769548515457606</v>
      </c>
      <c r="J607" s="94">
        <v>35655.226800902288</v>
      </c>
      <c r="K607" s="94">
        <v>5.5782172568900741</v>
      </c>
      <c r="L607" s="94">
        <v>0</v>
      </c>
      <c r="M607" s="94">
        <v>0</v>
      </c>
      <c r="N607" s="94">
        <v>0</v>
      </c>
      <c r="O607" s="94">
        <v>0</v>
      </c>
    </row>
    <row r="608" spans="1:15" x14ac:dyDescent="0.25">
      <c r="A608" s="89">
        <v>44864.833333333336</v>
      </c>
      <c r="B608" s="94">
        <v>362.33</v>
      </c>
      <c r="C608" s="94">
        <v>302.87012446832097</v>
      </c>
      <c r="D608" s="94">
        <v>87.229194465474279</v>
      </c>
      <c r="E608" s="94">
        <v>7.0003856351480422</v>
      </c>
      <c r="F608" s="94">
        <v>85</v>
      </c>
      <c r="G608" s="94">
        <v>6.8404982855752632</v>
      </c>
      <c r="H608" s="94">
        <v>79.361883938697076</v>
      </c>
      <c r="I608" s="94">
        <v>15.885641716610525</v>
      </c>
      <c r="J608" s="94">
        <v>26316.080950531235</v>
      </c>
      <c r="K608" s="94">
        <v>4.9815477143805147</v>
      </c>
      <c r="L608" s="94">
        <v>1</v>
      </c>
      <c r="M608" s="94">
        <v>0</v>
      </c>
      <c r="N608" s="94">
        <v>0</v>
      </c>
      <c r="O608" s="94">
        <v>0</v>
      </c>
    </row>
    <row r="609" spans="1:15" x14ac:dyDescent="0.25">
      <c r="A609" s="89">
        <v>44865.333333333336</v>
      </c>
      <c r="B609" s="94">
        <v>362.33</v>
      </c>
      <c r="C609" s="94">
        <v>302.87</v>
      </c>
      <c r="D609" s="94">
        <v>87.1</v>
      </c>
      <c r="E609" s="94">
        <v>6.9992489804646336</v>
      </c>
      <c r="F609" s="94">
        <v>85.038414884084247</v>
      </c>
      <c r="G609" s="94">
        <v>6.82</v>
      </c>
      <c r="H609" s="94">
        <v>79.928048629202337</v>
      </c>
      <c r="I609" s="94">
        <v>16.066677361679201</v>
      </c>
      <c r="J609" s="94">
        <v>25642.074838714063</v>
      </c>
      <c r="K609" s="94">
        <v>4.9335745714364077</v>
      </c>
      <c r="L609" s="94">
        <v>1</v>
      </c>
      <c r="M609" s="94">
        <v>0</v>
      </c>
      <c r="N609" s="94">
        <v>0</v>
      </c>
      <c r="O609" s="94">
        <v>0</v>
      </c>
    </row>
    <row r="610" spans="1:15" x14ac:dyDescent="0.25">
      <c r="A610" s="89">
        <v>44865.833333333336</v>
      </c>
      <c r="B610" s="94">
        <v>361.37</v>
      </c>
      <c r="C610" s="94">
        <v>299.74</v>
      </c>
      <c r="D610" s="94">
        <v>37.700624399723011</v>
      </c>
      <c r="E610" s="94">
        <v>2.4653601074218754</v>
      </c>
      <c r="F610" s="94">
        <v>1.6</v>
      </c>
      <c r="G610" s="94">
        <v>0</v>
      </c>
      <c r="H610" s="94">
        <v>0.2</v>
      </c>
      <c r="I610" s="94">
        <v>0</v>
      </c>
      <c r="J610" s="94">
        <v>593</v>
      </c>
      <c r="K610" s="94">
        <v>1.6482734728983857</v>
      </c>
      <c r="L610" s="94">
        <v>1</v>
      </c>
      <c r="M610" s="94">
        <v>0</v>
      </c>
      <c r="N610" s="94">
        <v>0</v>
      </c>
      <c r="O610" s="94">
        <v>0</v>
      </c>
    </row>
    <row r="611" spans="1:15" x14ac:dyDescent="0.25">
      <c r="A611" s="89">
        <v>44866.333333333336</v>
      </c>
      <c r="B611" s="94">
        <v>361.37</v>
      </c>
      <c r="C611" s="94">
        <v>303.49515577442287</v>
      </c>
      <c r="D611" s="94">
        <v>42.495510059288257</v>
      </c>
      <c r="E611" s="94">
        <v>2.5388009420516298</v>
      </c>
      <c r="F611" s="94">
        <v>2.3836852490231353</v>
      </c>
      <c r="G611" s="94">
        <v>0</v>
      </c>
      <c r="H611" s="94">
        <v>1.2</v>
      </c>
      <c r="I611" s="94">
        <v>0</v>
      </c>
      <c r="J611" s="94">
        <v>48209.249987217845</v>
      </c>
      <c r="K611" s="94">
        <v>6.2705645468323157</v>
      </c>
      <c r="L611" s="94">
        <v>0</v>
      </c>
      <c r="M611" s="94">
        <v>0</v>
      </c>
      <c r="N611" s="94">
        <v>0</v>
      </c>
      <c r="O611" s="94">
        <v>0</v>
      </c>
    </row>
    <row r="612" spans="1:15" x14ac:dyDescent="0.25">
      <c r="A612" s="89">
        <v>44866.833333333336</v>
      </c>
      <c r="B612" s="94">
        <v>361.37</v>
      </c>
      <c r="C612" s="94">
        <v>304.26194001980969</v>
      </c>
      <c r="D612" s="94">
        <v>1.8768696054254006</v>
      </c>
      <c r="E612" s="94">
        <v>0</v>
      </c>
      <c r="F612" s="94">
        <v>2.4</v>
      </c>
      <c r="G612" s="94">
        <v>0</v>
      </c>
      <c r="H612" s="94">
        <v>1.2143844518776967</v>
      </c>
      <c r="I612" s="94">
        <v>0</v>
      </c>
      <c r="J612" s="94">
        <v>99156.011206721101</v>
      </c>
      <c r="K612" s="94">
        <v>8.1051765496492099</v>
      </c>
      <c r="L612" s="94">
        <v>0</v>
      </c>
      <c r="M612" s="94">
        <v>0</v>
      </c>
      <c r="N612" s="94">
        <v>0</v>
      </c>
      <c r="O612" s="94">
        <v>0</v>
      </c>
    </row>
    <row r="613" spans="1:15" x14ac:dyDescent="0.25">
      <c r="A613" s="89">
        <v>44867.333333333336</v>
      </c>
      <c r="B613" s="94">
        <v>362.78</v>
      </c>
      <c r="C613" s="94">
        <v>303.64631727495686</v>
      </c>
      <c r="D613" s="94">
        <v>2.5481461661952451</v>
      </c>
      <c r="E613" s="94">
        <v>0</v>
      </c>
      <c r="F613" s="94">
        <v>2.2999999999999998</v>
      </c>
      <c r="G613" s="94">
        <v>0</v>
      </c>
      <c r="H613" s="94">
        <v>1.3</v>
      </c>
      <c r="I613" s="94">
        <v>0</v>
      </c>
      <c r="J613" s="94">
        <v>65425.688564646269</v>
      </c>
      <c r="K613" s="94">
        <v>6.9966320514044416</v>
      </c>
      <c r="L613" s="94">
        <v>0</v>
      </c>
      <c r="M613" s="94">
        <v>0</v>
      </c>
      <c r="N613" s="94">
        <v>0</v>
      </c>
      <c r="O613" s="94">
        <v>0</v>
      </c>
    </row>
    <row r="614" spans="1:15" x14ac:dyDescent="0.25">
      <c r="A614" s="89">
        <v>44867.833333333336</v>
      </c>
      <c r="B614" s="94">
        <v>362.78</v>
      </c>
      <c r="C614" s="94">
        <v>303.56349498120721</v>
      </c>
      <c r="D614" s="94">
        <v>2.5</v>
      </c>
      <c r="E614" s="94">
        <v>0</v>
      </c>
      <c r="F614" s="94">
        <v>2.261195409006906</v>
      </c>
      <c r="G614" s="94">
        <v>0</v>
      </c>
      <c r="H614" s="94">
        <v>1.3</v>
      </c>
      <c r="I614" s="94">
        <v>0</v>
      </c>
      <c r="J614" s="94">
        <v>51060.589556246305</v>
      </c>
      <c r="K614" s="94">
        <v>6.4079291350589305</v>
      </c>
      <c r="L614" s="94">
        <v>0</v>
      </c>
      <c r="M614" s="94">
        <v>0</v>
      </c>
      <c r="N614" s="94">
        <v>0</v>
      </c>
      <c r="O614" s="94">
        <v>0</v>
      </c>
    </row>
    <row r="615" spans="1:15" x14ac:dyDescent="0.25">
      <c r="A615" s="89">
        <v>44868.333333333336</v>
      </c>
      <c r="B615" s="94">
        <v>362.75386314294707</v>
      </c>
      <c r="C615" s="94">
        <v>303.39074120760273</v>
      </c>
      <c r="D615" s="94">
        <v>2.4</v>
      </c>
      <c r="E615" s="94">
        <v>0</v>
      </c>
      <c r="F615" s="94">
        <v>2.2000000000000002</v>
      </c>
      <c r="G615" s="94">
        <v>0</v>
      </c>
      <c r="H615" s="94">
        <v>1.3</v>
      </c>
      <c r="I615" s="94">
        <v>0</v>
      </c>
      <c r="J615" s="94">
        <v>45644.839875528072</v>
      </c>
      <c r="K615" s="94">
        <v>6.1371360575148577</v>
      </c>
      <c r="L615" s="94">
        <v>0</v>
      </c>
      <c r="M615" s="94">
        <v>0</v>
      </c>
      <c r="N615" s="94">
        <v>0</v>
      </c>
      <c r="O615" s="94">
        <v>0</v>
      </c>
    </row>
    <row r="616" spans="1:15" x14ac:dyDescent="0.25">
      <c r="A616" s="89">
        <v>44868.833333333336</v>
      </c>
      <c r="B616" s="94">
        <v>362.64</v>
      </c>
      <c r="C616" s="94">
        <v>303.23</v>
      </c>
      <c r="D616" s="94">
        <v>2.4</v>
      </c>
      <c r="E616" s="94">
        <v>0</v>
      </c>
      <c r="F616" s="94">
        <v>2.2000000000000002</v>
      </c>
      <c r="G616" s="94">
        <v>0</v>
      </c>
      <c r="H616" s="94">
        <v>1.354203588119723</v>
      </c>
      <c r="I616" s="94">
        <v>0</v>
      </c>
      <c r="J616" s="94">
        <v>39084.380303552069</v>
      </c>
      <c r="K616" s="94">
        <v>5.7803116033620725</v>
      </c>
      <c r="L616" s="94">
        <v>1</v>
      </c>
      <c r="M616" s="94">
        <v>0</v>
      </c>
      <c r="N616" s="94">
        <v>0</v>
      </c>
      <c r="O616" s="94">
        <v>0</v>
      </c>
    </row>
    <row r="617" spans="1:15" x14ac:dyDescent="0.25">
      <c r="A617" s="89">
        <v>44869.333333333336</v>
      </c>
      <c r="B617" s="94">
        <v>362.59943234279314</v>
      </c>
      <c r="C617" s="94">
        <v>303.11825177722687</v>
      </c>
      <c r="D617" s="94">
        <v>2.2147429147017079</v>
      </c>
      <c r="E617" s="94">
        <v>0</v>
      </c>
      <c r="F617" s="94">
        <v>2.1842566013151736</v>
      </c>
      <c r="G617" s="94">
        <v>0</v>
      </c>
      <c r="H617" s="94">
        <v>1.4</v>
      </c>
      <c r="I617" s="94">
        <v>0</v>
      </c>
      <c r="J617" s="94">
        <v>36111.954332240835</v>
      </c>
      <c r="K617" s="94">
        <v>5.6053240566720479</v>
      </c>
      <c r="L617" s="94">
        <v>0</v>
      </c>
      <c r="M617" s="94">
        <v>0</v>
      </c>
      <c r="N617" s="94">
        <v>0</v>
      </c>
      <c r="O617" s="94">
        <v>0</v>
      </c>
    </row>
    <row r="618" spans="1:15" x14ac:dyDescent="0.25">
      <c r="A618" s="89">
        <v>44869.833333333336</v>
      </c>
      <c r="B618" s="94">
        <v>362.44</v>
      </c>
      <c r="C618" s="94">
        <v>303.16455768702673</v>
      </c>
      <c r="D618" s="94">
        <v>2.2390292951004942</v>
      </c>
      <c r="E618" s="94">
        <v>0</v>
      </c>
      <c r="F618" s="94">
        <v>2.1696585864891111</v>
      </c>
      <c r="G618" s="94">
        <v>0</v>
      </c>
      <c r="H618" s="94">
        <v>1.4</v>
      </c>
      <c r="I618" s="94">
        <v>0</v>
      </c>
      <c r="J618" s="94">
        <v>37968.096711145161</v>
      </c>
      <c r="K618" s="94">
        <v>5.7167824238930427</v>
      </c>
      <c r="L618" s="94">
        <v>0</v>
      </c>
      <c r="M618" s="94">
        <v>0</v>
      </c>
      <c r="N618" s="94">
        <v>0</v>
      </c>
      <c r="O618" s="94">
        <v>0</v>
      </c>
    </row>
    <row r="619" spans="1:15" x14ac:dyDescent="0.25">
      <c r="A619" s="89">
        <v>44870.333333333336</v>
      </c>
      <c r="B619" s="94">
        <v>362.44</v>
      </c>
      <c r="C619" s="94">
        <v>303.07073460106119</v>
      </c>
      <c r="D619" s="94">
        <v>2.2820819607863103</v>
      </c>
      <c r="E619" s="94">
        <v>0</v>
      </c>
      <c r="F619" s="94">
        <v>2.1002600097656252</v>
      </c>
      <c r="G619" s="94">
        <v>0</v>
      </c>
      <c r="H619" s="94">
        <v>1.4</v>
      </c>
      <c r="I619" s="94">
        <v>0</v>
      </c>
      <c r="J619" s="94">
        <v>34047.567632084552</v>
      </c>
      <c r="K619" s="94">
        <v>5.484251137215935</v>
      </c>
      <c r="L619" s="94">
        <v>0</v>
      </c>
      <c r="M619" s="94">
        <v>0</v>
      </c>
      <c r="N619" s="94">
        <v>0</v>
      </c>
      <c r="O619" s="94">
        <v>0</v>
      </c>
    </row>
    <row r="620" spans="1:15" x14ac:dyDescent="0.25">
      <c r="A620" s="89">
        <v>44870.833333333336</v>
      </c>
      <c r="B620" s="94">
        <v>362.44</v>
      </c>
      <c r="C620" s="94">
        <v>302.95708407963974</v>
      </c>
      <c r="D620" s="94">
        <v>2.202673538282653</v>
      </c>
      <c r="E620" s="94">
        <v>0</v>
      </c>
      <c r="F620" s="94">
        <v>2.1614401714106792</v>
      </c>
      <c r="G620" s="94">
        <v>0</v>
      </c>
      <c r="H620" s="94">
        <v>1.3080468299635291</v>
      </c>
      <c r="I620" s="94">
        <v>0</v>
      </c>
      <c r="J620" s="94">
        <v>32214.841643750267</v>
      </c>
      <c r="K620" s="94">
        <v>5.3727684638488284</v>
      </c>
      <c r="L620" s="94">
        <v>1</v>
      </c>
      <c r="M620" s="94">
        <v>0</v>
      </c>
      <c r="N620" s="94">
        <v>0</v>
      </c>
      <c r="O620" s="94">
        <v>0</v>
      </c>
    </row>
    <row r="621" spans="1:15" x14ac:dyDescent="0.25">
      <c r="A621" s="89">
        <v>44871.333333333336</v>
      </c>
      <c r="B621" s="94">
        <v>362.44</v>
      </c>
      <c r="C621" s="94">
        <v>303.02</v>
      </c>
      <c r="D621" s="94">
        <v>2.2174035603762601</v>
      </c>
      <c r="E621" s="94">
        <v>0</v>
      </c>
      <c r="F621" s="94">
        <v>2.1642865557022133</v>
      </c>
      <c r="G621" s="94">
        <v>0</v>
      </c>
      <c r="H621" s="94">
        <v>1.4</v>
      </c>
      <c r="I621" s="94">
        <v>0</v>
      </c>
      <c r="J621" s="94">
        <v>35663.38805109141</v>
      </c>
      <c r="K621" s="94">
        <v>5.5761537587540229</v>
      </c>
      <c r="L621" s="94">
        <v>0</v>
      </c>
      <c r="M621" s="94">
        <v>0</v>
      </c>
      <c r="N621" s="94">
        <v>0</v>
      </c>
      <c r="O621" s="94">
        <v>0</v>
      </c>
    </row>
    <row r="622" spans="1:15" x14ac:dyDescent="0.25">
      <c r="A622" s="89">
        <v>44871.833333333336</v>
      </c>
      <c r="B622" s="94">
        <v>362.44</v>
      </c>
      <c r="C622" s="94">
        <v>302.90903279920053</v>
      </c>
      <c r="D622" s="94">
        <v>2.2999999999999998</v>
      </c>
      <c r="E622" s="94">
        <v>0</v>
      </c>
      <c r="F622" s="94">
        <v>2.2000000000000002</v>
      </c>
      <c r="G622" s="94">
        <v>0</v>
      </c>
      <c r="H622" s="94">
        <v>1.4</v>
      </c>
      <c r="I622" s="94">
        <v>0</v>
      </c>
      <c r="J622" s="94">
        <v>31100.099362509711</v>
      </c>
      <c r="K622" s="94">
        <v>5.3072925318740882</v>
      </c>
      <c r="L622" s="94">
        <v>1</v>
      </c>
      <c r="M622" s="94">
        <v>0</v>
      </c>
      <c r="N622" s="94">
        <v>0</v>
      </c>
      <c r="O622" s="94">
        <v>0</v>
      </c>
    </row>
    <row r="623" spans="1:15" x14ac:dyDescent="0.25">
      <c r="A623" s="89">
        <v>44872.333333333336</v>
      </c>
      <c r="B623" s="94">
        <v>361.42</v>
      </c>
      <c r="C623" s="94">
        <v>302.63965516978425</v>
      </c>
      <c r="D623" s="94">
        <v>2.3069383914389245</v>
      </c>
      <c r="E623" s="94">
        <v>0</v>
      </c>
      <c r="F623" s="94">
        <v>2.2000000000000002</v>
      </c>
      <c r="G623" s="94">
        <v>0</v>
      </c>
      <c r="H623" s="94">
        <v>1.4</v>
      </c>
      <c r="I623" s="94">
        <v>0</v>
      </c>
      <c r="J623" s="94">
        <v>25239.956824234792</v>
      </c>
      <c r="K623" s="94">
        <v>4.9036970226028513</v>
      </c>
      <c r="L623" s="94">
        <v>0</v>
      </c>
      <c r="M623" s="94">
        <v>0</v>
      </c>
      <c r="N623" s="94">
        <v>0</v>
      </c>
      <c r="O623" s="94">
        <v>0</v>
      </c>
    </row>
    <row r="624" spans="1:15" x14ac:dyDescent="0.25">
      <c r="A624" s="89">
        <v>44872.833333333336</v>
      </c>
      <c r="B624" s="94">
        <v>361.42</v>
      </c>
      <c r="C624" s="94">
        <v>302.542376004331</v>
      </c>
      <c r="D624" s="94">
        <v>2.4</v>
      </c>
      <c r="E624" s="94">
        <v>0</v>
      </c>
      <c r="F624" s="94">
        <v>2.2826833089192706</v>
      </c>
      <c r="G624" s="94">
        <v>0</v>
      </c>
      <c r="H624" s="94">
        <v>1.4</v>
      </c>
      <c r="I624" s="94">
        <v>0</v>
      </c>
      <c r="J624" s="94">
        <v>21379.760348764394</v>
      </c>
      <c r="K624" s="94">
        <v>4.6175724965783935</v>
      </c>
      <c r="L624" s="94">
        <v>1</v>
      </c>
      <c r="M624" s="94">
        <v>0</v>
      </c>
      <c r="N624" s="94">
        <v>0</v>
      </c>
      <c r="O624" s="94">
        <v>0</v>
      </c>
    </row>
    <row r="625" spans="1:15" x14ac:dyDescent="0.25">
      <c r="A625" s="89">
        <v>44873.333333333336</v>
      </c>
      <c r="B625" s="94">
        <v>361.38896905232718</v>
      </c>
      <c r="C625" s="94">
        <v>302.54000000000002</v>
      </c>
      <c r="D625" s="94">
        <v>2.30688492103888</v>
      </c>
      <c r="E625" s="94">
        <v>0</v>
      </c>
      <c r="F625" s="94">
        <v>2.2654308787951067</v>
      </c>
      <c r="G625" s="94">
        <v>0</v>
      </c>
      <c r="H625" s="94">
        <v>1.4</v>
      </c>
      <c r="I625" s="94">
        <v>0</v>
      </c>
      <c r="J625" s="94">
        <v>20691.935718483684</v>
      </c>
      <c r="K625" s="94">
        <v>4.5601236427689633</v>
      </c>
      <c r="L625" s="94">
        <v>0</v>
      </c>
      <c r="M625" s="94">
        <v>0</v>
      </c>
      <c r="N625" s="94">
        <v>0</v>
      </c>
      <c r="O625" s="94">
        <v>0</v>
      </c>
    </row>
    <row r="626" spans="1:15" x14ac:dyDescent="0.25">
      <c r="A626" s="89">
        <v>44873.833333333336</v>
      </c>
      <c r="B626" s="94">
        <v>361.26</v>
      </c>
      <c r="C626" s="94">
        <v>302.75</v>
      </c>
      <c r="D626" s="94">
        <v>86.557966613769523</v>
      </c>
      <c r="E626" s="94">
        <v>6.9907110018175986</v>
      </c>
      <c r="F626" s="94">
        <v>85.3</v>
      </c>
      <c r="G626" s="94">
        <v>6.9676230768060146</v>
      </c>
      <c r="H626" s="94">
        <v>79.625849310206945</v>
      </c>
      <c r="I626" s="94">
        <v>15.952004128124761</v>
      </c>
      <c r="J626" s="94">
        <v>22340.252329117306</v>
      </c>
      <c r="K626" s="94">
        <v>4.6925995027373331</v>
      </c>
      <c r="L626" s="94">
        <v>1</v>
      </c>
      <c r="M626" s="94">
        <v>0</v>
      </c>
      <c r="N626" s="94">
        <v>0</v>
      </c>
      <c r="O626" s="94">
        <v>0</v>
      </c>
    </row>
    <row r="627" spans="1:15" x14ac:dyDescent="0.25">
      <c r="A627" s="89">
        <v>44874.333333333336</v>
      </c>
      <c r="B627" s="94">
        <v>361.22579574039372</v>
      </c>
      <c r="C627" s="94">
        <v>302.7123966767893</v>
      </c>
      <c r="D627" s="94">
        <v>86.326538320688101</v>
      </c>
      <c r="E627" s="94">
        <v>6.9490357569629566</v>
      </c>
      <c r="F627" s="94">
        <v>85.3</v>
      </c>
      <c r="G627" s="94">
        <v>6.9922776744611443</v>
      </c>
      <c r="H627" s="94">
        <v>80.400000000000006</v>
      </c>
      <c r="I627" s="94">
        <v>16.02819859174291</v>
      </c>
      <c r="J627" s="94">
        <v>22001.987358734852</v>
      </c>
      <c r="K627" s="94">
        <v>4.6602228457132924</v>
      </c>
      <c r="L627" s="94">
        <v>0</v>
      </c>
      <c r="M627" s="94">
        <v>0</v>
      </c>
      <c r="N627" s="94">
        <v>0</v>
      </c>
      <c r="O627" s="94">
        <v>0</v>
      </c>
    </row>
    <row r="628" spans="1:15" x14ac:dyDescent="0.25">
      <c r="A628" s="89">
        <v>44874.833333333336</v>
      </c>
      <c r="B628" s="94">
        <v>361.1</v>
      </c>
      <c r="C628" s="94">
        <v>302.8</v>
      </c>
      <c r="D628" s="94">
        <v>87.7</v>
      </c>
      <c r="E628" s="94">
        <v>6.9884474694954672</v>
      </c>
      <c r="F628" s="94">
        <v>86.1</v>
      </c>
      <c r="G628" s="94">
        <v>6.9592459096416519</v>
      </c>
      <c r="H628" s="94">
        <v>79.700575813807959</v>
      </c>
      <c r="I628" s="94">
        <v>15.99216459614426</v>
      </c>
      <c r="J628" s="94">
        <v>22968.563943231933</v>
      </c>
      <c r="K628" s="94">
        <v>4.7375542371324331</v>
      </c>
      <c r="L628" s="94">
        <v>1</v>
      </c>
      <c r="M628" s="94">
        <v>0</v>
      </c>
      <c r="N628" s="94">
        <v>0</v>
      </c>
      <c r="O628" s="94">
        <v>0</v>
      </c>
    </row>
    <row r="629" spans="1:15" x14ac:dyDescent="0.25">
      <c r="A629" s="89">
        <v>44875.333333333336</v>
      </c>
      <c r="B629" s="94">
        <v>360.88</v>
      </c>
      <c r="C629" s="94">
        <v>302.82063247438123</v>
      </c>
      <c r="D629" s="94">
        <v>87.4</v>
      </c>
      <c r="E629" s="94">
        <v>6.9509685739432481</v>
      </c>
      <c r="F629" s="94">
        <v>86.1</v>
      </c>
      <c r="G629" s="94">
        <v>6.91</v>
      </c>
      <c r="H629" s="94">
        <v>80.143055917473006</v>
      </c>
      <c r="I629" s="94">
        <v>15.946781068869518</v>
      </c>
      <c r="J629" s="94">
        <v>23685.965288972373</v>
      </c>
      <c r="K629" s="94">
        <v>4.7886711955696617</v>
      </c>
      <c r="L629" s="94">
        <v>0</v>
      </c>
      <c r="M629" s="94">
        <v>0</v>
      </c>
      <c r="N629" s="94">
        <v>0</v>
      </c>
      <c r="O629" s="94">
        <v>0</v>
      </c>
    </row>
    <row r="630" spans="1:15" x14ac:dyDescent="0.25">
      <c r="A630" s="89">
        <v>44875.833333333336</v>
      </c>
      <c r="B630" s="94">
        <v>360.88</v>
      </c>
      <c r="C630" s="94">
        <v>302.77</v>
      </c>
      <c r="D630" s="94">
        <v>88.049841110253325</v>
      </c>
      <c r="E630" s="94">
        <v>6.9629429823891495</v>
      </c>
      <c r="F630" s="94">
        <v>86.523523392036168</v>
      </c>
      <c r="G630" s="94">
        <v>6.923190897700997</v>
      </c>
      <c r="H630" s="94">
        <v>79.8</v>
      </c>
      <c r="I630" s="94">
        <v>15.952295350920457</v>
      </c>
      <c r="J630" s="94">
        <v>22256.244895247277</v>
      </c>
      <c r="K630" s="94">
        <v>4.6854445877318431</v>
      </c>
      <c r="L630" s="94">
        <v>1</v>
      </c>
      <c r="M630" s="94">
        <v>0</v>
      </c>
      <c r="N630" s="94">
        <v>0</v>
      </c>
      <c r="O630" s="94">
        <v>0</v>
      </c>
    </row>
    <row r="631" spans="1:15" x14ac:dyDescent="0.25">
      <c r="A631" s="89">
        <v>44876.333333333336</v>
      </c>
      <c r="B631" s="94">
        <v>360.88</v>
      </c>
      <c r="C631" s="94">
        <v>302.83999999999997</v>
      </c>
      <c r="D631" s="94">
        <v>88.381269886492618</v>
      </c>
      <c r="E631" s="94">
        <v>6.9490852489687009</v>
      </c>
      <c r="F631" s="94">
        <v>86.504301452636724</v>
      </c>
      <c r="G631" s="94">
        <v>6.9159991455078123</v>
      </c>
      <c r="H631" s="94">
        <v>80.619062614440921</v>
      </c>
      <c r="I631" s="94">
        <v>15.901854848304581</v>
      </c>
      <c r="J631" s="94">
        <v>23619.968404014646</v>
      </c>
      <c r="K631" s="94">
        <v>4.7821098169209355</v>
      </c>
      <c r="L631" s="94">
        <v>0</v>
      </c>
      <c r="M631" s="94">
        <v>0</v>
      </c>
      <c r="N631" s="94">
        <v>0</v>
      </c>
      <c r="O631" s="94">
        <v>0</v>
      </c>
    </row>
    <row r="632" spans="1:15" x14ac:dyDescent="0.25">
      <c r="A632" s="89">
        <v>44876.833333333336</v>
      </c>
      <c r="B632" s="94">
        <v>360.88</v>
      </c>
      <c r="C632" s="94">
        <v>302.87</v>
      </c>
      <c r="D632" s="94">
        <v>88.851225280761724</v>
      </c>
      <c r="E632" s="94">
        <v>6.97</v>
      </c>
      <c r="F632" s="94">
        <v>87.28392493252322</v>
      </c>
      <c r="G632" s="94">
        <v>6.9453923347923565</v>
      </c>
      <c r="H632" s="94">
        <v>80.3</v>
      </c>
      <c r="I632" s="94">
        <v>15.735740051269532</v>
      </c>
      <c r="J632" s="94">
        <v>24221.787342118463</v>
      </c>
      <c r="K632" s="94">
        <v>4.8304374184885077</v>
      </c>
      <c r="L632" s="94">
        <v>1</v>
      </c>
      <c r="M632" s="94">
        <v>0</v>
      </c>
      <c r="N632" s="94">
        <v>0</v>
      </c>
      <c r="O632" s="94">
        <v>0</v>
      </c>
    </row>
    <row r="633" spans="1:15" x14ac:dyDescent="0.25">
      <c r="A633" s="89">
        <v>44877.333333333336</v>
      </c>
      <c r="B633" s="94">
        <v>360.88</v>
      </c>
      <c r="C633" s="94">
        <v>302.87</v>
      </c>
      <c r="D633" s="94">
        <v>89</v>
      </c>
      <c r="E633" s="94">
        <v>6.9317142988986644</v>
      </c>
      <c r="F633" s="94">
        <v>87.477216081605633</v>
      </c>
      <c r="G633" s="94">
        <v>6.9472824927624561</v>
      </c>
      <c r="H633" s="94">
        <v>80.785185922907971</v>
      </c>
      <c r="I633" s="94">
        <v>16.033666257195357</v>
      </c>
      <c r="J633" s="94">
        <v>24559.985139058557</v>
      </c>
      <c r="K633" s="94">
        <v>4.8556819511816922</v>
      </c>
      <c r="L633" s="94">
        <v>0.39398970360830199</v>
      </c>
      <c r="M633" s="94">
        <v>0</v>
      </c>
      <c r="N633" s="94">
        <v>0</v>
      </c>
      <c r="O633" s="94">
        <v>0</v>
      </c>
    </row>
    <row r="634" spans="1:15" x14ac:dyDescent="0.25">
      <c r="A634" s="89">
        <v>44877.833333333336</v>
      </c>
      <c r="B634" s="94">
        <v>360.88</v>
      </c>
      <c r="C634" s="94">
        <v>301.00565327110354</v>
      </c>
      <c r="D634" s="94">
        <v>70.424299621582037</v>
      </c>
      <c r="E634" s="94">
        <v>6.0174299621582028</v>
      </c>
      <c r="F634" s="94">
        <v>70.7</v>
      </c>
      <c r="G634" s="94">
        <v>5.9649347792882237</v>
      </c>
      <c r="H634" s="94">
        <v>76.029913330078116</v>
      </c>
      <c r="I634" s="94">
        <v>15.428108162043504</v>
      </c>
      <c r="J634" s="94">
        <v>4890.4048230763865</v>
      </c>
      <c r="K634" s="94">
        <v>2.8267838587337279</v>
      </c>
      <c r="L634" s="94">
        <v>1</v>
      </c>
      <c r="M634" s="94">
        <v>0</v>
      </c>
      <c r="N634" s="94">
        <v>0</v>
      </c>
      <c r="O634" s="94">
        <v>0</v>
      </c>
    </row>
    <row r="635" spans="1:15" x14ac:dyDescent="0.25">
      <c r="A635" s="89">
        <v>44878.333333333336</v>
      </c>
      <c r="B635" s="94">
        <v>360.88</v>
      </c>
      <c r="C635" s="94">
        <v>299.78786381312779</v>
      </c>
      <c r="D635" s="94">
        <v>36.131082742540052</v>
      </c>
      <c r="E635" s="94">
        <v>2.4747105852254556</v>
      </c>
      <c r="F635" s="94">
        <v>1.8011512948531181</v>
      </c>
      <c r="G635" s="94">
        <v>0</v>
      </c>
      <c r="H635" s="94">
        <v>0.1</v>
      </c>
      <c r="I635" s="94">
        <v>0</v>
      </c>
      <c r="J635" s="94">
        <v>571.40321380712874</v>
      </c>
      <c r="K635" s="94">
        <v>1.6336206699237383</v>
      </c>
      <c r="L635" s="94">
        <v>0.18761297671824484</v>
      </c>
      <c r="M635" s="94">
        <v>0</v>
      </c>
      <c r="N635" s="94">
        <v>0</v>
      </c>
      <c r="O635" s="94">
        <v>0</v>
      </c>
    </row>
    <row r="636" spans="1:15" x14ac:dyDescent="0.25">
      <c r="A636" s="89">
        <v>44878.833333333336</v>
      </c>
      <c r="B636" s="94">
        <v>360.88</v>
      </c>
      <c r="C636" s="94">
        <v>299.78353820813345</v>
      </c>
      <c r="D636" s="94">
        <v>36.688057850948567</v>
      </c>
      <c r="E636" s="94">
        <v>2.5055712188856951</v>
      </c>
      <c r="F636" s="94">
        <v>2.9602378692008537</v>
      </c>
      <c r="G636" s="94">
        <v>0</v>
      </c>
      <c r="H636" s="94">
        <v>1.1855570891510405</v>
      </c>
      <c r="I636" s="94">
        <v>0</v>
      </c>
      <c r="J636" s="94">
        <v>566.1971679276553</v>
      </c>
      <c r="K636" s="94">
        <v>1.631</v>
      </c>
      <c r="L636" s="94">
        <v>1</v>
      </c>
      <c r="M636" s="94">
        <v>0</v>
      </c>
      <c r="N636" s="94">
        <v>0</v>
      </c>
      <c r="O636" s="94">
        <v>0</v>
      </c>
    </row>
    <row r="637" spans="1:15" x14ac:dyDescent="0.25">
      <c r="A637" s="89">
        <v>44879.333333333336</v>
      </c>
      <c r="B637" s="94">
        <v>360.84713462620306</v>
      </c>
      <c r="C637" s="94">
        <v>299.77999999999997</v>
      </c>
      <c r="D637" s="94">
        <v>36.748199462890625</v>
      </c>
      <c r="E637" s="94">
        <v>2.467320615978061</v>
      </c>
      <c r="F637" s="94">
        <v>2.9</v>
      </c>
      <c r="G637" s="94">
        <v>0</v>
      </c>
      <c r="H637" s="94">
        <v>1.2</v>
      </c>
      <c r="I637" s="94">
        <v>0</v>
      </c>
      <c r="J637" s="94">
        <v>558.32893173173352</v>
      </c>
      <c r="K637" s="94">
        <v>1.6246959758077961</v>
      </c>
      <c r="L637" s="94">
        <v>0.90591072226409852</v>
      </c>
      <c r="M637" s="94">
        <v>0</v>
      </c>
      <c r="N637" s="94">
        <v>0</v>
      </c>
      <c r="O637" s="94">
        <v>0</v>
      </c>
    </row>
    <row r="638" spans="1:15" x14ac:dyDescent="0.25">
      <c r="A638" s="89">
        <v>44879.833333333336</v>
      </c>
      <c r="B638" s="94">
        <v>360.74</v>
      </c>
      <c r="C638" s="94">
        <v>301.01167089900582</v>
      </c>
      <c r="D638" s="94">
        <v>73.746798058442195</v>
      </c>
      <c r="E638" s="94">
        <v>5.9783010907907981</v>
      </c>
      <c r="F638" s="94">
        <v>74.598149081544435</v>
      </c>
      <c r="G638" s="94">
        <v>5.9664018620190884</v>
      </c>
      <c r="H638" s="94">
        <v>77.805496595680367</v>
      </c>
      <c r="I638" s="94">
        <v>16.159161527098849</v>
      </c>
      <c r="J638" s="94">
        <v>4957.6291194505247</v>
      </c>
      <c r="K638" s="94">
        <v>2.8395669342950933</v>
      </c>
      <c r="L638" s="94">
        <v>1</v>
      </c>
      <c r="M638" s="94">
        <v>0</v>
      </c>
      <c r="N638" s="94">
        <v>0</v>
      </c>
      <c r="O638" s="94">
        <v>0</v>
      </c>
    </row>
    <row r="639" spans="1:15" x14ac:dyDescent="0.25">
      <c r="A639" s="89">
        <v>44880.333333333336</v>
      </c>
      <c r="B639" s="94">
        <v>361.1997289896218</v>
      </c>
      <c r="C639" s="94">
        <v>301.00154300916347</v>
      </c>
      <c r="D639" s="94">
        <v>72.5</v>
      </c>
      <c r="E639" s="94">
        <v>5.9863309365680522</v>
      </c>
      <c r="F639" s="94">
        <v>74.507649993896479</v>
      </c>
      <c r="G639" s="94">
        <v>6.0091816243654819</v>
      </c>
      <c r="H639" s="94">
        <v>77.099999999999994</v>
      </c>
      <c r="I639" s="94">
        <v>15.983289489746094</v>
      </c>
      <c r="J639" s="94">
        <v>4919.1905551636046</v>
      </c>
      <c r="K639" s="94">
        <v>2.8327872038394881</v>
      </c>
      <c r="L639" s="94">
        <v>0</v>
      </c>
      <c r="M639" s="94">
        <v>0</v>
      </c>
      <c r="N639" s="94">
        <v>0</v>
      </c>
      <c r="O639" s="94">
        <v>0</v>
      </c>
    </row>
    <row r="640" spans="1:15" x14ac:dyDescent="0.25">
      <c r="A640" s="89">
        <v>44880.833333333336</v>
      </c>
      <c r="B640" s="94">
        <v>361.28</v>
      </c>
      <c r="C640" s="94">
        <v>302.17</v>
      </c>
      <c r="D640" s="94">
        <v>83.125088523501233</v>
      </c>
      <c r="E640" s="94">
        <v>6.9585827806473306</v>
      </c>
      <c r="F640" s="94">
        <v>84.349499618378871</v>
      </c>
      <c r="G640" s="94">
        <v>6.9478886896258247</v>
      </c>
      <c r="H640" s="94">
        <v>78.39143411789783</v>
      </c>
      <c r="I640" s="94">
        <v>15.945235374980907</v>
      </c>
      <c r="J640" s="94">
        <v>16006.005302522346</v>
      </c>
      <c r="K640" s="94">
        <v>4.160644315936608</v>
      </c>
      <c r="L640" s="94">
        <v>1</v>
      </c>
      <c r="M640" s="94">
        <v>0</v>
      </c>
      <c r="N640" s="94">
        <v>0</v>
      </c>
      <c r="O640" s="94">
        <v>0</v>
      </c>
    </row>
    <row r="641" spans="1:15" x14ac:dyDescent="0.25">
      <c r="A641" s="89">
        <v>44881.333333333336</v>
      </c>
      <c r="B641" s="94">
        <v>361.31483860585109</v>
      </c>
      <c r="C641" s="94">
        <v>302.55493344561006</v>
      </c>
      <c r="D641" s="94">
        <v>85.796792294167105</v>
      </c>
      <c r="E641" s="94">
        <v>6.9692983716841219</v>
      </c>
      <c r="F641" s="94">
        <v>84.8</v>
      </c>
      <c r="G641" s="94">
        <v>6.9402321477637008</v>
      </c>
      <c r="H641" s="94">
        <v>79.494917957986303</v>
      </c>
      <c r="I641" s="94">
        <v>15.907210857472872</v>
      </c>
      <c r="J641" s="94">
        <v>20320.396937389622</v>
      </c>
      <c r="K641" s="94">
        <v>4.5328065267399076</v>
      </c>
      <c r="L641" s="94">
        <v>0</v>
      </c>
      <c r="M641" s="94">
        <v>0</v>
      </c>
      <c r="N641" s="94">
        <v>0</v>
      </c>
      <c r="O641" s="94">
        <v>0</v>
      </c>
    </row>
    <row r="642" spans="1:15" x14ac:dyDescent="0.25">
      <c r="A642" s="89">
        <v>44881.833333333336</v>
      </c>
      <c r="B642" s="94">
        <v>361.45</v>
      </c>
      <c r="C642" s="94">
        <v>302.54000000000002</v>
      </c>
      <c r="D642" s="94">
        <v>83.553648506399426</v>
      </c>
      <c r="E642" s="94">
        <v>6.9529475137952739</v>
      </c>
      <c r="F642" s="94">
        <v>85.191288293564895</v>
      </c>
      <c r="G642" s="94">
        <v>6.9398132324218746</v>
      </c>
      <c r="H642" s="94">
        <v>79.2</v>
      </c>
      <c r="I642" s="94">
        <v>15.96</v>
      </c>
      <c r="J642" s="94">
        <v>19859.976637087919</v>
      </c>
      <c r="K642" s="94">
        <v>4.4935232670452638</v>
      </c>
      <c r="L642" s="94">
        <v>1</v>
      </c>
      <c r="M642" s="94">
        <v>0</v>
      </c>
      <c r="N642" s="94">
        <v>0</v>
      </c>
      <c r="O642" s="94">
        <v>0</v>
      </c>
    </row>
    <row r="643" spans="1:15" x14ac:dyDescent="0.25">
      <c r="A643" s="89">
        <v>44882.333333333336</v>
      </c>
      <c r="B643" s="94">
        <v>361.43274923995392</v>
      </c>
      <c r="C643" s="94">
        <v>302.63</v>
      </c>
      <c r="D643" s="94">
        <v>84.394374964335796</v>
      </c>
      <c r="E643" s="94">
        <v>6.9301867675781255</v>
      </c>
      <c r="F643" s="94">
        <v>84.9</v>
      </c>
      <c r="G643" s="94">
        <v>6.9604611338756035</v>
      </c>
      <c r="H643" s="94">
        <v>80.636920338700861</v>
      </c>
      <c r="I643" s="94">
        <v>16.247053894962161</v>
      </c>
      <c r="J643" s="94">
        <v>20784.318458702772</v>
      </c>
      <c r="K643" s="94">
        <v>4.5680676574396513</v>
      </c>
      <c r="L643" s="94">
        <v>0</v>
      </c>
      <c r="M643" s="94">
        <v>0</v>
      </c>
      <c r="N643" s="94">
        <v>0</v>
      </c>
      <c r="O643" s="94">
        <v>0</v>
      </c>
    </row>
    <row r="644" spans="1:15" x14ac:dyDescent="0.25">
      <c r="A644" s="89">
        <v>44882.833333333336</v>
      </c>
      <c r="B644" s="94">
        <v>361.37</v>
      </c>
      <c r="C644" s="94">
        <v>302.11</v>
      </c>
      <c r="D644" s="94">
        <v>83.547152525837618</v>
      </c>
      <c r="E644" s="94">
        <v>6.9547197381881851</v>
      </c>
      <c r="F644" s="94">
        <v>85.338863086022783</v>
      </c>
      <c r="G644" s="94">
        <v>7.0259733072916664</v>
      </c>
      <c r="H644" s="94">
        <v>78.963380439368521</v>
      </c>
      <c r="I644" s="94">
        <v>16.063949127197265</v>
      </c>
      <c r="J644" s="94">
        <v>15013.963825838011</v>
      </c>
      <c r="K644" s="94">
        <v>4.0714212652730284</v>
      </c>
      <c r="L644" s="94">
        <v>1</v>
      </c>
      <c r="M644" s="94">
        <v>0</v>
      </c>
      <c r="N644" s="94">
        <v>0</v>
      </c>
      <c r="O644" s="94">
        <v>0</v>
      </c>
    </row>
    <row r="645" spans="1:15" x14ac:dyDescent="0.25">
      <c r="A645" s="89">
        <v>44883.333333333336</v>
      </c>
      <c r="B645" s="94">
        <v>361.34968710639805</v>
      </c>
      <c r="C645" s="94">
        <v>302.10152137451422</v>
      </c>
      <c r="D645" s="94">
        <v>82.583992191811618</v>
      </c>
      <c r="E645" s="94">
        <v>6.9452200317382813</v>
      </c>
      <c r="F645" s="94">
        <v>85.083151600660671</v>
      </c>
      <c r="G645" s="94">
        <v>7.0251550257614097</v>
      </c>
      <c r="H645" s="94">
        <v>79.144031200075062</v>
      </c>
      <c r="I645" s="94">
        <v>15.923937503803323</v>
      </c>
      <c r="J645" s="94">
        <v>14766.178966521284</v>
      </c>
      <c r="K645" s="94">
        <v>4.0465226743905074</v>
      </c>
      <c r="L645" s="94">
        <v>0</v>
      </c>
      <c r="M645" s="94">
        <v>0</v>
      </c>
      <c r="N645" s="94">
        <v>0</v>
      </c>
      <c r="O645" s="94">
        <v>0</v>
      </c>
    </row>
    <row r="646" spans="1:15" x14ac:dyDescent="0.25">
      <c r="A646" s="89">
        <v>44883.833333333336</v>
      </c>
      <c r="B646" s="94">
        <v>361.28</v>
      </c>
      <c r="C646" s="94">
        <v>302.09355654606736</v>
      </c>
      <c r="D646" s="94">
        <v>83.92617885183428</v>
      </c>
      <c r="E646" s="94">
        <v>6.9753709961012156</v>
      </c>
      <c r="F646" s="94">
        <v>85.679284751427431</v>
      </c>
      <c r="G646" s="94">
        <v>7.01</v>
      </c>
      <c r="H646" s="94">
        <v>78.423997400810336</v>
      </c>
      <c r="I646" s="94">
        <v>15.917888081704611</v>
      </c>
      <c r="J646" s="94">
        <v>14558.101033584388</v>
      </c>
      <c r="K646" s="94">
        <v>4.0259063528562278</v>
      </c>
      <c r="L646" s="94">
        <v>1</v>
      </c>
      <c r="M646" s="94">
        <v>0</v>
      </c>
      <c r="N646" s="94">
        <v>0</v>
      </c>
      <c r="O646" s="94">
        <v>0</v>
      </c>
    </row>
    <row r="647" spans="1:15" x14ac:dyDescent="0.25">
      <c r="A647" s="89">
        <v>44884.333333333336</v>
      </c>
      <c r="B647" s="94">
        <v>361.28</v>
      </c>
      <c r="C647" s="94">
        <v>302.08407362504437</v>
      </c>
      <c r="D647" s="94">
        <v>83.241016642252603</v>
      </c>
      <c r="E647" s="94">
        <v>6.9590808066950203</v>
      </c>
      <c r="F647" s="94">
        <v>85.482610140602802</v>
      </c>
      <c r="G647" s="94">
        <v>7.0043915186246419</v>
      </c>
      <c r="H647" s="94">
        <v>78.810717469350649</v>
      </c>
      <c r="I647" s="94">
        <v>15.934914520830802</v>
      </c>
      <c r="J647" s="94">
        <v>14299.980513416</v>
      </c>
      <c r="K647" s="94">
        <v>4.0165135762053552</v>
      </c>
      <c r="L647" s="94">
        <v>0.99125115391931207</v>
      </c>
      <c r="M647" s="94">
        <v>0</v>
      </c>
      <c r="N647" s="94">
        <v>0</v>
      </c>
      <c r="O647" s="94">
        <v>0</v>
      </c>
    </row>
    <row r="648" spans="1:15" x14ac:dyDescent="0.25">
      <c r="A648" s="89">
        <v>44884.833333333336</v>
      </c>
      <c r="B648" s="94">
        <v>361.28</v>
      </c>
      <c r="C648" s="94">
        <v>302.13146856121841</v>
      </c>
      <c r="D648" s="94">
        <v>83.970640831827737</v>
      </c>
      <c r="E648" s="94">
        <v>6.95</v>
      </c>
      <c r="F648" s="94">
        <v>85.665570219798255</v>
      </c>
      <c r="G648" s="94">
        <v>6.9751956718039763</v>
      </c>
      <c r="H648" s="94">
        <v>78.426788734325683</v>
      </c>
      <c r="I648" s="94">
        <v>15.93</v>
      </c>
      <c r="J648" s="94">
        <v>15200.29229533435</v>
      </c>
      <c r="K648" s="94">
        <v>4.090944485533794</v>
      </c>
      <c r="L648" s="94">
        <v>0</v>
      </c>
      <c r="M648" s="94">
        <v>0</v>
      </c>
      <c r="N648" s="94">
        <v>0</v>
      </c>
      <c r="O648" s="94">
        <v>0</v>
      </c>
    </row>
    <row r="649" spans="1:15" x14ac:dyDescent="0.25">
      <c r="A649" s="89">
        <v>44885.333333333336</v>
      </c>
      <c r="B649" s="94">
        <v>361.28</v>
      </c>
      <c r="C649" s="94">
        <v>302.11754799288929</v>
      </c>
      <c r="D649" s="94">
        <v>85.3</v>
      </c>
      <c r="E649" s="94">
        <v>6.9287219992888707</v>
      </c>
      <c r="F649" s="94">
        <v>85.5</v>
      </c>
      <c r="G649" s="94">
        <v>6.9416111139330523</v>
      </c>
      <c r="H649" s="94">
        <v>78.545098964248126</v>
      </c>
      <c r="I649" s="94">
        <v>15.943526318196369</v>
      </c>
      <c r="J649" s="94">
        <v>14840</v>
      </c>
      <c r="K649" s="94">
        <v>4.0569747031033687</v>
      </c>
      <c r="L649" s="94">
        <v>0</v>
      </c>
      <c r="M649" s="94">
        <v>0</v>
      </c>
      <c r="N649" s="94">
        <v>0</v>
      </c>
      <c r="O649" s="94">
        <v>0</v>
      </c>
    </row>
    <row r="650" spans="1:15" x14ac:dyDescent="0.25">
      <c r="A650" s="89">
        <v>44885.833333333336</v>
      </c>
      <c r="B650" s="94">
        <v>361.28</v>
      </c>
      <c r="C650" s="94">
        <v>302.10000000000002</v>
      </c>
      <c r="D650" s="94">
        <v>84.1</v>
      </c>
      <c r="E650" s="94">
        <v>6.958264798503035</v>
      </c>
      <c r="F650" s="94">
        <v>85.462884256321857</v>
      </c>
      <c r="G650" s="94">
        <v>6.9421727993249558</v>
      </c>
      <c r="H650" s="94">
        <v>78.8</v>
      </c>
      <c r="I650" s="94">
        <v>16.038948457702322</v>
      </c>
      <c r="J650" s="94">
        <v>14779.961573730672</v>
      </c>
      <c r="K650" s="94">
        <v>4.0443739287073344</v>
      </c>
      <c r="L650" s="94">
        <v>0</v>
      </c>
      <c r="M650" s="94">
        <v>0</v>
      </c>
      <c r="N650" s="94">
        <v>0</v>
      </c>
      <c r="O650" s="94">
        <v>0</v>
      </c>
    </row>
    <row r="651" spans="1:15" x14ac:dyDescent="0.25">
      <c r="A651" s="89">
        <v>44886.333333333336</v>
      </c>
      <c r="B651" s="94">
        <v>360.96</v>
      </c>
      <c r="C651" s="94">
        <v>302.08497388203938</v>
      </c>
      <c r="D651" s="94">
        <v>84.9</v>
      </c>
      <c r="E651" s="94">
        <v>6.9645008317946653</v>
      </c>
      <c r="F651" s="94">
        <v>85.4</v>
      </c>
      <c r="G651" s="94">
        <v>6.9411100769042973</v>
      </c>
      <c r="H651" s="94">
        <v>79.099999999999994</v>
      </c>
      <c r="I651" s="94">
        <v>15.918438368718498</v>
      </c>
      <c r="J651" s="94">
        <v>14380.026268781377</v>
      </c>
      <c r="K651" s="94">
        <v>4.0083906950657973</v>
      </c>
      <c r="L651" s="94">
        <v>0</v>
      </c>
      <c r="M651" s="94">
        <v>0</v>
      </c>
      <c r="N651" s="94">
        <v>0</v>
      </c>
      <c r="O651" s="94">
        <v>0</v>
      </c>
    </row>
    <row r="652" spans="1:15" x14ac:dyDescent="0.25">
      <c r="A652" s="89">
        <v>44886.833333333336</v>
      </c>
      <c r="B652" s="94">
        <v>360.96</v>
      </c>
      <c r="C652" s="94">
        <v>302.07</v>
      </c>
      <c r="D652" s="94">
        <v>84.712708541687121</v>
      </c>
      <c r="E652" s="94">
        <v>6.9216400146484371</v>
      </c>
      <c r="F652" s="94">
        <v>84.9</v>
      </c>
      <c r="G652" s="94">
        <v>6.9253749469128563</v>
      </c>
      <c r="H652" s="94">
        <v>79.140681309046926</v>
      </c>
      <c r="I652" s="94">
        <v>15.965319824218751</v>
      </c>
      <c r="J652" s="94">
        <v>14100.196348220594</v>
      </c>
      <c r="K652" s="94">
        <v>3.9814868431811696</v>
      </c>
      <c r="L652" s="94">
        <v>0</v>
      </c>
      <c r="M652" s="94">
        <v>0</v>
      </c>
      <c r="N652" s="94">
        <v>0</v>
      </c>
      <c r="O652" s="94">
        <v>0</v>
      </c>
    </row>
    <row r="653" spans="1:15" x14ac:dyDescent="0.25">
      <c r="A653" s="89">
        <v>44887.333333333336</v>
      </c>
      <c r="B653" s="94">
        <v>360.88</v>
      </c>
      <c r="C653" s="94">
        <v>302.11</v>
      </c>
      <c r="D653" s="94">
        <v>86.32110557062893</v>
      </c>
      <c r="E653" s="94">
        <v>6.9301995939086289</v>
      </c>
      <c r="F653" s="94">
        <v>84.871652812180642</v>
      </c>
      <c r="G653" s="94">
        <v>6.94</v>
      </c>
      <c r="H653" s="94">
        <v>79.470833372043217</v>
      </c>
      <c r="I653" s="94">
        <v>15.811307109823652</v>
      </c>
      <c r="J653" s="94">
        <v>14850.070439406418</v>
      </c>
      <c r="K653" s="94">
        <v>4.0567180871785977</v>
      </c>
      <c r="L653" s="94">
        <v>0</v>
      </c>
      <c r="M653" s="94">
        <v>0</v>
      </c>
      <c r="N653" s="94">
        <v>0</v>
      </c>
      <c r="O653" s="94">
        <v>0</v>
      </c>
    </row>
    <row r="654" spans="1:15" x14ac:dyDescent="0.25">
      <c r="A654" s="89">
        <v>44887.833333333336</v>
      </c>
      <c r="B654" s="94">
        <v>360.88</v>
      </c>
      <c r="C654" s="94">
        <v>302.08999999999997</v>
      </c>
      <c r="D654" s="94">
        <v>86.282636335180413</v>
      </c>
      <c r="E654" s="94">
        <v>6.9245553489222891</v>
      </c>
      <c r="F654" s="94">
        <v>85.425666809082031</v>
      </c>
      <c r="G654" s="94">
        <v>6.9707046145344016</v>
      </c>
      <c r="H654" s="94">
        <v>79.25587199604621</v>
      </c>
      <c r="I654" s="94">
        <v>15.855587199604621</v>
      </c>
      <c r="J654" s="94">
        <v>14573.826851697335</v>
      </c>
      <c r="K654" s="94">
        <v>4.0274689058423663</v>
      </c>
      <c r="L654" s="94">
        <v>0</v>
      </c>
      <c r="M654" s="94">
        <v>0</v>
      </c>
      <c r="N654" s="94">
        <v>0</v>
      </c>
      <c r="O654" s="94">
        <v>0</v>
      </c>
    </row>
    <row r="655" spans="1:15" x14ac:dyDescent="0.25">
      <c r="A655" s="89">
        <v>44888.333333333336</v>
      </c>
      <c r="B655" s="94">
        <v>360.79</v>
      </c>
      <c r="C655" s="94">
        <v>302.13</v>
      </c>
      <c r="D655" s="94">
        <v>85.951444620133529</v>
      </c>
      <c r="E655" s="94">
        <v>6.96</v>
      </c>
      <c r="F655" s="94">
        <v>85.476250457763669</v>
      </c>
      <c r="G655" s="94">
        <v>6.96</v>
      </c>
      <c r="H655" s="94">
        <v>79.58607323650115</v>
      </c>
      <c r="I655" s="94">
        <v>15.87</v>
      </c>
      <c r="J655" s="94">
        <v>15388.051547840088</v>
      </c>
      <c r="K655" s="94">
        <v>4.1100522112341942</v>
      </c>
      <c r="L655" s="94">
        <v>0</v>
      </c>
      <c r="M655" s="94">
        <v>0</v>
      </c>
      <c r="N655" s="94">
        <v>0</v>
      </c>
      <c r="O655" s="94">
        <v>0</v>
      </c>
    </row>
    <row r="656" spans="1:15" x14ac:dyDescent="0.25">
      <c r="A656" s="89">
        <v>44888.833333333336</v>
      </c>
      <c r="B656" s="94">
        <v>360.79</v>
      </c>
      <c r="C656" s="94">
        <v>302.11</v>
      </c>
      <c r="D656" s="94">
        <v>83.6</v>
      </c>
      <c r="E656" s="94">
        <v>6.9496284891380951</v>
      </c>
      <c r="F656" s="94">
        <v>85.750463890071927</v>
      </c>
      <c r="G656" s="94">
        <v>6.9866558114550461</v>
      </c>
      <c r="H656" s="94">
        <v>79.476724440176213</v>
      </c>
      <c r="I656" s="94">
        <v>15.863017332052864</v>
      </c>
      <c r="J656" s="94">
        <v>15170</v>
      </c>
      <c r="K656" s="94">
        <v>4.0867996103645821</v>
      </c>
      <c r="L656" s="94">
        <v>0</v>
      </c>
      <c r="M656" s="94">
        <v>0</v>
      </c>
      <c r="N656" s="94">
        <v>0</v>
      </c>
      <c r="O656" s="94">
        <v>0</v>
      </c>
    </row>
    <row r="657" spans="1:15" x14ac:dyDescent="0.25">
      <c r="A657" s="89">
        <v>44889.333333333336</v>
      </c>
      <c r="B657" s="94">
        <v>360.76322480176134</v>
      </c>
      <c r="C657" s="94">
        <v>302.09509000091373</v>
      </c>
      <c r="D657" s="94">
        <v>84.9</v>
      </c>
      <c r="E657" s="94">
        <v>6.9496398925781246</v>
      </c>
      <c r="F657" s="94">
        <v>85.67865911135867</v>
      </c>
      <c r="G657" s="94">
        <v>6.9505498066907121</v>
      </c>
      <c r="H657" s="94">
        <v>80.15826378305151</v>
      </c>
      <c r="I657" s="94">
        <v>16.056927671535412</v>
      </c>
      <c r="J657" s="94">
        <v>14792.195708887171</v>
      </c>
      <c r="K657" s="94">
        <v>4.0491970403337332</v>
      </c>
      <c r="L657" s="94">
        <v>0</v>
      </c>
      <c r="M657" s="94">
        <v>0</v>
      </c>
      <c r="N657" s="94">
        <v>0</v>
      </c>
      <c r="O657" s="94">
        <v>0</v>
      </c>
    </row>
    <row r="658" spans="1:15" x14ac:dyDescent="0.25">
      <c r="A658" s="89">
        <v>44889.833333333336</v>
      </c>
      <c r="B658" s="94">
        <v>360.65</v>
      </c>
      <c r="C658" s="94">
        <v>301.89999999999998</v>
      </c>
      <c r="D658" s="94">
        <v>83.517222821274615</v>
      </c>
      <c r="E658" s="94">
        <v>6.938695643885235</v>
      </c>
      <c r="F658" s="94">
        <v>85.803695566870545</v>
      </c>
      <c r="G658" s="94">
        <v>6.9525788101084354</v>
      </c>
      <c r="H658" s="94">
        <v>79.085600973845544</v>
      </c>
      <c r="I658" s="94">
        <v>15.963752611550515</v>
      </c>
      <c r="J658" s="94">
        <v>12130</v>
      </c>
      <c r="K658" s="94">
        <v>3.7829999999999999</v>
      </c>
      <c r="L658" s="94">
        <v>1</v>
      </c>
      <c r="M658" s="94">
        <v>0</v>
      </c>
      <c r="N658" s="94">
        <v>0</v>
      </c>
      <c r="O658" s="94">
        <v>0</v>
      </c>
    </row>
    <row r="659" spans="1:15" x14ac:dyDescent="0.25">
      <c r="A659" s="89">
        <v>44890.333333333336</v>
      </c>
      <c r="B659" s="94">
        <v>360.6314875355863</v>
      </c>
      <c r="C659" s="94">
        <v>301.93</v>
      </c>
      <c r="D659" s="94">
        <v>85.6</v>
      </c>
      <c r="E659" s="94">
        <v>6.9475801390512526</v>
      </c>
      <c r="F659" s="94">
        <v>85.668880385908182</v>
      </c>
      <c r="G659" s="94">
        <v>6.9791891066273619</v>
      </c>
      <c r="H659" s="94">
        <v>79.950665921674201</v>
      </c>
      <c r="I659" s="94">
        <v>15.957387765658041</v>
      </c>
      <c r="J659" s="94">
        <v>12684.248198952288</v>
      </c>
      <c r="K659" s="94">
        <v>3.8386078620158188</v>
      </c>
      <c r="L659" s="94">
        <v>1</v>
      </c>
      <c r="M659" s="94">
        <v>0</v>
      </c>
      <c r="N659" s="94">
        <v>0</v>
      </c>
      <c r="O659" s="94">
        <v>0</v>
      </c>
    </row>
    <row r="660" spans="1:15" x14ac:dyDescent="0.25">
      <c r="A660" s="89">
        <v>44890.833333333336</v>
      </c>
      <c r="B660" s="94">
        <v>360.56</v>
      </c>
      <c r="C660" s="94">
        <v>301.68584711341333</v>
      </c>
      <c r="D660" s="94">
        <v>84.9</v>
      </c>
      <c r="E660" s="94">
        <v>6.960280563879885</v>
      </c>
      <c r="F660" s="94">
        <v>86.128167377914551</v>
      </c>
      <c r="G660" s="94">
        <v>6.9902554345749763</v>
      </c>
      <c r="H660" s="94">
        <v>78.912258529424335</v>
      </c>
      <c r="I660" s="94">
        <v>16.081984256736298</v>
      </c>
      <c r="J660" s="94">
        <v>9501.5919437761768</v>
      </c>
      <c r="K660" s="94">
        <v>3.4802589060380598</v>
      </c>
      <c r="L660" s="94">
        <v>37</v>
      </c>
      <c r="M660" s="94">
        <v>37</v>
      </c>
      <c r="N660" s="94">
        <v>37</v>
      </c>
      <c r="O660" s="94">
        <v>36.281941165511164</v>
      </c>
    </row>
    <row r="661" spans="1:15" x14ac:dyDescent="0.25">
      <c r="A661" s="89">
        <v>44891.333333333336</v>
      </c>
      <c r="B661" s="94">
        <v>360.56</v>
      </c>
      <c r="C661" s="94">
        <v>301.70142635105083</v>
      </c>
      <c r="D661" s="94">
        <v>84.2</v>
      </c>
      <c r="E661" s="94">
        <v>6.9439641340658023</v>
      </c>
      <c r="F661" s="94">
        <v>85.705516768997157</v>
      </c>
      <c r="G661" s="94">
        <v>6.9975546050236623</v>
      </c>
      <c r="H661" s="94">
        <v>79.670504103083772</v>
      </c>
      <c r="I661" s="94">
        <v>16.05</v>
      </c>
      <c r="J661" s="94">
        <v>9551.1728567375103</v>
      </c>
      <c r="K661" s="94">
        <v>3.4865272897648438</v>
      </c>
      <c r="L661" s="94">
        <v>40</v>
      </c>
      <c r="M661" s="94">
        <v>36.511884858331193</v>
      </c>
      <c r="N661" s="94">
        <v>36.036342198354205</v>
      </c>
      <c r="O661" s="94">
        <v>36.245319424457385</v>
      </c>
    </row>
    <row r="662" spans="1:15" x14ac:dyDescent="0.25">
      <c r="A662" s="89">
        <v>44891.833333333336</v>
      </c>
      <c r="B662" s="94">
        <v>360.56</v>
      </c>
      <c r="C662" s="94">
        <v>301.37791630386431</v>
      </c>
      <c r="D662" s="94">
        <v>84.929966660869027</v>
      </c>
      <c r="E662" s="94">
        <v>6.9477856432994418</v>
      </c>
      <c r="F662" s="94">
        <v>86.118484197348977</v>
      </c>
      <c r="G662" s="94">
        <v>6.9997100698149453</v>
      </c>
      <c r="H662" s="94">
        <v>78.277694216495547</v>
      </c>
      <c r="I662" s="94">
        <v>15.959680649980184</v>
      </c>
      <c r="J662" s="94">
        <v>7251.8569923190071</v>
      </c>
      <c r="K662" s="94">
        <v>3.1869521990101988</v>
      </c>
      <c r="L662" s="94">
        <v>1</v>
      </c>
      <c r="M662" s="94">
        <v>0</v>
      </c>
      <c r="N662" s="94">
        <v>31</v>
      </c>
      <c r="O662" s="94">
        <v>31.336329776969738</v>
      </c>
    </row>
    <row r="663" spans="1:15" x14ac:dyDescent="0.25">
      <c r="A663" s="89">
        <v>44892.333333333336</v>
      </c>
      <c r="B663" s="94">
        <v>360.56</v>
      </c>
      <c r="C663" s="94">
        <v>301.41000000000003</v>
      </c>
      <c r="D663" s="94">
        <v>84.454678404314379</v>
      </c>
      <c r="E663" s="94">
        <v>6.9535964787056868</v>
      </c>
      <c r="F663" s="94">
        <v>83.821116079632461</v>
      </c>
      <c r="G663" s="94">
        <v>7.0228144229110354</v>
      </c>
      <c r="H663" s="94">
        <v>78.882584852334446</v>
      </c>
      <c r="I663" s="94">
        <v>15.858398350389491</v>
      </c>
      <c r="J663" s="94">
        <v>7516.5951132470209</v>
      </c>
      <c r="K663" s="94">
        <v>3.2235231576268126</v>
      </c>
      <c r="L663" s="94">
        <v>1</v>
      </c>
      <c r="M663" s="94">
        <v>0</v>
      </c>
      <c r="N663" s="94">
        <v>31</v>
      </c>
      <c r="O663" s="94">
        <v>42</v>
      </c>
    </row>
    <row r="664" spans="1:15" x14ac:dyDescent="0.25">
      <c r="A664" s="89">
        <v>44892.833333333336</v>
      </c>
      <c r="B664" s="94">
        <v>360.56</v>
      </c>
      <c r="C664" s="94">
        <v>301.01874746655858</v>
      </c>
      <c r="D664" s="94">
        <v>72.263096752267558</v>
      </c>
      <c r="E664" s="94">
        <v>5.9224710346850484</v>
      </c>
      <c r="F664" s="94">
        <v>75.314065603237239</v>
      </c>
      <c r="G664" s="94">
        <v>5.941393421551413</v>
      </c>
      <c r="H664" s="94">
        <v>77.851969583302363</v>
      </c>
      <c r="I664" s="94">
        <v>15.923143763884481</v>
      </c>
      <c r="J664" s="94">
        <v>4944.4301813203374</v>
      </c>
      <c r="K664" s="94">
        <v>2.8370000000000002</v>
      </c>
      <c r="L664" s="94">
        <v>1</v>
      </c>
      <c r="M664" s="94">
        <v>0</v>
      </c>
      <c r="N664" s="94">
        <v>0</v>
      </c>
      <c r="O664" s="94">
        <v>0</v>
      </c>
    </row>
    <row r="665" spans="1:15" x14ac:dyDescent="0.25">
      <c r="A665" s="89">
        <v>44893.333333333336</v>
      </c>
      <c r="B665" s="94">
        <v>360.55350017563393</v>
      </c>
      <c r="C665" s="94">
        <v>301.0170522988102</v>
      </c>
      <c r="D665" s="94">
        <v>71.566787132472072</v>
      </c>
      <c r="E665" s="94">
        <v>5.9382544474941552</v>
      </c>
      <c r="F665" s="94">
        <v>74.98044017195987</v>
      </c>
      <c r="G665" s="94">
        <v>5.9506472989342321</v>
      </c>
      <c r="H665" s="94">
        <v>78.409628148801929</v>
      </c>
      <c r="I665" s="94">
        <v>15.889059753417969</v>
      </c>
      <c r="J665" s="94">
        <v>4944.5002293535654</v>
      </c>
      <c r="K665" s="94">
        <v>2.8368002781793891</v>
      </c>
      <c r="L665" s="94">
        <v>0</v>
      </c>
      <c r="M665" s="94">
        <v>0</v>
      </c>
      <c r="N665" s="94">
        <v>0</v>
      </c>
      <c r="O665" s="94">
        <v>0</v>
      </c>
    </row>
    <row r="666" spans="1:15" x14ac:dyDescent="0.25">
      <c r="A666" s="89">
        <v>44893.833333333336</v>
      </c>
      <c r="B666" s="94">
        <v>360.53</v>
      </c>
      <c r="C666" s="94">
        <v>301.02</v>
      </c>
      <c r="D666" s="94">
        <v>72.5</v>
      </c>
      <c r="E666" s="94">
        <v>5.9353709253256683</v>
      </c>
      <c r="F666" s="94">
        <v>75.655625407223482</v>
      </c>
      <c r="G666" s="94">
        <v>5.97</v>
      </c>
      <c r="H666" s="94">
        <v>79.583341101602173</v>
      </c>
      <c r="I666" s="94">
        <v>16.442394618148459</v>
      </c>
      <c r="J666" s="94">
        <v>4962.7185520295752</v>
      </c>
      <c r="K666" s="94">
        <v>2.8544477469855747</v>
      </c>
      <c r="L666" s="94">
        <v>1</v>
      </c>
      <c r="M666" s="94">
        <v>0</v>
      </c>
      <c r="N666" s="94">
        <v>0</v>
      </c>
      <c r="O666" s="94">
        <v>0</v>
      </c>
    </row>
    <row r="667" spans="1:15" x14ac:dyDescent="0.25">
      <c r="A667" s="89">
        <v>44894.333333333336</v>
      </c>
      <c r="B667" s="94">
        <v>360.53456532363805</v>
      </c>
      <c r="C667" s="94">
        <v>301.02</v>
      </c>
      <c r="D667" s="94">
        <v>72.023626367174202</v>
      </c>
      <c r="E667" s="94">
        <v>5.9403848646834989</v>
      </c>
      <c r="F667" s="94">
        <v>75.275875311227267</v>
      </c>
      <c r="G667" s="94">
        <v>5.9802794895483302</v>
      </c>
      <c r="H667" s="94">
        <v>80.2</v>
      </c>
      <c r="I667" s="94">
        <v>16.51879868642126</v>
      </c>
      <c r="J667" s="94">
        <v>4930.3895138002817</v>
      </c>
      <c r="K667" s="94">
        <v>2.849267171386145</v>
      </c>
      <c r="L667" s="94">
        <v>0</v>
      </c>
      <c r="M667" s="94">
        <v>0</v>
      </c>
      <c r="N667" s="94">
        <v>0</v>
      </c>
      <c r="O667" s="94">
        <v>0</v>
      </c>
    </row>
    <row r="668" spans="1:15" x14ac:dyDescent="0.25">
      <c r="A668" s="89">
        <v>44894.833333333336</v>
      </c>
      <c r="B668" s="94">
        <v>360.55</v>
      </c>
      <c r="C668" s="94">
        <v>300.5</v>
      </c>
      <c r="D668" s="94">
        <v>39.766409381230673</v>
      </c>
      <c r="E668" s="94">
        <v>2.4877599419487848</v>
      </c>
      <c r="F668" s="94">
        <v>38.310669808072042</v>
      </c>
      <c r="G668" s="94">
        <v>2.4850466805506173</v>
      </c>
      <c r="H668" s="94">
        <v>46.518266124149292</v>
      </c>
      <c r="I668" s="94">
        <v>6.9886637878417961</v>
      </c>
      <c r="J668" s="94">
        <v>2501</v>
      </c>
      <c r="K668" s="94">
        <v>2.3651273264705606</v>
      </c>
      <c r="L668" s="94">
        <v>1</v>
      </c>
      <c r="M668" s="94">
        <v>0</v>
      </c>
      <c r="N668" s="94">
        <v>0</v>
      </c>
      <c r="O668" s="94">
        <v>0</v>
      </c>
    </row>
    <row r="669" spans="1:15" x14ac:dyDescent="0.25">
      <c r="A669" s="89">
        <v>44895.333333333336</v>
      </c>
      <c r="B669" s="94">
        <v>360.56482037500695</v>
      </c>
      <c r="C669" s="94">
        <v>300.49631934956312</v>
      </c>
      <c r="D669" s="94">
        <v>39.446704635438877</v>
      </c>
      <c r="E669" s="94">
        <v>2.4617800903320313</v>
      </c>
      <c r="F669" s="94">
        <v>43.269319458007814</v>
      </c>
      <c r="G669" s="94">
        <v>2.4781001281738284</v>
      </c>
      <c r="H669" s="94">
        <v>46.878050673760413</v>
      </c>
      <c r="I669" s="94">
        <v>7.1194009399414062</v>
      </c>
      <c r="J669" s="94">
        <v>2493.6192955227789</v>
      </c>
      <c r="K669" s="94">
        <v>2.3627421062029059</v>
      </c>
      <c r="L669" s="94">
        <v>1</v>
      </c>
      <c r="M669" s="94">
        <v>0</v>
      </c>
      <c r="N669" s="94">
        <v>0</v>
      </c>
      <c r="O669" s="94">
        <v>0</v>
      </c>
    </row>
    <row r="670" spans="1:15" x14ac:dyDescent="0.25">
      <c r="A670" s="89">
        <v>44895.833333333336</v>
      </c>
      <c r="B670" s="94">
        <v>360.61</v>
      </c>
      <c r="C670" s="94">
        <v>300.07524396200813</v>
      </c>
      <c r="D670" s="94">
        <v>38.139383666736471</v>
      </c>
      <c r="E670" s="94">
        <v>2.4932910440174854</v>
      </c>
      <c r="F670" s="94">
        <v>37.947650453079532</v>
      </c>
      <c r="G670" s="94">
        <v>2.4900000000000002</v>
      </c>
      <c r="H670" s="94">
        <v>0.9</v>
      </c>
      <c r="I670" s="94">
        <v>0</v>
      </c>
      <c r="J670" s="94">
        <v>1026.4167878571552</v>
      </c>
      <c r="K670" s="94">
        <v>1.8996828028529409</v>
      </c>
      <c r="L670" s="94">
        <v>1</v>
      </c>
      <c r="M670" s="94">
        <v>0</v>
      </c>
      <c r="N670" s="94">
        <v>0</v>
      </c>
      <c r="O670" s="94">
        <v>0</v>
      </c>
    </row>
    <row r="671" spans="1:15" x14ac:dyDescent="0.25">
      <c r="A671" s="89">
        <v>44896.333333333336</v>
      </c>
      <c r="B671" s="94">
        <v>360.63352612018565</v>
      </c>
      <c r="C671" s="94">
        <v>300.07691044655604</v>
      </c>
      <c r="D671" s="94">
        <v>38.373699951171872</v>
      </c>
      <c r="E671" s="94">
        <v>2.5263299560546875</v>
      </c>
      <c r="F671" s="94">
        <v>36.700000000000003</v>
      </c>
      <c r="G671" s="94">
        <v>2.4670267752134531</v>
      </c>
      <c r="H671" s="94">
        <v>1.2</v>
      </c>
      <c r="I671" s="94">
        <v>0</v>
      </c>
      <c r="J671" s="94">
        <v>1026.5954821437122</v>
      </c>
      <c r="K671" s="94">
        <v>1.8988749961080094</v>
      </c>
      <c r="L671" s="94">
        <v>0.75278561099797714</v>
      </c>
      <c r="M671" s="94">
        <v>0</v>
      </c>
      <c r="N671" s="94">
        <v>0</v>
      </c>
      <c r="O671" s="94">
        <v>0</v>
      </c>
    </row>
    <row r="672" spans="1:15" x14ac:dyDescent="0.25">
      <c r="A672" s="89">
        <v>44896.833333333336</v>
      </c>
      <c r="B672" s="94">
        <v>360.7</v>
      </c>
      <c r="C672" s="94">
        <v>300.0702809317695</v>
      </c>
      <c r="D672" s="94">
        <v>40.4</v>
      </c>
      <c r="E672" s="94">
        <v>2.5180518589655647</v>
      </c>
      <c r="F672" s="94">
        <v>37</v>
      </c>
      <c r="G672" s="94">
        <v>2.4774795532226563</v>
      </c>
      <c r="H672" s="94">
        <v>1.2</v>
      </c>
      <c r="I672" s="94">
        <v>0</v>
      </c>
      <c r="J672" s="94">
        <v>1022.9984376766035</v>
      </c>
      <c r="K672" s="94">
        <v>1.899</v>
      </c>
      <c r="L672" s="94">
        <v>1</v>
      </c>
      <c r="M672" s="94">
        <v>0</v>
      </c>
      <c r="N672" s="94">
        <v>0</v>
      </c>
      <c r="O672" s="94">
        <v>0</v>
      </c>
    </row>
    <row r="673" spans="1:15" x14ac:dyDescent="0.25">
      <c r="A673" s="89">
        <v>44897.333333333336</v>
      </c>
      <c r="B673" s="94">
        <v>360.71609518426601</v>
      </c>
      <c r="C673" s="94">
        <v>300.08</v>
      </c>
      <c r="D673" s="94">
        <v>37.213403596755867</v>
      </c>
      <c r="E673" s="94">
        <v>2.4704841970221203</v>
      </c>
      <c r="F673" s="94">
        <v>36.700000000000003</v>
      </c>
      <c r="G673" s="94">
        <v>2.4657097598034463</v>
      </c>
      <c r="H673" s="94">
        <v>1.2</v>
      </c>
      <c r="I673" s="94">
        <v>0</v>
      </c>
      <c r="J673" s="94">
        <v>1025</v>
      </c>
      <c r="K673" s="94">
        <v>1.9002528871811215</v>
      </c>
      <c r="L673" s="94">
        <v>0</v>
      </c>
      <c r="M673" s="94">
        <v>0</v>
      </c>
      <c r="N673" s="94">
        <v>0</v>
      </c>
      <c r="O673" s="94">
        <v>0</v>
      </c>
    </row>
    <row r="674" spans="1:15" x14ac:dyDescent="0.25">
      <c r="A674" s="89">
        <v>44897.833333333336</v>
      </c>
      <c r="B674" s="94">
        <v>360.76</v>
      </c>
      <c r="C674" s="94">
        <v>300.07869172861007</v>
      </c>
      <c r="D674" s="94">
        <v>38.548151928386183</v>
      </c>
      <c r="E674" s="94">
        <v>2.4992604377395318</v>
      </c>
      <c r="F674" s="94">
        <v>37.173236340320294</v>
      </c>
      <c r="G674" s="94">
        <v>2.4592214213197972</v>
      </c>
      <c r="H674" s="94">
        <v>1.2895199584960937</v>
      </c>
      <c r="I674" s="94">
        <v>0</v>
      </c>
      <c r="J674" s="94">
        <v>1026.0099303657933</v>
      </c>
      <c r="K674" s="94">
        <v>1.8988748441155157</v>
      </c>
      <c r="L674" s="94">
        <v>1</v>
      </c>
      <c r="M674" s="94">
        <v>0</v>
      </c>
      <c r="N674" s="94">
        <v>0</v>
      </c>
      <c r="O674" s="94">
        <v>0</v>
      </c>
    </row>
    <row r="675" spans="1:15" x14ac:dyDescent="0.25">
      <c r="A675" s="89">
        <v>44898.333333333336</v>
      </c>
      <c r="B675" s="94">
        <v>360.76</v>
      </c>
      <c r="C675" s="94">
        <v>300.06212382333877</v>
      </c>
      <c r="D675" s="94">
        <v>36.722726963570381</v>
      </c>
      <c r="E675" s="94">
        <v>2.4895590551181104</v>
      </c>
      <c r="F675" s="94">
        <v>36.804400634765621</v>
      </c>
      <c r="G675" s="94">
        <v>2.4970811295660513</v>
      </c>
      <c r="H675" s="94">
        <v>1.2958802058401149</v>
      </c>
      <c r="I675" s="94">
        <v>0</v>
      </c>
      <c r="J675" s="94">
        <v>1027</v>
      </c>
      <c r="K675" s="94">
        <v>1.8984843372486766</v>
      </c>
      <c r="L675" s="94">
        <v>1</v>
      </c>
      <c r="M675" s="94">
        <v>0</v>
      </c>
      <c r="N675" s="94">
        <v>0</v>
      </c>
      <c r="O675" s="94">
        <v>0</v>
      </c>
    </row>
    <row r="676" spans="1:15" x14ac:dyDescent="0.25">
      <c r="A676" s="89">
        <v>44898.833333333336</v>
      </c>
      <c r="B676" s="94">
        <v>360.76</v>
      </c>
      <c r="C676" s="94">
        <v>300.0752500152588</v>
      </c>
      <c r="D676" s="94">
        <v>37.474868089017122</v>
      </c>
      <c r="E676" s="94">
        <v>2.5065489127672334</v>
      </c>
      <c r="F676" s="94">
        <v>37.287900543212885</v>
      </c>
      <c r="G676" s="94">
        <v>2.4713087353185523</v>
      </c>
      <c r="H676" s="94">
        <v>1.3</v>
      </c>
      <c r="I676" s="94">
        <v>0</v>
      </c>
      <c r="J676" s="94">
        <v>1026.4044371024258</v>
      </c>
      <c r="K676" s="94">
        <v>1.8997561572662349</v>
      </c>
      <c r="L676" s="94">
        <v>1</v>
      </c>
      <c r="M676" s="94">
        <v>0</v>
      </c>
      <c r="N676" s="94">
        <v>0</v>
      </c>
      <c r="O676" s="94">
        <v>0</v>
      </c>
    </row>
    <row r="677" spans="1:15" x14ac:dyDescent="0.25">
      <c r="A677" s="89">
        <v>44899.333333333336</v>
      </c>
      <c r="B677" s="94">
        <v>360.76</v>
      </c>
      <c r="C677" s="94">
        <v>300.07</v>
      </c>
      <c r="D677" s="94">
        <v>35.9</v>
      </c>
      <c r="E677" s="94">
        <v>2.451906183042547</v>
      </c>
      <c r="F677" s="94">
        <v>36.9</v>
      </c>
      <c r="G677" s="94">
        <v>2.4612337195243268</v>
      </c>
      <c r="H677" s="94">
        <v>1.2010271185407952</v>
      </c>
      <c r="I677" s="94">
        <v>0</v>
      </c>
      <c r="J677" s="94">
        <v>1022.999871217492</v>
      </c>
      <c r="K677" s="94">
        <v>1.8979999999999999</v>
      </c>
      <c r="L677" s="94">
        <v>1</v>
      </c>
      <c r="M677" s="94">
        <v>0</v>
      </c>
      <c r="N677" s="94">
        <v>0</v>
      </c>
      <c r="O677" s="94">
        <v>0</v>
      </c>
    </row>
    <row r="678" spans="1:15" x14ac:dyDescent="0.25">
      <c r="A678" s="89">
        <v>44899.833333333336</v>
      </c>
      <c r="B678" s="94">
        <v>360.76</v>
      </c>
      <c r="C678" s="94">
        <v>300.07818620189346</v>
      </c>
      <c r="D678" s="94">
        <v>39.044931321896598</v>
      </c>
      <c r="E678" s="94">
        <v>2.4242944860241331</v>
      </c>
      <c r="F678" s="94">
        <v>36.276837229174234</v>
      </c>
      <c r="G678" s="94">
        <v>2.5435565006630996</v>
      </c>
      <c r="H678" s="94">
        <v>1.255911130859809</v>
      </c>
      <c r="I678" s="94">
        <v>0</v>
      </c>
      <c r="J678" s="94">
        <v>1019.5045087753357</v>
      </c>
      <c r="K678" s="94">
        <v>1.8958750196840854</v>
      </c>
      <c r="L678" s="94">
        <v>1</v>
      </c>
      <c r="M678" s="94">
        <v>0</v>
      </c>
      <c r="N678" s="94">
        <v>0</v>
      </c>
      <c r="O678" s="94">
        <v>0</v>
      </c>
    </row>
    <row r="679" spans="1:15" x14ac:dyDescent="0.25">
      <c r="A679" s="89">
        <v>44900.333333333336</v>
      </c>
      <c r="B679" s="94">
        <v>360.81221798359047</v>
      </c>
      <c r="C679" s="94">
        <v>300.08</v>
      </c>
      <c r="D679" s="94">
        <v>38.807102657477351</v>
      </c>
      <c r="E679" s="94">
        <v>2.4425157232704402</v>
      </c>
      <c r="F679" s="94">
        <v>36.068746392879923</v>
      </c>
      <c r="G679" s="94">
        <v>2.4707784732057201</v>
      </c>
      <c r="H679" s="94">
        <v>1.2139722188313802</v>
      </c>
      <c r="I679" s="94">
        <v>0</v>
      </c>
      <c r="J679" s="94">
        <v>1023.0050572010596</v>
      </c>
      <c r="K679" s="94">
        <v>1.8997642560458905</v>
      </c>
      <c r="L679" s="94">
        <v>0.39924768904618491</v>
      </c>
      <c r="M679" s="94">
        <v>0</v>
      </c>
      <c r="N679" s="94">
        <v>0</v>
      </c>
      <c r="O679" s="94">
        <v>0</v>
      </c>
    </row>
    <row r="680" spans="1:15" x14ac:dyDescent="0.25">
      <c r="A680" s="89">
        <v>44900.833333333336</v>
      </c>
      <c r="B680" s="94">
        <v>360.95</v>
      </c>
      <c r="C680" s="94">
        <v>300.07785798700019</v>
      </c>
      <c r="D680" s="94">
        <v>37.83670221318399</v>
      </c>
      <c r="E680" s="94">
        <v>2.4494303440496332</v>
      </c>
      <c r="F680" s="94">
        <v>41.785529430931504</v>
      </c>
      <c r="G680" s="94">
        <v>2.503033251363199</v>
      </c>
      <c r="H680" s="94">
        <v>1.2170902386603242</v>
      </c>
      <c r="I680" s="94">
        <v>0</v>
      </c>
      <c r="J680" s="94">
        <v>1016.4139093325699</v>
      </c>
      <c r="K680" s="94">
        <v>1.8952488229631632</v>
      </c>
      <c r="L680" s="94">
        <v>1</v>
      </c>
      <c r="M680" s="94">
        <v>0</v>
      </c>
      <c r="N680" s="94">
        <v>0</v>
      </c>
      <c r="O680" s="94">
        <v>0</v>
      </c>
    </row>
    <row r="681" spans="1:15" x14ac:dyDescent="0.25">
      <c r="A681" s="89">
        <v>44901.333333333336</v>
      </c>
      <c r="B681" s="94">
        <v>360.96709833247149</v>
      </c>
      <c r="C681" s="94">
        <v>300.07617957995217</v>
      </c>
      <c r="D681" s="94">
        <v>37.299999999999997</v>
      </c>
      <c r="E681" s="94">
        <v>2.4544554851412048</v>
      </c>
      <c r="F681" s="94">
        <v>39.719061514047475</v>
      </c>
      <c r="G681" s="94">
        <v>2.5258026152057282</v>
      </c>
      <c r="H681" s="94">
        <v>1.3</v>
      </c>
      <c r="I681" s="94">
        <v>0</v>
      </c>
      <c r="J681" s="94">
        <v>1027.9910104447415</v>
      </c>
      <c r="K681" s="94">
        <v>1.9019003338910745</v>
      </c>
      <c r="L681" s="94">
        <v>0</v>
      </c>
      <c r="M681" s="94">
        <v>0</v>
      </c>
      <c r="N681" s="94">
        <v>0</v>
      </c>
      <c r="O681" s="94">
        <v>0</v>
      </c>
    </row>
    <row r="682" spans="1:15" x14ac:dyDescent="0.25">
      <c r="A682" s="89">
        <v>44901.833333333336</v>
      </c>
      <c r="B682" s="94">
        <v>361.01</v>
      </c>
      <c r="C682" s="94">
        <v>300.07730067158036</v>
      </c>
      <c r="D682" s="94">
        <v>37.809413759819307</v>
      </c>
      <c r="E682" s="94">
        <v>2.4547291491476186</v>
      </c>
      <c r="F682" s="94">
        <v>40.250903586826894</v>
      </c>
      <c r="G682" s="94">
        <v>2.4396604026436819</v>
      </c>
      <c r="H682" s="94">
        <v>1.2141071615912105</v>
      </c>
      <c r="I682" s="94">
        <v>0</v>
      </c>
      <c r="J682" s="94">
        <v>1022.9896157690724</v>
      </c>
      <c r="K682" s="94">
        <v>1.8979999999999999</v>
      </c>
      <c r="L682" s="94">
        <v>1</v>
      </c>
      <c r="M682" s="94">
        <v>0</v>
      </c>
      <c r="N682" s="94">
        <v>0</v>
      </c>
      <c r="O682" s="94">
        <v>0</v>
      </c>
    </row>
    <row r="683" spans="1:15" x14ac:dyDescent="0.25">
      <c r="A683" s="89">
        <v>44902.333333333336</v>
      </c>
      <c r="B683" s="94">
        <v>361.03053417502719</v>
      </c>
      <c r="C683" s="94">
        <v>300.06237939056484</v>
      </c>
      <c r="D683" s="94">
        <v>37.125055609809031</v>
      </c>
      <c r="E683" s="94">
        <v>2.4965512266978207</v>
      </c>
      <c r="F683" s="94">
        <v>39.062813022659064</v>
      </c>
      <c r="G683" s="94">
        <v>2.449710104137349</v>
      </c>
      <c r="H683" s="94">
        <v>1.3</v>
      </c>
      <c r="I683" s="94">
        <v>0</v>
      </c>
      <c r="J683" s="94">
        <v>1025.9920193958321</v>
      </c>
      <c r="K683" s="94">
        <v>1.899</v>
      </c>
      <c r="L683" s="94">
        <v>0</v>
      </c>
      <c r="M683" s="94">
        <v>0</v>
      </c>
      <c r="N683" s="94">
        <v>0</v>
      </c>
      <c r="O683" s="94">
        <v>0</v>
      </c>
    </row>
    <row r="684" spans="1:15" x14ac:dyDescent="0.25">
      <c r="A684" s="89">
        <v>44902.833333333336</v>
      </c>
      <c r="B684" s="94">
        <v>361.08</v>
      </c>
      <c r="C684" s="94">
        <v>300.07611288933413</v>
      </c>
      <c r="D684" s="94">
        <v>36.167951528133365</v>
      </c>
      <c r="E684" s="94">
        <v>2.4880172605542952</v>
      </c>
      <c r="F684" s="94">
        <v>39.299999999999997</v>
      </c>
      <c r="G684" s="94">
        <v>2.474814276312769</v>
      </c>
      <c r="H684" s="94">
        <v>1.3</v>
      </c>
      <c r="I684" s="94">
        <v>0</v>
      </c>
      <c r="J684" s="94">
        <v>1020</v>
      </c>
      <c r="K684" s="94">
        <v>1.8968776597025616</v>
      </c>
      <c r="L684" s="94">
        <v>1</v>
      </c>
      <c r="M684" s="94">
        <v>0</v>
      </c>
      <c r="N684" s="94">
        <v>0</v>
      </c>
      <c r="O684" s="94">
        <v>0</v>
      </c>
    </row>
    <row r="685" spans="1:15" x14ac:dyDescent="0.25">
      <c r="A685" s="89">
        <v>44903.333333333336</v>
      </c>
      <c r="B685" s="94">
        <v>361.09495899212953</v>
      </c>
      <c r="C685" s="94">
        <v>300.07366518901614</v>
      </c>
      <c r="D685" s="94">
        <v>39.448483273612517</v>
      </c>
      <c r="E685" s="94">
        <v>2.4806521373146211</v>
      </c>
      <c r="F685" s="94">
        <v>38.953260686573103</v>
      </c>
      <c r="G685" s="94">
        <v>2.4796395350613247</v>
      </c>
      <c r="H685" s="94">
        <v>1.3984224874673967</v>
      </c>
      <c r="I685" s="94">
        <v>0</v>
      </c>
      <c r="J685" s="94">
        <v>1026.5990265882338</v>
      </c>
      <c r="K685" s="94">
        <v>1.8986734039457807</v>
      </c>
      <c r="L685" s="94">
        <v>0</v>
      </c>
      <c r="M685" s="94">
        <v>0</v>
      </c>
      <c r="N685" s="94">
        <v>0</v>
      </c>
      <c r="O685" s="94">
        <v>0</v>
      </c>
    </row>
    <row r="686" spans="1:15" x14ac:dyDescent="0.25">
      <c r="A686" s="89">
        <v>44903.833333333336</v>
      </c>
      <c r="B686" s="94">
        <v>361.13</v>
      </c>
      <c r="C686" s="94">
        <v>300.07489257332458</v>
      </c>
      <c r="D686" s="94">
        <v>38.405331243102047</v>
      </c>
      <c r="E686" s="94">
        <v>2.4694302002987714</v>
      </c>
      <c r="F686" s="94">
        <v>39.5</v>
      </c>
      <c r="G686" s="94">
        <v>2.4995797729492186</v>
      </c>
      <c r="H686" s="94">
        <v>1.3</v>
      </c>
      <c r="I686" s="94">
        <v>0</v>
      </c>
      <c r="J686" s="94">
        <v>1026.0106336459598</v>
      </c>
      <c r="K686" s="94">
        <v>1.9007548782536738</v>
      </c>
      <c r="L686" s="94">
        <v>1</v>
      </c>
      <c r="M686" s="94">
        <v>0</v>
      </c>
      <c r="N686" s="94">
        <v>0</v>
      </c>
      <c r="O686" s="94">
        <v>0</v>
      </c>
    </row>
    <row r="687" spans="1:15" x14ac:dyDescent="0.25">
      <c r="A687" s="89">
        <v>44904.333333333336</v>
      </c>
      <c r="B687" s="94">
        <v>361.14578173533982</v>
      </c>
      <c r="C687" s="94">
        <v>300.07</v>
      </c>
      <c r="D687" s="94">
        <v>37.8686548399549</v>
      </c>
      <c r="E687" s="94">
        <v>2.4324335176907343</v>
      </c>
      <c r="F687" s="94">
        <v>38.836599731445311</v>
      </c>
      <c r="G687" s="94">
        <v>2.5368829743449033</v>
      </c>
      <c r="H687" s="94">
        <v>1.4</v>
      </c>
      <c r="I687" s="94">
        <v>0</v>
      </c>
      <c r="J687" s="94">
        <v>1027</v>
      </c>
      <c r="K687" s="94">
        <v>1.8984368511742318</v>
      </c>
      <c r="L687" s="94">
        <v>0</v>
      </c>
      <c r="M687" s="94">
        <v>0</v>
      </c>
      <c r="N687" s="94">
        <v>0</v>
      </c>
      <c r="O687" s="94">
        <v>0</v>
      </c>
    </row>
    <row r="688" spans="1:15" x14ac:dyDescent="0.25">
      <c r="A688" s="89">
        <v>44904.833333333336</v>
      </c>
      <c r="B688" s="94">
        <v>361.18</v>
      </c>
      <c r="C688" s="94">
        <v>300.07</v>
      </c>
      <c r="D688" s="94">
        <v>36.665456264390897</v>
      </c>
      <c r="E688" s="94">
        <v>2.4864961050862995</v>
      </c>
      <c r="F688" s="94">
        <v>39.52414132696768</v>
      </c>
      <c r="G688" s="94">
        <v>2.4622419061735417</v>
      </c>
      <c r="H688" s="94">
        <v>1.3</v>
      </c>
      <c r="I688" s="94">
        <v>0</v>
      </c>
      <c r="J688" s="94">
        <v>1016.0029291964355</v>
      </c>
      <c r="K688" s="94">
        <v>1.8951091386462788</v>
      </c>
      <c r="L688" s="94">
        <v>1</v>
      </c>
      <c r="M688" s="94">
        <v>0</v>
      </c>
      <c r="N688" s="94">
        <v>0</v>
      </c>
      <c r="O688" s="94">
        <v>0</v>
      </c>
    </row>
    <row r="689" spans="1:15" x14ac:dyDescent="0.25">
      <c r="A689" s="89">
        <v>44905.333333333336</v>
      </c>
      <c r="B689" s="94">
        <v>361.18</v>
      </c>
      <c r="C689" s="94">
        <v>300.06482342177492</v>
      </c>
      <c r="D689" s="94">
        <v>39.043703979492186</v>
      </c>
      <c r="E689" s="94">
        <v>2.4825812298127841</v>
      </c>
      <c r="F689" s="94">
        <v>37.9</v>
      </c>
      <c r="G689" s="94">
        <v>2.5089164370982551</v>
      </c>
      <c r="H689" s="94">
        <v>1.3390175013101608</v>
      </c>
      <c r="I689" s="94">
        <v>0</v>
      </c>
      <c r="J689" s="94">
        <v>1022</v>
      </c>
      <c r="K689" s="94">
        <v>1.8978058069258787</v>
      </c>
      <c r="L689" s="94">
        <v>0</v>
      </c>
      <c r="M689" s="94">
        <v>0</v>
      </c>
      <c r="N689" s="94">
        <v>0</v>
      </c>
      <c r="O689" s="94">
        <v>0</v>
      </c>
    </row>
    <row r="690" spans="1:15" x14ac:dyDescent="0.25">
      <c r="A690" s="89">
        <v>44905.833333333336</v>
      </c>
      <c r="B690" s="94">
        <v>361.18</v>
      </c>
      <c r="C690" s="94">
        <v>300.07</v>
      </c>
      <c r="D690" s="94">
        <v>38.299999999999997</v>
      </c>
      <c r="E690" s="94">
        <v>2.4676901245117189</v>
      </c>
      <c r="F690" s="94">
        <v>38.47690124511719</v>
      </c>
      <c r="G690" s="94">
        <v>2.4568165572017717</v>
      </c>
      <c r="H690" s="94">
        <v>1.3125335590573703</v>
      </c>
      <c r="I690" s="94">
        <v>0</v>
      </c>
      <c r="J690" s="94">
        <v>1019.0115788864732</v>
      </c>
      <c r="K690" s="94">
        <v>1.8969813549472851</v>
      </c>
      <c r="L690" s="94">
        <v>1</v>
      </c>
      <c r="M690" s="94">
        <v>0</v>
      </c>
      <c r="N690" s="94">
        <v>0</v>
      </c>
      <c r="O690" s="94">
        <v>0</v>
      </c>
    </row>
    <row r="691" spans="1:15" x14ac:dyDescent="0.25">
      <c r="A691" s="89">
        <v>44906.333333333336</v>
      </c>
      <c r="B691" s="94">
        <v>361.18</v>
      </c>
      <c r="C691" s="94">
        <v>300.07</v>
      </c>
      <c r="D691" s="94">
        <v>38.524481983221605</v>
      </c>
      <c r="E691" s="94">
        <v>2.4702801513671875</v>
      </c>
      <c r="F691" s="94">
        <v>38.011430711012622</v>
      </c>
      <c r="G691" s="94">
        <v>2.4926026790487392</v>
      </c>
      <c r="H691" s="94">
        <v>1.3604972906720241</v>
      </c>
      <c r="I691" s="94">
        <v>0</v>
      </c>
      <c r="J691" s="94">
        <v>1020</v>
      </c>
      <c r="K691" s="94">
        <v>1.8961204812460171</v>
      </c>
      <c r="L691" s="94">
        <v>0</v>
      </c>
      <c r="M691" s="94">
        <v>0</v>
      </c>
      <c r="N691" s="94">
        <v>0</v>
      </c>
      <c r="O691" s="94">
        <v>0</v>
      </c>
    </row>
    <row r="692" spans="1:15" x14ac:dyDescent="0.25">
      <c r="A692" s="89">
        <v>44906.833333333336</v>
      </c>
      <c r="B692" s="94">
        <v>361.18</v>
      </c>
      <c r="C692" s="94">
        <v>300.59809616031475</v>
      </c>
      <c r="D692" s="94">
        <v>50.548599243164063</v>
      </c>
      <c r="E692" s="94">
        <v>3.2981082938750572</v>
      </c>
      <c r="F692" s="94">
        <v>48.680711205486979</v>
      </c>
      <c r="G692" s="94">
        <v>3.2305391782495798</v>
      </c>
      <c r="H692" s="94">
        <v>48.864485516652124</v>
      </c>
      <c r="I692" s="94">
        <v>7.9794005143346984</v>
      </c>
      <c r="J692" s="94">
        <v>2839.4129367732753</v>
      </c>
      <c r="K692" s="94">
        <v>2.4459614513784267</v>
      </c>
      <c r="L692" s="94">
        <v>1</v>
      </c>
      <c r="M692" s="94">
        <v>0</v>
      </c>
      <c r="N692" s="94">
        <v>0</v>
      </c>
      <c r="O692" s="94">
        <v>0</v>
      </c>
    </row>
    <row r="693" spans="1:15" x14ac:dyDescent="0.25">
      <c r="A693" s="89">
        <v>44907.333333333336</v>
      </c>
      <c r="B693" s="94">
        <v>361.2162625749549</v>
      </c>
      <c r="C693" s="94">
        <v>300.61</v>
      </c>
      <c r="D693" s="94">
        <v>69.496205119609087</v>
      </c>
      <c r="E693" s="94">
        <v>5.4718297276169787</v>
      </c>
      <c r="F693" s="94">
        <v>37.4</v>
      </c>
      <c r="G693" s="94">
        <v>2.518961345050033</v>
      </c>
      <c r="H693" s="94">
        <v>45.424727664769492</v>
      </c>
      <c r="I693" s="94">
        <v>6.6292118301468124</v>
      </c>
      <c r="J693" s="94">
        <v>2903.4160689016958</v>
      </c>
      <c r="K693" s="94">
        <v>2.4602803156244071</v>
      </c>
      <c r="L693" s="94">
        <v>1</v>
      </c>
      <c r="M693" s="94">
        <v>0</v>
      </c>
      <c r="N693" s="94">
        <v>0</v>
      </c>
      <c r="O693" s="94">
        <v>0</v>
      </c>
    </row>
    <row r="694" spans="1:15" x14ac:dyDescent="0.25">
      <c r="A694" s="89">
        <v>44907.833333333336</v>
      </c>
      <c r="B694" s="94">
        <v>361.29</v>
      </c>
      <c r="C694" s="94">
        <v>300.62</v>
      </c>
      <c r="D694" s="94">
        <v>67.2</v>
      </c>
      <c r="E694" s="94">
        <v>5.478738525454018</v>
      </c>
      <c r="F694" s="94">
        <v>37.4</v>
      </c>
      <c r="G694" s="94">
        <v>2.4796095921796244</v>
      </c>
      <c r="H694" s="94">
        <v>45.970227372076273</v>
      </c>
      <c r="I694" s="94">
        <v>6.9334831380612583</v>
      </c>
      <c r="J694" s="94">
        <v>2893.0087111707821</v>
      </c>
      <c r="K694" s="94">
        <v>2.4580799411624317</v>
      </c>
      <c r="L694" s="94">
        <v>1</v>
      </c>
      <c r="M694" s="94">
        <v>0</v>
      </c>
      <c r="N694" s="94">
        <v>0</v>
      </c>
      <c r="O694" s="94">
        <v>0</v>
      </c>
    </row>
    <row r="695" spans="1:15" x14ac:dyDescent="0.25">
      <c r="A695" s="89">
        <v>44908.333333333336</v>
      </c>
      <c r="B695" s="94">
        <v>361.31015506448472</v>
      </c>
      <c r="C695" s="94">
        <v>300.61</v>
      </c>
      <c r="D695" s="94">
        <v>64.3</v>
      </c>
      <c r="E695" s="94">
        <v>5.4655070529349308</v>
      </c>
      <c r="F695" s="94">
        <v>35.781545186540612</v>
      </c>
      <c r="G695" s="94">
        <v>2.48</v>
      </c>
      <c r="H695" s="94">
        <v>46.009790531057995</v>
      </c>
      <c r="I695" s="94">
        <v>7.0270263234017936</v>
      </c>
      <c r="J695" s="94">
        <v>2875.7910640472501</v>
      </c>
      <c r="K695" s="94">
        <v>2.4540598146154049</v>
      </c>
      <c r="L695" s="94">
        <v>0</v>
      </c>
      <c r="M695" s="94">
        <v>0</v>
      </c>
      <c r="N695" s="94">
        <v>0</v>
      </c>
      <c r="O695" s="94">
        <v>0</v>
      </c>
    </row>
    <row r="696" spans="1:15" x14ac:dyDescent="0.25">
      <c r="A696" s="89">
        <v>44908.833333333336</v>
      </c>
      <c r="B696" s="94">
        <v>361.35</v>
      </c>
      <c r="C696" s="94">
        <v>301.05</v>
      </c>
      <c r="D696" s="94">
        <v>79.831405027797217</v>
      </c>
      <c r="E696" s="94">
        <v>6.67</v>
      </c>
      <c r="F696" s="94">
        <v>80.547072435461956</v>
      </c>
      <c r="G696" s="94">
        <v>6.6624299621582033</v>
      </c>
      <c r="H696" s="94">
        <v>76.732719198452003</v>
      </c>
      <c r="I696" s="94">
        <v>15.803346696747051</v>
      </c>
      <c r="J696" s="94">
        <v>5039.3747527017276</v>
      </c>
      <c r="K696" s="94">
        <v>2.8672158465168649</v>
      </c>
      <c r="L696" s="94">
        <v>1</v>
      </c>
      <c r="M696" s="94">
        <v>0</v>
      </c>
      <c r="N696" s="94">
        <v>0</v>
      </c>
      <c r="O696" s="94">
        <v>0</v>
      </c>
    </row>
    <row r="697" spans="1:15" x14ac:dyDescent="0.25">
      <c r="A697" s="89">
        <v>44909.333333333336</v>
      </c>
      <c r="B697" s="94">
        <v>361.35</v>
      </c>
      <c r="C697" s="94">
        <v>301.05</v>
      </c>
      <c r="D697" s="94">
        <v>77.25556170992094</v>
      </c>
      <c r="E697" s="94">
        <v>6.64</v>
      </c>
      <c r="F697" s="94">
        <v>80.5</v>
      </c>
      <c r="G697" s="94">
        <v>6.6726944786580775</v>
      </c>
      <c r="H697" s="94">
        <v>77.750806012324247</v>
      </c>
      <c r="I697" s="94">
        <v>16.027994365553734</v>
      </c>
      <c r="J697" s="94">
        <v>5045.3963476388144</v>
      </c>
      <c r="K697" s="94">
        <v>2.8687294601528439</v>
      </c>
      <c r="L697" s="94">
        <v>-0.74482274905904633</v>
      </c>
      <c r="M697" s="94">
        <v>-0.83835243755398559</v>
      </c>
      <c r="N697" s="94">
        <v>0</v>
      </c>
      <c r="O697" s="94">
        <v>-0.87910686418916895</v>
      </c>
    </row>
    <row r="698" spans="1:15" x14ac:dyDescent="0.25">
      <c r="A698" s="89">
        <v>44909.833333333336</v>
      </c>
      <c r="B698" s="94">
        <v>361.35</v>
      </c>
      <c r="C698" s="94">
        <v>301.04638298665782</v>
      </c>
      <c r="D698" s="94">
        <v>77.8</v>
      </c>
      <c r="E698" s="94">
        <v>6.6291458876069962</v>
      </c>
      <c r="F698" s="94">
        <v>80.577365181216706</v>
      </c>
      <c r="G698" s="94">
        <v>6.6899115383275864</v>
      </c>
      <c r="H698" s="94">
        <v>77.005852175410979</v>
      </c>
      <c r="I698" s="94">
        <v>15.89250660275102</v>
      </c>
      <c r="J698" s="94">
        <v>5048.9662615045236</v>
      </c>
      <c r="K698" s="94">
        <v>2.8686689673756405</v>
      </c>
      <c r="L698" s="94">
        <v>0.40483930034022175</v>
      </c>
      <c r="M698" s="94">
        <v>0</v>
      </c>
      <c r="N698" s="94">
        <v>0</v>
      </c>
      <c r="O698" s="94">
        <v>0</v>
      </c>
    </row>
    <row r="699" spans="1:15" x14ac:dyDescent="0.25">
      <c r="A699" s="89">
        <v>44910.333333333336</v>
      </c>
      <c r="B699" s="94">
        <v>361.35</v>
      </c>
      <c r="C699" s="94">
        <v>301.05</v>
      </c>
      <c r="D699" s="94">
        <v>79.634636170728086</v>
      </c>
      <c r="E699" s="94">
        <v>6.6271926317292591</v>
      </c>
      <c r="F699" s="94">
        <v>80.100988217645053</v>
      </c>
      <c r="G699" s="94">
        <v>6.6603804737975594</v>
      </c>
      <c r="H699" s="94">
        <v>77.597493558378588</v>
      </c>
      <c r="I699" s="94">
        <v>15.879343916484464</v>
      </c>
      <c r="J699" s="94">
        <v>5046.6314071182378</v>
      </c>
      <c r="K699" s="94">
        <v>2.868599201720357</v>
      </c>
      <c r="L699" s="94">
        <v>0</v>
      </c>
      <c r="M699" s="94">
        <v>0</v>
      </c>
      <c r="N699" s="94">
        <v>0</v>
      </c>
      <c r="O699" s="94">
        <v>0</v>
      </c>
    </row>
    <row r="700" spans="1:15" x14ac:dyDescent="0.25">
      <c r="A700" s="89">
        <v>44910.833333333336</v>
      </c>
      <c r="B700" s="94">
        <v>361.35</v>
      </c>
      <c r="C700" s="94">
        <v>301.05</v>
      </c>
      <c r="D700" s="94">
        <v>79.615754331639039</v>
      </c>
      <c r="E700" s="94">
        <v>6.6605401611328121</v>
      </c>
      <c r="F700" s="94">
        <v>80.599999999999994</v>
      </c>
      <c r="G700" s="94">
        <v>6.6741563346159332</v>
      </c>
      <c r="H700" s="94">
        <v>76.900000000000006</v>
      </c>
      <c r="I700" s="94">
        <v>15.734605092330956</v>
      </c>
      <c r="J700" s="94">
        <v>5049.0030837030517</v>
      </c>
      <c r="K700" s="94">
        <v>2.8686679462142819</v>
      </c>
      <c r="L700" s="94">
        <v>1</v>
      </c>
      <c r="M700" s="94">
        <v>0</v>
      </c>
      <c r="N700" s="94">
        <v>0</v>
      </c>
      <c r="O700" s="94">
        <v>0</v>
      </c>
    </row>
    <row r="701" spans="1:15" x14ac:dyDescent="0.25">
      <c r="A701" s="89">
        <v>44911.333333333336</v>
      </c>
      <c r="B701" s="94">
        <v>361.33965162127117</v>
      </c>
      <c r="C701" s="94">
        <v>301.05</v>
      </c>
      <c r="D701" s="94">
        <v>77.941693814475997</v>
      </c>
      <c r="E701" s="94">
        <v>6.64</v>
      </c>
      <c r="F701" s="94">
        <v>80.452448096094628</v>
      </c>
      <c r="G701" s="94">
        <v>6.7038134765624999</v>
      </c>
      <c r="H701" s="94">
        <v>77.797868126539981</v>
      </c>
      <c r="I701" s="94">
        <v>16.076476827490669</v>
      </c>
      <c r="J701" s="94">
        <v>4994</v>
      </c>
      <c r="K701" s="94">
        <v>2.86</v>
      </c>
      <c r="L701" s="94">
        <v>0</v>
      </c>
      <c r="M701" s="94">
        <v>0</v>
      </c>
      <c r="N701" s="94">
        <v>0</v>
      </c>
      <c r="O701" s="94">
        <v>0</v>
      </c>
    </row>
    <row r="702" spans="1:15" x14ac:dyDescent="0.25">
      <c r="A702" s="89">
        <v>44911.833333333336</v>
      </c>
      <c r="B702" s="94">
        <v>361.32</v>
      </c>
      <c r="C702" s="94">
        <v>300.64694086015822</v>
      </c>
      <c r="D702" s="94">
        <v>74.3</v>
      </c>
      <c r="E702" s="94">
        <v>6.3548184153450959</v>
      </c>
      <c r="F702" s="94">
        <v>37.200000000000003</v>
      </c>
      <c r="G702" s="94">
        <v>2.4886962104998114</v>
      </c>
      <c r="H702" s="94">
        <v>44.8</v>
      </c>
      <c r="I702" s="94">
        <v>6.4946480405956875</v>
      </c>
      <c r="J702" s="94">
        <v>2999.3987486007236</v>
      </c>
      <c r="K702" s="94">
        <v>2.4820986182387674</v>
      </c>
      <c r="L702" s="94">
        <v>1</v>
      </c>
      <c r="M702" s="94">
        <v>0</v>
      </c>
      <c r="N702" s="94">
        <v>0</v>
      </c>
      <c r="O702" s="94">
        <v>0</v>
      </c>
    </row>
    <row r="703" spans="1:15" x14ac:dyDescent="0.25">
      <c r="A703" s="89">
        <v>44912.333333333336</v>
      </c>
      <c r="B703" s="94">
        <v>361.32</v>
      </c>
      <c r="C703" s="94">
        <v>300.64733125962073</v>
      </c>
      <c r="D703" s="94">
        <v>75.441630241957611</v>
      </c>
      <c r="E703" s="94">
        <v>6.4087699890136722</v>
      </c>
      <c r="F703" s="94">
        <v>36.6</v>
      </c>
      <c r="G703" s="94">
        <v>2.5361990356445312</v>
      </c>
      <c r="H703" s="94">
        <v>45.371305580886606</v>
      </c>
      <c r="I703" s="94">
        <v>6.7028006667171756</v>
      </c>
      <c r="J703" s="94">
        <v>3009.7720629574196</v>
      </c>
      <c r="K703" s="94">
        <v>2.4847898812976195</v>
      </c>
      <c r="L703" s="94">
        <v>0</v>
      </c>
      <c r="M703" s="94">
        <v>0</v>
      </c>
      <c r="N703" s="94">
        <v>0</v>
      </c>
      <c r="O703" s="94">
        <v>0</v>
      </c>
    </row>
    <row r="704" spans="1:15" x14ac:dyDescent="0.25">
      <c r="A704" s="89">
        <v>44912.833333333336</v>
      </c>
      <c r="B704" s="94">
        <v>361.32</v>
      </c>
      <c r="C704" s="94">
        <v>300.36</v>
      </c>
      <c r="D704" s="94">
        <v>79.342952521608296</v>
      </c>
      <c r="E704" s="94">
        <v>6.9393215303825961</v>
      </c>
      <c r="F704" s="94">
        <v>48.114519645849121</v>
      </c>
      <c r="G704" s="94">
        <v>3.1218005371093751</v>
      </c>
      <c r="H704" s="94">
        <v>1.0417871672209098</v>
      </c>
      <c r="I704" s="94">
        <v>0</v>
      </c>
      <c r="J704" s="94">
        <v>1839.7819876515221</v>
      </c>
      <c r="K704" s="94">
        <v>2.1860328936996201</v>
      </c>
      <c r="L704" s="94">
        <v>1</v>
      </c>
      <c r="M704" s="94">
        <v>0</v>
      </c>
      <c r="N704" s="94">
        <v>0</v>
      </c>
      <c r="O704" s="94">
        <v>0</v>
      </c>
    </row>
    <row r="705" spans="1:15" x14ac:dyDescent="0.25">
      <c r="A705" s="89">
        <v>44913.333333333336</v>
      </c>
      <c r="B705" s="94">
        <v>361.32</v>
      </c>
      <c r="C705" s="94">
        <v>300.36</v>
      </c>
      <c r="D705" s="94">
        <v>80.69223068239765</v>
      </c>
      <c r="E705" s="94">
        <v>6.9854373696478964</v>
      </c>
      <c r="F705" s="94">
        <v>46.572771895873068</v>
      </c>
      <c r="G705" s="94">
        <v>3.1425487480868486</v>
      </c>
      <c r="H705" s="94">
        <v>1.2</v>
      </c>
      <c r="I705" s="94">
        <v>0</v>
      </c>
      <c r="J705" s="94">
        <v>1845.0160778288505</v>
      </c>
      <c r="K705" s="94">
        <v>2.1872244660531877</v>
      </c>
      <c r="L705" s="94">
        <v>1</v>
      </c>
      <c r="M705" s="94">
        <v>0</v>
      </c>
      <c r="N705" s="94">
        <v>0</v>
      </c>
      <c r="O705" s="94">
        <v>0</v>
      </c>
    </row>
    <row r="706" spans="1:15" x14ac:dyDescent="0.25">
      <c r="A706" s="89">
        <v>44913.833333333336</v>
      </c>
      <c r="B706" s="94">
        <v>361.32</v>
      </c>
      <c r="C706" s="94">
        <v>299.81</v>
      </c>
      <c r="D706" s="94">
        <v>41.4</v>
      </c>
      <c r="E706" s="94">
        <v>2.7665854232808251</v>
      </c>
      <c r="F706" s="94">
        <v>3.3</v>
      </c>
      <c r="G706" s="94">
        <v>0</v>
      </c>
      <c r="H706" s="94">
        <v>1.2738626485076789</v>
      </c>
      <c r="I706" s="94">
        <v>0</v>
      </c>
      <c r="J706" s="94">
        <v>583.29634230719887</v>
      </c>
      <c r="K706" s="94">
        <v>1.6424815849118766</v>
      </c>
      <c r="L706" s="94">
        <v>1</v>
      </c>
      <c r="M706" s="94">
        <v>0</v>
      </c>
      <c r="N706" s="94">
        <v>0</v>
      </c>
      <c r="O706" s="94">
        <v>0</v>
      </c>
    </row>
    <row r="707" spans="1:15" x14ac:dyDescent="0.25">
      <c r="A707" s="89">
        <v>44914.333333333336</v>
      </c>
      <c r="B707" s="94">
        <v>361.34872137902767</v>
      </c>
      <c r="C707" s="94">
        <v>299.80649414102305</v>
      </c>
      <c r="D707" s="94">
        <v>41.197516111834076</v>
      </c>
      <c r="E707" s="94">
        <v>2.7928786788900961</v>
      </c>
      <c r="F707" s="94">
        <v>2.9639887244538405</v>
      </c>
      <c r="G707" s="94">
        <v>0</v>
      </c>
      <c r="H707" s="94">
        <v>1.3</v>
      </c>
      <c r="I707" s="94">
        <v>0</v>
      </c>
      <c r="J707" s="94">
        <v>580</v>
      </c>
      <c r="K707" s="94">
        <v>1.6381150988727817</v>
      </c>
      <c r="L707" s="94">
        <v>0</v>
      </c>
      <c r="M707" s="94">
        <v>0</v>
      </c>
      <c r="N707" s="94">
        <v>0</v>
      </c>
      <c r="O707" s="94">
        <v>0</v>
      </c>
    </row>
    <row r="708" spans="1:15" x14ac:dyDescent="0.25">
      <c r="A708" s="89">
        <v>44914.833333333336</v>
      </c>
      <c r="B708" s="94">
        <v>361.4</v>
      </c>
      <c r="C708" s="94">
        <v>299.77999999999997</v>
      </c>
      <c r="D708" s="94">
        <v>41.095599365234378</v>
      </c>
      <c r="E708" s="94">
        <v>2.6130831132386927</v>
      </c>
      <c r="F708" s="94">
        <v>3.3</v>
      </c>
      <c r="G708" s="94">
        <v>0</v>
      </c>
      <c r="H708" s="94">
        <v>1.3</v>
      </c>
      <c r="I708" s="94">
        <v>0</v>
      </c>
      <c r="J708" s="94">
        <v>547</v>
      </c>
      <c r="K708" s="94">
        <v>1.6158155703368027</v>
      </c>
      <c r="L708" s="94">
        <v>1</v>
      </c>
      <c r="M708" s="94">
        <v>0</v>
      </c>
      <c r="N708" s="94">
        <v>0</v>
      </c>
      <c r="O708" s="94">
        <v>0</v>
      </c>
    </row>
    <row r="709" spans="1:15" x14ac:dyDescent="0.25">
      <c r="A709" s="89">
        <v>44915.333333333336</v>
      </c>
      <c r="B709" s="94">
        <v>361.41484835833347</v>
      </c>
      <c r="C709" s="94">
        <v>299.78455961744339</v>
      </c>
      <c r="D709" s="94">
        <v>40.700000000000003</v>
      </c>
      <c r="E709" s="94">
        <v>2.6312654222384495</v>
      </c>
      <c r="F709" s="94">
        <v>2.9601474744383642</v>
      </c>
      <c r="G709" s="94">
        <v>0</v>
      </c>
      <c r="H709" s="94">
        <v>1.3</v>
      </c>
      <c r="I709" s="94">
        <v>0</v>
      </c>
      <c r="J709" s="94">
        <v>553.40067834668753</v>
      </c>
      <c r="K709" s="94">
        <v>1.621</v>
      </c>
      <c r="L709" s="94">
        <v>0</v>
      </c>
      <c r="M709" s="94">
        <v>0</v>
      </c>
      <c r="N709" s="94">
        <v>0</v>
      </c>
      <c r="O709" s="94">
        <v>0</v>
      </c>
    </row>
    <row r="710" spans="1:15" x14ac:dyDescent="0.25">
      <c r="A710" s="89">
        <v>44915.833333333336</v>
      </c>
      <c r="B710" s="94">
        <v>361.44</v>
      </c>
      <c r="C710" s="94">
        <v>300.38</v>
      </c>
      <c r="D710" s="94">
        <v>69.400000000000006</v>
      </c>
      <c r="E710" s="94">
        <v>5.4366867359132272</v>
      </c>
      <c r="F710" s="94">
        <v>69.7</v>
      </c>
      <c r="G710" s="94">
        <v>5.4545890159623269</v>
      </c>
      <c r="H710" s="94">
        <v>1.3</v>
      </c>
      <c r="I710" s="94">
        <v>0</v>
      </c>
      <c r="J710" s="94">
        <v>1920.407411981116</v>
      </c>
      <c r="K710" s="94">
        <v>2.2106303792065889</v>
      </c>
      <c r="L710" s="94">
        <v>1</v>
      </c>
      <c r="M710" s="94">
        <v>0</v>
      </c>
      <c r="N710" s="94">
        <v>0</v>
      </c>
      <c r="O710" s="94">
        <v>0</v>
      </c>
    </row>
    <row r="711" spans="1:15" x14ac:dyDescent="0.25">
      <c r="A711" s="89">
        <v>44916.333333333336</v>
      </c>
      <c r="B711" s="94">
        <v>361.44</v>
      </c>
      <c r="C711" s="94">
        <v>300.41000000000003</v>
      </c>
      <c r="D711" s="94">
        <v>71.425262616193095</v>
      </c>
      <c r="E711" s="94">
        <v>5.6783611706940196</v>
      </c>
      <c r="F711" s="94">
        <v>71.338338059645437</v>
      </c>
      <c r="G711" s="94">
        <v>5.6708792414865403</v>
      </c>
      <c r="H711" s="94">
        <v>1.2489518666243566</v>
      </c>
      <c r="I711" s="94">
        <v>0</v>
      </c>
      <c r="J711" s="94">
        <v>1996</v>
      </c>
      <c r="K711" s="94">
        <v>2.2290819771159227</v>
      </c>
      <c r="L711" s="94">
        <v>1</v>
      </c>
      <c r="M711" s="94">
        <v>0</v>
      </c>
      <c r="N711" s="94">
        <v>0</v>
      </c>
      <c r="O711" s="94">
        <v>0</v>
      </c>
    </row>
    <row r="712" spans="1:15" x14ac:dyDescent="0.25">
      <c r="A712" s="89">
        <v>44916.833333333336</v>
      </c>
      <c r="B712" s="94">
        <v>361.44</v>
      </c>
      <c r="C712" s="94">
        <v>300.70999999999998</v>
      </c>
      <c r="D712" s="94">
        <v>42.001359386720821</v>
      </c>
      <c r="E712" s="94">
        <v>2.7088670326319</v>
      </c>
      <c r="F712" s="94">
        <v>39.1</v>
      </c>
      <c r="G712" s="94">
        <v>2.46</v>
      </c>
      <c r="H712" s="94">
        <v>70.2</v>
      </c>
      <c r="I712" s="94">
        <v>13.83530755873811</v>
      </c>
      <c r="J712" s="94">
        <v>3479</v>
      </c>
      <c r="K712" s="94">
        <v>2.5859999999999999</v>
      </c>
      <c r="L712" s="94">
        <v>1</v>
      </c>
      <c r="M712" s="94">
        <v>0</v>
      </c>
      <c r="N712" s="94">
        <v>0</v>
      </c>
      <c r="O712" s="94">
        <v>0</v>
      </c>
    </row>
    <row r="713" spans="1:15" x14ac:dyDescent="0.25">
      <c r="A713" s="89">
        <v>44917.333333333336</v>
      </c>
      <c r="B713" s="94">
        <v>361.45161102020739</v>
      </c>
      <c r="C713" s="94">
        <v>300.71400101643593</v>
      </c>
      <c r="D713" s="94">
        <v>42.433315307721649</v>
      </c>
      <c r="E713" s="94">
        <v>2.6604331649198425</v>
      </c>
      <c r="F713" s="94">
        <v>38.762430524362024</v>
      </c>
      <c r="G713" s="94">
        <v>2.4908038940429691</v>
      </c>
      <c r="H713" s="94">
        <v>70.180410670144866</v>
      </c>
      <c r="I713" s="94">
        <v>13.956186039407363</v>
      </c>
      <c r="J713" s="94">
        <v>3474</v>
      </c>
      <c r="K713" s="94">
        <v>2.5829748865402418</v>
      </c>
      <c r="L713" s="94">
        <v>1</v>
      </c>
      <c r="M713" s="94">
        <v>0</v>
      </c>
      <c r="N713" s="94">
        <v>0</v>
      </c>
      <c r="O713" s="94">
        <v>0</v>
      </c>
    </row>
    <row r="714" spans="1:15" x14ac:dyDescent="0.25">
      <c r="A714" s="89">
        <v>44917.833333333336</v>
      </c>
      <c r="B714" s="94">
        <v>361.47</v>
      </c>
      <c r="C714" s="94">
        <v>301.43965327446051</v>
      </c>
      <c r="D714" s="94">
        <v>84.004400634765631</v>
      </c>
      <c r="E714" s="94">
        <v>6.9269394923857863</v>
      </c>
      <c r="F714" s="94">
        <v>83.262082445776443</v>
      </c>
      <c r="G714" s="94">
        <v>6.9307869611059045</v>
      </c>
      <c r="H714" s="94">
        <v>77.023165762934696</v>
      </c>
      <c r="I714" s="94">
        <v>15.848371367093979</v>
      </c>
      <c r="J714" s="94">
        <v>7613.4000562173405</v>
      </c>
      <c r="K714" s="94">
        <v>3.2415631552094575</v>
      </c>
      <c r="L714" s="94">
        <v>1</v>
      </c>
      <c r="M714" s="94">
        <v>0</v>
      </c>
      <c r="N714" s="94">
        <v>40.79444556489414</v>
      </c>
      <c r="O714" s="94">
        <v>41</v>
      </c>
    </row>
    <row r="715" spans="1:15" x14ac:dyDescent="0.25">
      <c r="A715" s="89">
        <v>44918.333333333336</v>
      </c>
      <c r="B715" s="94">
        <v>361.44176837006802</v>
      </c>
      <c r="C715" s="94">
        <v>301.45999999999998</v>
      </c>
      <c r="D715" s="94">
        <v>82.5</v>
      </c>
      <c r="E715" s="94">
        <v>6.9795318369501107</v>
      </c>
      <c r="F715" s="94">
        <v>83.59423642033255</v>
      </c>
      <c r="G715" s="94">
        <v>6.9570046238662639</v>
      </c>
      <c r="H715" s="94">
        <v>77.427000427246099</v>
      </c>
      <c r="I715" s="94">
        <v>15.850800170898438</v>
      </c>
      <c r="J715" s="94">
        <v>7909</v>
      </c>
      <c r="K715" s="94">
        <v>3.2801956199011477</v>
      </c>
      <c r="L715" s="94">
        <v>0</v>
      </c>
      <c r="M715" s="94">
        <v>0</v>
      </c>
      <c r="N715" s="94">
        <v>53</v>
      </c>
      <c r="O715" s="94">
        <v>40</v>
      </c>
    </row>
    <row r="716" spans="1:15" x14ac:dyDescent="0.25">
      <c r="A716" s="89">
        <v>44918.833333333336</v>
      </c>
      <c r="B716" s="94">
        <v>361.4</v>
      </c>
      <c r="C716" s="94">
        <v>300.82188503265382</v>
      </c>
      <c r="D716" s="94">
        <v>45.981618402466424</v>
      </c>
      <c r="E716" s="94">
        <v>2.9567622938325049</v>
      </c>
      <c r="F716" s="94">
        <v>44.115674403392106</v>
      </c>
      <c r="G716" s="94">
        <v>2.8983513970823616</v>
      </c>
      <c r="H716" s="94">
        <v>77.763930406459068</v>
      </c>
      <c r="I716" s="94">
        <v>16.498910980224608</v>
      </c>
      <c r="J716" s="94">
        <v>3955.601930823389</v>
      </c>
      <c r="K716" s="94">
        <v>2.6742194828584047</v>
      </c>
      <c r="L716" s="94">
        <v>1</v>
      </c>
      <c r="M716" s="94">
        <v>0</v>
      </c>
      <c r="N716" s="94">
        <v>0</v>
      </c>
      <c r="O716" s="94">
        <v>0</v>
      </c>
    </row>
    <row r="717" spans="1:15" x14ac:dyDescent="0.25">
      <c r="A717" s="89">
        <v>44919.333333333336</v>
      </c>
      <c r="B717" s="94">
        <v>361.4</v>
      </c>
      <c r="C717" s="94">
        <v>300.82685154894671</v>
      </c>
      <c r="D717" s="94">
        <v>47.274524658726079</v>
      </c>
      <c r="E717" s="94">
        <v>2.9022106811287802</v>
      </c>
      <c r="F717" s="94">
        <v>43.784144395083814</v>
      </c>
      <c r="G717" s="94">
        <v>2.8838750497901153</v>
      </c>
      <c r="H717" s="94">
        <v>78.407728447012758</v>
      </c>
      <c r="I717" s="94">
        <v>16.416052289580307</v>
      </c>
      <c r="J717" s="94">
        <v>3927.0807485691721</v>
      </c>
      <c r="K717" s="94">
        <v>2.6731482732347178</v>
      </c>
      <c r="L717" s="94">
        <v>1</v>
      </c>
      <c r="M717" s="94">
        <v>0</v>
      </c>
      <c r="N717" s="94">
        <v>0</v>
      </c>
      <c r="O717" s="94">
        <v>0</v>
      </c>
    </row>
    <row r="718" spans="1:15" x14ac:dyDescent="0.25">
      <c r="A718" s="89">
        <v>44919.833333333336</v>
      </c>
      <c r="B718" s="94">
        <v>361.4</v>
      </c>
      <c r="C718" s="94">
        <v>300.82</v>
      </c>
      <c r="D718" s="94">
        <v>46.472936354060117</v>
      </c>
      <c r="E718" s="94">
        <v>2.9211500549316405</v>
      </c>
      <c r="F718" s="94">
        <v>44.7</v>
      </c>
      <c r="G718" s="94">
        <v>2.8723393249511719</v>
      </c>
      <c r="H718" s="94">
        <v>77.778128555783667</v>
      </c>
      <c r="I718" s="94">
        <v>16.566235890699698</v>
      </c>
      <c r="J718" s="94">
        <v>3951.7281554401488</v>
      </c>
      <c r="K718" s="94">
        <v>2.6766671054002877</v>
      </c>
      <c r="L718" s="94">
        <v>1</v>
      </c>
      <c r="M718" s="94">
        <v>0</v>
      </c>
      <c r="N718" s="94">
        <v>0</v>
      </c>
      <c r="O718" s="94">
        <v>0</v>
      </c>
    </row>
    <row r="719" spans="1:15" x14ac:dyDescent="0.25">
      <c r="A719" s="89">
        <v>44920.333333333336</v>
      </c>
      <c r="B719" s="94">
        <v>361.4</v>
      </c>
      <c r="C719" s="94">
        <v>300.82</v>
      </c>
      <c r="D719" s="94">
        <v>47.150734927118457</v>
      </c>
      <c r="E719" s="94">
        <v>2.8717628621665012</v>
      </c>
      <c r="F719" s="94">
        <v>44.821720719895687</v>
      </c>
      <c r="G719" s="94">
        <v>2.8812029661340874</v>
      </c>
      <c r="H719" s="94">
        <v>77.767826614967845</v>
      </c>
      <c r="I719" s="94">
        <v>16.434575235133611</v>
      </c>
      <c r="J719" s="94">
        <v>3927</v>
      </c>
      <c r="K719" s="94">
        <v>2.6720000000000002</v>
      </c>
      <c r="L719" s="94">
        <v>1</v>
      </c>
      <c r="M719" s="94">
        <v>0</v>
      </c>
      <c r="N719" s="94">
        <v>0</v>
      </c>
      <c r="O719" s="94">
        <v>0</v>
      </c>
    </row>
    <row r="720" spans="1:15" x14ac:dyDescent="0.25">
      <c r="A720" s="89">
        <v>44920.833333333336</v>
      </c>
      <c r="B720" s="94">
        <v>361.4</v>
      </c>
      <c r="C720" s="94">
        <v>300.82161434475455</v>
      </c>
      <c r="D720" s="94">
        <v>46.199225812803036</v>
      </c>
      <c r="E720" s="94">
        <v>2.9347998046875001</v>
      </c>
      <c r="F720" s="94">
        <v>46.5</v>
      </c>
      <c r="G720" s="94">
        <v>2.8672669925156558</v>
      </c>
      <c r="H720" s="94">
        <v>77.586778273156398</v>
      </c>
      <c r="I720" s="94">
        <v>16.468410034179687</v>
      </c>
      <c r="J720" s="94">
        <v>3912.675866722479</v>
      </c>
      <c r="K720" s="94">
        <v>2.6691420642709716</v>
      </c>
      <c r="L720" s="94">
        <v>1</v>
      </c>
      <c r="M720" s="94">
        <v>0</v>
      </c>
      <c r="N720" s="94">
        <v>0</v>
      </c>
      <c r="O720" s="94">
        <v>0</v>
      </c>
    </row>
    <row r="721" spans="1:15" x14ac:dyDescent="0.25">
      <c r="A721" s="89">
        <v>44921.333333333336</v>
      </c>
      <c r="B721" s="94">
        <v>361.4</v>
      </c>
      <c r="C721" s="94">
        <v>300.82492966791023</v>
      </c>
      <c r="D721" s="94">
        <v>46.8</v>
      </c>
      <c r="E721" s="94">
        <v>2.8721606445312502</v>
      </c>
      <c r="F721" s="94">
        <v>47.1</v>
      </c>
      <c r="G721" s="94">
        <v>2.8421601867675781</v>
      </c>
      <c r="H721" s="94">
        <v>77.7</v>
      </c>
      <c r="I721" s="94">
        <v>16.421298283588914</v>
      </c>
      <c r="J721" s="94">
        <v>3926.4776318535955</v>
      </c>
      <c r="K721" s="94">
        <v>2.6720887833654823</v>
      </c>
      <c r="L721" s="94">
        <v>1</v>
      </c>
      <c r="M721" s="94">
        <v>0</v>
      </c>
      <c r="N721" s="94">
        <v>0</v>
      </c>
      <c r="O721" s="94">
        <v>0</v>
      </c>
    </row>
    <row r="722" spans="1:15" x14ac:dyDescent="0.25">
      <c r="A722" s="89">
        <v>44921.833333333336</v>
      </c>
      <c r="B722" s="94">
        <v>361.32533335505428</v>
      </c>
      <c r="C722" s="94">
        <v>300.42</v>
      </c>
      <c r="D722" s="94">
        <v>68.996795527790937</v>
      </c>
      <c r="E722" s="94">
        <v>5.74</v>
      </c>
      <c r="F722" s="94">
        <v>70.108001708984375</v>
      </c>
      <c r="G722" s="94">
        <v>5.7453469362826182</v>
      </c>
      <c r="H722" s="94">
        <v>0</v>
      </c>
      <c r="I722" s="94">
        <v>0</v>
      </c>
      <c r="J722" s="94">
        <v>2017</v>
      </c>
      <c r="K722" s="94">
        <v>2.2376081855836629</v>
      </c>
      <c r="L722" s="94">
        <v>1</v>
      </c>
      <c r="M722" s="94">
        <v>0</v>
      </c>
      <c r="N722" s="94">
        <v>0</v>
      </c>
      <c r="O722" s="94">
        <v>0</v>
      </c>
    </row>
    <row r="723" spans="1:15" x14ac:dyDescent="0.25">
      <c r="A723" s="89">
        <v>44922.333333333336</v>
      </c>
      <c r="B723" s="94">
        <v>361.32</v>
      </c>
      <c r="C723" s="94">
        <v>300.41766241882874</v>
      </c>
      <c r="D723" s="94">
        <v>69.599999999999994</v>
      </c>
      <c r="E723" s="94">
        <v>5.7394009258695258</v>
      </c>
      <c r="F723" s="94">
        <v>70.102995370652366</v>
      </c>
      <c r="G723" s="94">
        <v>5.743666788736979</v>
      </c>
      <c r="H723" s="94">
        <v>1</v>
      </c>
      <c r="I723" s="94">
        <v>0</v>
      </c>
      <c r="J723" s="94">
        <v>2022.1918676388793</v>
      </c>
      <c r="K723" s="94">
        <v>2.2394319995746184</v>
      </c>
      <c r="L723" s="94">
        <v>1</v>
      </c>
      <c r="M723" s="94">
        <v>0</v>
      </c>
      <c r="N723" s="94">
        <v>0</v>
      </c>
      <c r="O723" s="94">
        <v>0</v>
      </c>
    </row>
    <row r="724" spans="1:15" x14ac:dyDescent="0.25">
      <c r="A724" s="89">
        <v>44922.833333333336</v>
      </c>
      <c r="B724" s="94">
        <v>361.32</v>
      </c>
      <c r="C724" s="94">
        <v>300.83999999999997</v>
      </c>
      <c r="D724" s="94">
        <v>45.75070271594354</v>
      </c>
      <c r="E724" s="94">
        <v>2.8769605142332417</v>
      </c>
      <c r="F724" s="94">
        <v>44.863131600340438</v>
      </c>
      <c r="G724" s="94">
        <v>2.8951407911266354</v>
      </c>
      <c r="H724" s="94">
        <v>77.566455456521695</v>
      </c>
      <c r="I724" s="94">
        <v>16.502123748756073</v>
      </c>
      <c r="J724" s="94">
        <v>3958.0006334234286</v>
      </c>
      <c r="K724" s="94">
        <v>2.6779999999999999</v>
      </c>
      <c r="L724" s="94">
        <v>1</v>
      </c>
      <c r="M724" s="94">
        <v>0</v>
      </c>
      <c r="N724" s="94">
        <v>0</v>
      </c>
      <c r="O724" s="94">
        <v>0</v>
      </c>
    </row>
    <row r="725" spans="1:15" x14ac:dyDescent="0.25">
      <c r="A725" s="89">
        <v>44923.333333333336</v>
      </c>
      <c r="B725" s="94">
        <v>361.30229828222627</v>
      </c>
      <c r="C725" s="94">
        <v>300.83999999999997</v>
      </c>
      <c r="D725" s="94">
        <v>45</v>
      </c>
      <c r="E725" s="94">
        <v>2.8668489056511706</v>
      </c>
      <c r="F725" s="94">
        <v>42.657571509417572</v>
      </c>
      <c r="G725" s="94">
        <v>2.8768445166861381</v>
      </c>
      <c r="H725" s="94">
        <v>78.279429261475073</v>
      </c>
      <c r="I725" s="94">
        <v>16.521449890136719</v>
      </c>
      <c r="J725" s="94">
        <v>3947.9998562847295</v>
      </c>
      <c r="K725" s="94">
        <v>2.6760976889079182</v>
      </c>
      <c r="L725" s="94">
        <v>1</v>
      </c>
      <c r="M725" s="94">
        <v>0</v>
      </c>
      <c r="N725" s="94">
        <v>0</v>
      </c>
      <c r="O725" s="94">
        <v>0</v>
      </c>
    </row>
    <row r="726" spans="1:15" x14ac:dyDescent="0.25">
      <c r="A726" s="89">
        <v>44923.833333333336</v>
      </c>
      <c r="B726" s="94">
        <v>361.28</v>
      </c>
      <c r="C726" s="94">
        <v>300.95810115795274</v>
      </c>
      <c r="D726" s="94">
        <v>76.33139601255759</v>
      </c>
      <c r="E726" s="94">
        <v>6.3534981104784407</v>
      </c>
      <c r="F726" s="94">
        <v>45.946066792805986</v>
      </c>
      <c r="G726" s="94">
        <v>2.8884091511801064</v>
      </c>
      <c r="H726" s="94">
        <v>77.83029831965635</v>
      </c>
      <c r="I726" s="94">
        <v>16.705999755859374</v>
      </c>
      <c r="J726" s="94">
        <v>4491.8266850068776</v>
      </c>
      <c r="K726" s="94">
        <v>2.7734438517681417</v>
      </c>
      <c r="L726" s="94">
        <v>1</v>
      </c>
      <c r="M726" s="94">
        <v>0</v>
      </c>
      <c r="N726" s="94">
        <v>0</v>
      </c>
      <c r="O726" s="94">
        <v>0</v>
      </c>
    </row>
    <row r="727" spans="1:15" x14ac:dyDescent="0.25">
      <c r="A727" s="89">
        <v>44924.333333333336</v>
      </c>
      <c r="B727" s="94">
        <v>361.26620006952635</v>
      </c>
      <c r="C727" s="94">
        <v>300.95366098482378</v>
      </c>
      <c r="D727" s="94">
        <v>74.96060675264836</v>
      </c>
      <c r="E727" s="94">
        <v>6.3585425899324548</v>
      </c>
      <c r="F727" s="94">
        <v>46.7</v>
      </c>
      <c r="G727" s="94">
        <v>2.860582484786407</v>
      </c>
      <c r="H727" s="94">
        <v>78.22367569677067</v>
      </c>
      <c r="I727" s="94">
        <v>16.678558799494837</v>
      </c>
      <c r="J727" s="94">
        <v>4471.0022054421424</v>
      </c>
      <c r="K727" s="94">
        <v>2.7715650526996312</v>
      </c>
      <c r="L727" s="94">
        <v>1</v>
      </c>
      <c r="M727" s="94">
        <v>0</v>
      </c>
      <c r="N727" s="94">
        <v>0</v>
      </c>
      <c r="O727" s="94">
        <v>0</v>
      </c>
    </row>
    <row r="728" spans="1:15" x14ac:dyDescent="0.25">
      <c r="A728" s="89">
        <v>44924.833333333336</v>
      </c>
      <c r="B728" s="94">
        <v>361.25</v>
      </c>
      <c r="C728" s="94">
        <v>301.10586473046772</v>
      </c>
      <c r="D728" s="94">
        <v>81.8</v>
      </c>
      <c r="E728" s="94">
        <v>6.9592569782761897</v>
      </c>
      <c r="F728" s="94">
        <v>84</v>
      </c>
      <c r="G728" s="94">
        <v>7.0313577389291586</v>
      </c>
      <c r="H728" s="94">
        <v>85.010713401000274</v>
      </c>
      <c r="I728" s="94">
        <v>17.986960883493506</v>
      </c>
      <c r="J728" s="94">
        <v>5468</v>
      </c>
      <c r="K728" s="94">
        <v>2.9364579131959219</v>
      </c>
      <c r="L728" s="94">
        <v>1</v>
      </c>
      <c r="M728" s="94">
        <v>0</v>
      </c>
      <c r="N728" s="94">
        <v>0</v>
      </c>
      <c r="O728" s="94">
        <v>0</v>
      </c>
    </row>
    <row r="729" spans="1:15" x14ac:dyDescent="0.25">
      <c r="A729" s="89">
        <v>44925.333333333336</v>
      </c>
      <c r="B729" s="94">
        <v>361.22614407147728</v>
      </c>
      <c r="C729" s="94">
        <v>301.10559439684823</v>
      </c>
      <c r="D729" s="94">
        <v>83.705531747826441</v>
      </c>
      <c r="E729" s="94">
        <v>6.95</v>
      </c>
      <c r="F729" s="94">
        <v>83.734021396656573</v>
      </c>
      <c r="G729" s="94">
        <v>7.0221566736627148</v>
      </c>
      <c r="H729" s="94">
        <v>85.752676855811458</v>
      </c>
      <c r="I729" s="94">
        <v>18.024784191915202</v>
      </c>
      <c r="J729" s="94">
        <v>5506.9838277757963</v>
      </c>
      <c r="K729" s="94">
        <v>2.9416312867176013</v>
      </c>
      <c r="L729" s="94">
        <v>1</v>
      </c>
      <c r="M729" s="94">
        <v>0</v>
      </c>
      <c r="N729" s="94">
        <v>0</v>
      </c>
      <c r="O729" s="94">
        <v>0</v>
      </c>
    </row>
    <row r="730" spans="1:15" x14ac:dyDescent="0.25">
      <c r="A730" s="89">
        <v>44925.833333333336</v>
      </c>
      <c r="B730" s="94">
        <v>361.2</v>
      </c>
      <c r="C730" s="94">
        <v>301.32533473645111</v>
      </c>
      <c r="D730" s="94">
        <v>84.677118759314709</v>
      </c>
      <c r="E730" s="94">
        <v>6.9224247381698643</v>
      </c>
      <c r="F730" s="94">
        <v>83.948599243164068</v>
      </c>
      <c r="G730" s="94">
        <v>6.9425388522014977</v>
      </c>
      <c r="H730" s="94">
        <v>78.752546899726511</v>
      </c>
      <c r="I730" s="94">
        <v>16.693519158050069</v>
      </c>
      <c r="J730" s="94">
        <v>6851.9846896510362</v>
      </c>
      <c r="K730" s="94">
        <v>3.1368779589842695</v>
      </c>
      <c r="L730" s="94">
        <v>1</v>
      </c>
      <c r="M730" s="94">
        <v>0</v>
      </c>
      <c r="N730" s="94">
        <v>52</v>
      </c>
      <c r="O730" s="94">
        <v>0</v>
      </c>
    </row>
    <row r="731" spans="1:15" x14ac:dyDescent="0.25">
      <c r="A731" s="89">
        <v>44926.333333333336</v>
      </c>
      <c r="B731" s="94">
        <v>361.2</v>
      </c>
      <c r="C731" s="94">
        <v>301.32965461670875</v>
      </c>
      <c r="D731" s="94">
        <v>83.3</v>
      </c>
      <c r="E731" s="94">
        <v>6.9585743004976433</v>
      </c>
      <c r="F731" s="94">
        <v>83.808611880425048</v>
      </c>
      <c r="G731" s="94">
        <v>6.9417936442803088</v>
      </c>
      <c r="H731" s="94">
        <v>79.298267010835204</v>
      </c>
      <c r="I731" s="94">
        <v>16.489999999999998</v>
      </c>
      <c r="J731" s="94">
        <v>6788.0216023893317</v>
      </c>
      <c r="K731" s="94">
        <v>3.129</v>
      </c>
      <c r="L731" s="94">
        <v>1</v>
      </c>
      <c r="M731" s="94">
        <v>0</v>
      </c>
      <c r="N731" s="94">
        <v>52</v>
      </c>
      <c r="O731" s="94">
        <v>0</v>
      </c>
    </row>
    <row r="732" spans="1:15" x14ac:dyDescent="0.25">
      <c r="A732" s="89">
        <v>44926.833333333336</v>
      </c>
      <c r="B732" s="94">
        <v>361.2</v>
      </c>
      <c r="C732" s="94">
        <v>300.44</v>
      </c>
      <c r="D732" s="94">
        <v>72.3</v>
      </c>
      <c r="E732" s="94">
        <v>5.701179667952621</v>
      </c>
      <c r="F732" s="94">
        <v>71.900000000000006</v>
      </c>
      <c r="G732" s="94">
        <v>5.6665623038934818</v>
      </c>
      <c r="H732" s="94">
        <v>0.8</v>
      </c>
      <c r="I732" s="94">
        <v>0</v>
      </c>
      <c r="J732" s="94">
        <v>2005.9975821858566</v>
      </c>
      <c r="K732" s="94">
        <v>2.2337294564837649</v>
      </c>
      <c r="L732" s="94">
        <v>1</v>
      </c>
      <c r="M732" s="94">
        <v>0</v>
      </c>
      <c r="N732" s="94">
        <v>0</v>
      </c>
      <c r="O732" s="94">
        <v>0</v>
      </c>
    </row>
    <row r="733" spans="1:15" x14ac:dyDescent="0.25">
      <c r="A733" s="89">
        <v>44927.333333333336</v>
      </c>
      <c r="B733" s="94">
        <v>361.2</v>
      </c>
      <c r="C733" s="94">
        <v>300.41522989966353</v>
      </c>
      <c r="D733" s="94">
        <v>71.627218734269988</v>
      </c>
      <c r="E733" s="94">
        <v>5.6996665445963544</v>
      </c>
      <c r="F733" s="94">
        <v>71.497099304199224</v>
      </c>
      <c r="G733" s="94">
        <v>5.6826927952834074</v>
      </c>
      <c r="H733" s="94">
        <v>1</v>
      </c>
      <c r="I733" s="94">
        <v>0</v>
      </c>
      <c r="J733" s="94">
        <v>2006.0042057766223</v>
      </c>
      <c r="K733" s="94">
        <v>2.234182120068454</v>
      </c>
      <c r="L733" s="94">
        <v>1</v>
      </c>
      <c r="M733" s="94">
        <v>0</v>
      </c>
      <c r="N733" s="94">
        <v>0</v>
      </c>
      <c r="O733" s="94">
        <v>0</v>
      </c>
    </row>
    <row r="734" spans="1:15" x14ac:dyDescent="0.25">
      <c r="A734" s="89">
        <v>44927.833333333336</v>
      </c>
      <c r="B734" s="94">
        <v>361.2</v>
      </c>
      <c r="C734" s="94">
        <v>300.41298027462432</v>
      </c>
      <c r="D734" s="94">
        <v>71.7</v>
      </c>
      <c r="E734" s="94">
        <v>5.7029170940797185</v>
      </c>
      <c r="F734" s="94">
        <v>71.670646733541929</v>
      </c>
      <c r="G734" s="94">
        <v>5.6992599487304689</v>
      </c>
      <c r="H734" s="94">
        <v>1</v>
      </c>
      <c r="I734" s="94">
        <v>0</v>
      </c>
      <c r="J734" s="94">
        <v>2010</v>
      </c>
      <c r="K734" s="94">
        <v>2.2349999999999999</v>
      </c>
      <c r="L734" s="94">
        <v>1</v>
      </c>
      <c r="M734" s="94">
        <v>0</v>
      </c>
      <c r="N734" s="94">
        <v>0</v>
      </c>
      <c r="O734" s="94">
        <v>0</v>
      </c>
    </row>
    <row r="735" spans="1:15" x14ac:dyDescent="0.25">
      <c r="A735" s="89">
        <v>44928.333333333336</v>
      </c>
      <c r="B735" s="94">
        <v>361.2</v>
      </c>
      <c r="C735" s="94">
        <v>300.41708031785015</v>
      </c>
      <c r="D735" s="94">
        <v>71.400000000000006</v>
      </c>
      <c r="E735" s="94">
        <v>5.686421368498408</v>
      </c>
      <c r="F735" s="94">
        <v>71.158332978432142</v>
      </c>
      <c r="G735" s="94">
        <v>5.6757468391559671</v>
      </c>
      <c r="H735" s="94">
        <v>1</v>
      </c>
      <c r="I735" s="94">
        <v>0</v>
      </c>
      <c r="J735" s="94">
        <v>2010</v>
      </c>
      <c r="K735" s="94">
        <v>2.2366639729086097</v>
      </c>
      <c r="L735" s="94">
        <v>1</v>
      </c>
      <c r="M735" s="94">
        <v>0</v>
      </c>
      <c r="N735" s="94">
        <v>0</v>
      </c>
      <c r="O735" s="94">
        <v>0</v>
      </c>
    </row>
    <row r="736" spans="1:15" x14ac:dyDescent="0.25">
      <c r="A736" s="89">
        <v>44928.833333333336</v>
      </c>
      <c r="B736" s="94">
        <v>361.2</v>
      </c>
      <c r="C736" s="94">
        <v>300.41000000000003</v>
      </c>
      <c r="D736" s="94">
        <v>71.387458121147489</v>
      </c>
      <c r="E736" s="94">
        <v>5.7003697323994116</v>
      </c>
      <c r="F736" s="94">
        <v>70.99639892578125</v>
      </c>
      <c r="G736" s="94">
        <v>5.6662366333218355</v>
      </c>
      <c r="H736" s="94">
        <v>1</v>
      </c>
      <c r="I736" s="94">
        <v>0</v>
      </c>
      <c r="J736" s="94">
        <v>2016.007025618361</v>
      </c>
      <c r="K736" s="94">
        <v>2.236464669873484</v>
      </c>
      <c r="L736" s="94">
        <v>1</v>
      </c>
      <c r="M736" s="94">
        <v>0</v>
      </c>
      <c r="N736" s="94">
        <v>0</v>
      </c>
      <c r="O736" s="94">
        <v>0</v>
      </c>
    </row>
    <row r="737" spans="1:15" x14ac:dyDescent="0.25">
      <c r="A737" s="89">
        <v>44929.333333333336</v>
      </c>
      <c r="B737" s="94">
        <v>361.20490683821998</v>
      </c>
      <c r="C737" s="94">
        <v>300.41000000000003</v>
      </c>
      <c r="D737" s="94">
        <v>70.900000000000006</v>
      </c>
      <c r="E737" s="94">
        <v>5.6981729738642919</v>
      </c>
      <c r="F737" s="94">
        <v>69.947698974609381</v>
      </c>
      <c r="G737" s="94">
        <v>5.6896803982323361</v>
      </c>
      <c r="H737" s="94">
        <v>1.0202790129543777</v>
      </c>
      <c r="I737" s="94">
        <v>0</v>
      </c>
      <c r="J737" s="94">
        <v>2010</v>
      </c>
      <c r="K737" s="94">
        <v>2.2349999999999999</v>
      </c>
      <c r="L737" s="94">
        <v>0.26995269273914474</v>
      </c>
      <c r="M737" s="94">
        <v>0</v>
      </c>
      <c r="N737" s="94">
        <v>0</v>
      </c>
      <c r="O737" s="94">
        <v>0</v>
      </c>
    </row>
    <row r="738" spans="1:15" x14ac:dyDescent="0.25">
      <c r="A738" s="89">
        <v>44929.833333333336</v>
      </c>
      <c r="B738" s="94">
        <v>361.21</v>
      </c>
      <c r="C738" s="94">
        <v>300.41618064878662</v>
      </c>
      <c r="D738" s="94">
        <v>71.291233317057291</v>
      </c>
      <c r="E738" s="94">
        <v>5.7076311976696301</v>
      </c>
      <c r="F738" s="94">
        <v>70.138678001142409</v>
      </c>
      <c r="G738" s="94">
        <v>5.6749334078325795</v>
      </c>
      <c r="H738" s="94">
        <v>1</v>
      </c>
      <c r="I738" s="94">
        <v>0</v>
      </c>
      <c r="J738" s="94">
        <v>2010</v>
      </c>
      <c r="K738" s="94">
        <v>2.2336568079198247</v>
      </c>
      <c r="L738" s="94">
        <v>1</v>
      </c>
      <c r="M738" s="94">
        <v>0</v>
      </c>
      <c r="N738" s="94">
        <v>0</v>
      </c>
      <c r="O738" s="94">
        <v>0</v>
      </c>
    </row>
    <row r="739" spans="1:15" x14ac:dyDescent="0.25">
      <c r="A739" s="89">
        <v>44930.333333333336</v>
      </c>
      <c r="B739" s="94">
        <v>361.21</v>
      </c>
      <c r="C739" s="94">
        <v>300.4165351150175</v>
      </c>
      <c r="D739" s="94">
        <v>70.978399658203131</v>
      </c>
      <c r="E739" s="94">
        <v>5.6896084198915347</v>
      </c>
      <c r="F739" s="94">
        <v>68.91732969196957</v>
      </c>
      <c r="G739" s="94">
        <v>5.6789153414835916</v>
      </c>
      <c r="H739" s="94">
        <v>1.0167237319381333</v>
      </c>
      <c r="I739" s="94">
        <v>0</v>
      </c>
      <c r="J739" s="94">
        <v>2007.5965617851114</v>
      </c>
      <c r="K739" s="94">
        <v>2.2337938991879778</v>
      </c>
      <c r="L739" s="94">
        <v>1</v>
      </c>
      <c r="M739" s="94">
        <v>0</v>
      </c>
      <c r="N739" s="94">
        <v>0</v>
      </c>
      <c r="O739" s="94">
        <v>0</v>
      </c>
    </row>
    <row r="740" spans="1:15" x14ac:dyDescent="0.25">
      <c r="A740" s="89">
        <v>44930.833333333336</v>
      </c>
      <c r="B740" s="94">
        <v>361.21</v>
      </c>
      <c r="C740" s="94">
        <v>300.41000000000003</v>
      </c>
      <c r="D740" s="94">
        <v>70.859128526865675</v>
      </c>
      <c r="E740" s="94">
        <v>5.6973033827280455</v>
      </c>
      <c r="F740" s="94">
        <v>68.400000000000006</v>
      </c>
      <c r="G740" s="94">
        <v>5.66</v>
      </c>
      <c r="H740" s="94">
        <v>1.0124986654061037</v>
      </c>
      <c r="I740" s="94">
        <v>0</v>
      </c>
      <c r="J740" s="94">
        <v>2003.9935483198665</v>
      </c>
      <c r="K740" s="94">
        <v>2.2335765916846522</v>
      </c>
      <c r="L740" s="94">
        <v>1</v>
      </c>
      <c r="M740" s="94">
        <v>0</v>
      </c>
      <c r="N740" s="94">
        <v>0</v>
      </c>
      <c r="O740" s="94">
        <v>0</v>
      </c>
    </row>
    <row r="741" spans="1:15" x14ac:dyDescent="0.25">
      <c r="A741" s="89">
        <v>44931.333333333336</v>
      </c>
      <c r="B741" s="94">
        <v>361.22496379161902</v>
      </c>
      <c r="C741" s="94">
        <v>300.41000000000003</v>
      </c>
      <c r="D741" s="94">
        <v>70.40838251920934</v>
      </c>
      <c r="E741" s="94">
        <v>5.6787739740962015</v>
      </c>
      <c r="F741" s="94">
        <v>67.200013350122504</v>
      </c>
      <c r="G741" s="94">
        <v>5.65</v>
      </c>
      <c r="H741" s="94">
        <v>1.0122489399687571</v>
      </c>
      <c r="I741" s="94">
        <v>0</v>
      </c>
      <c r="J741" s="94">
        <v>1996.0013751942081</v>
      </c>
      <c r="K741" s="94">
        <v>2.2311328433622255</v>
      </c>
      <c r="L741" s="94">
        <v>1</v>
      </c>
      <c r="M741" s="94">
        <v>0</v>
      </c>
      <c r="N741" s="94">
        <v>0</v>
      </c>
      <c r="O741" s="94">
        <v>0</v>
      </c>
    </row>
    <row r="742" spans="1:15" x14ac:dyDescent="0.25">
      <c r="A742" s="89">
        <v>44931.833333333336</v>
      </c>
      <c r="B742" s="94">
        <v>361.24</v>
      </c>
      <c r="C742" s="94">
        <v>300.41000000000003</v>
      </c>
      <c r="D742" s="94">
        <v>70.536599731445307</v>
      </c>
      <c r="E742" s="94">
        <v>5.6505578690335065</v>
      </c>
      <c r="F742" s="94">
        <v>67.336962663593241</v>
      </c>
      <c r="G742" s="94">
        <v>5.6506922358775</v>
      </c>
      <c r="H742" s="94">
        <v>1.0547222475353457</v>
      </c>
      <c r="I742" s="94">
        <v>0</v>
      </c>
      <c r="J742" s="94">
        <v>1997.4079426281394</v>
      </c>
      <c r="K742" s="94">
        <v>2.2309999999999999</v>
      </c>
      <c r="L742" s="94">
        <v>1</v>
      </c>
      <c r="M742" s="94">
        <v>0</v>
      </c>
      <c r="N742" s="94">
        <v>0</v>
      </c>
      <c r="O742" s="94">
        <v>0</v>
      </c>
    </row>
    <row r="743" spans="1:15" x14ac:dyDescent="0.25">
      <c r="A743" s="89">
        <v>44932.333333333336</v>
      </c>
      <c r="B743" s="94">
        <v>361.25024717350908</v>
      </c>
      <c r="C743" s="94">
        <v>300.41000000000003</v>
      </c>
      <c r="D743" s="94">
        <v>70.076864832268427</v>
      </c>
      <c r="E743" s="94">
        <v>5.671143709825528</v>
      </c>
      <c r="F743" s="94">
        <v>67.041630241957606</v>
      </c>
      <c r="G743" s="94">
        <v>5.6596489080028771</v>
      </c>
      <c r="H743" s="94">
        <v>1.147746341764915</v>
      </c>
      <c r="I743" s="94">
        <v>0</v>
      </c>
      <c r="J743" s="94">
        <v>1996</v>
      </c>
      <c r="K743" s="94">
        <v>2.2334168282951827</v>
      </c>
      <c r="L743" s="94">
        <v>0</v>
      </c>
      <c r="M743" s="94">
        <v>0</v>
      </c>
      <c r="N743" s="94">
        <v>0</v>
      </c>
      <c r="O743" s="94">
        <v>0</v>
      </c>
    </row>
    <row r="744" spans="1:15" x14ac:dyDescent="0.25">
      <c r="A744" s="89">
        <v>44932.833333333336</v>
      </c>
      <c r="B744" s="94">
        <v>361.26</v>
      </c>
      <c r="C744" s="94">
        <v>300.72275492665534</v>
      </c>
      <c r="D744" s="94">
        <v>43.979111966083821</v>
      </c>
      <c r="E744" s="94">
        <v>2.6979955660882196</v>
      </c>
      <c r="F744" s="94">
        <v>46.749308152104796</v>
      </c>
      <c r="G744" s="94">
        <v>2.6507400512695312</v>
      </c>
      <c r="H744" s="94">
        <v>68.607392963885331</v>
      </c>
      <c r="I744" s="94">
        <v>13.57547396284971</v>
      </c>
      <c r="J744" s="94">
        <v>3481.0050929297281</v>
      </c>
      <c r="K744" s="94">
        <v>2.5840146029163038</v>
      </c>
      <c r="L744" s="94">
        <v>1</v>
      </c>
      <c r="M744" s="94">
        <v>0</v>
      </c>
      <c r="N744" s="94">
        <v>0</v>
      </c>
      <c r="O744" s="94">
        <v>0</v>
      </c>
    </row>
    <row r="745" spans="1:15" x14ac:dyDescent="0.25">
      <c r="A745" s="89">
        <v>44933.333333333336</v>
      </c>
      <c r="B745" s="94">
        <v>361.26</v>
      </c>
      <c r="C745" s="94">
        <v>300.71969923313793</v>
      </c>
      <c r="D745" s="94">
        <v>42.5</v>
      </c>
      <c r="E745" s="94">
        <v>2.6732132975260416</v>
      </c>
      <c r="F745" s="94">
        <v>42.25199246177695</v>
      </c>
      <c r="G745" s="94">
        <v>2.6662123690849322</v>
      </c>
      <c r="H745" s="94">
        <v>69.672272537173598</v>
      </c>
      <c r="I745" s="94">
        <v>13.729075497700366</v>
      </c>
      <c r="J745" s="94">
        <v>3479</v>
      </c>
      <c r="K745" s="94">
        <v>2.5876223019541817</v>
      </c>
      <c r="L745" s="94">
        <v>0</v>
      </c>
      <c r="M745" s="94">
        <v>0</v>
      </c>
      <c r="N745" s="94">
        <v>0</v>
      </c>
      <c r="O745" s="94">
        <v>0</v>
      </c>
    </row>
    <row r="746" spans="1:15" x14ac:dyDescent="0.25">
      <c r="A746" s="89">
        <v>44933.833333333336</v>
      </c>
      <c r="B746" s="94">
        <v>361.26</v>
      </c>
      <c r="C746" s="94">
        <v>300.70999999999998</v>
      </c>
      <c r="D746" s="94">
        <v>43</v>
      </c>
      <c r="E746" s="94">
        <v>2.6666132558672886</v>
      </c>
      <c r="F746" s="94">
        <v>44.977790409980308</v>
      </c>
      <c r="G746" s="94">
        <v>2.7132900717794888</v>
      </c>
      <c r="H746" s="94">
        <v>68.509297137469161</v>
      </c>
      <c r="I746" s="94">
        <v>13.56</v>
      </c>
      <c r="J746" s="94">
        <v>3480.9574892577216</v>
      </c>
      <c r="K746" s="94">
        <v>2.5860004756031407</v>
      </c>
      <c r="L746" s="94">
        <v>1</v>
      </c>
      <c r="M746" s="94">
        <v>0</v>
      </c>
      <c r="N746" s="94">
        <v>0</v>
      </c>
      <c r="O746" s="94">
        <v>0</v>
      </c>
    </row>
    <row r="747" spans="1:15" x14ac:dyDescent="0.25">
      <c r="A747" s="89">
        <v>44934.333333333336</v>
      </c>
      <c r="B747" s="94">
        <v>361.26</v>
      </c>
      <c r="C747" s="94">
        <v>300.70999999999998</v>
      </c>
      <c r="D747" s="94">
        <v>42.711616178942677</v>
      </c>
      <c r="E747" s="94">
        <v>2.6809237981432119</v>
      </c>
      <c r="F747" s="94">
        <v>44.33534576855395</v>
      </c>
      <c r="G747" s="94">
        <v>2.6595782394215157</v>
      </c>
      <c r="H747" s="94">
        <v>69.2</v>
      </c>
      <c r="I747" s="94">
        <v>13.659048004150391</v>
      </c>
      <c r="J747" s="94">
        <v>3505.0307607564723</v>
      </c>
      <c r="K747" s="94">
        <v>2.589176898998323</v>
      </c>
      <c r="L747" s="94">
        <v>1</v>
      </c>
      <c r="M747" s="94">
        <v>0</v>
      </c>
      <c r="N747" s="94">
        <v>0</v>
      </c>
      <c r="O747" s="94">
        <v>0</v>
      </c>
    </row>
    <row r="748" spans="1:15" x14ac:dyDescent="0.25">
      <c r="A748" s="89">
        <v>44934.833333333336</v>
      </c>
      <c r="B748" s="94">
        <v>361.26</v>
      </c>
      <c r="C748" s="94">
        <v>301.10000000000002</v>
      </c>
      <c r="D748" s="94">
        <v>84.199553945389397</v>
      </c>
      <c r="E748" s="94">
        <v>6.9471142243349489</v>
      </c>
      <c r="F748" s="94">
        <v>83.358633499208224</v>
      </c>
      <c r="G748" s="94">
        <v>6.9210410875210018</v>
      </c>
      <c r="H748" s="94">
        <v>85.772352806730268</v>
      </c>
      <c r="I748" s="94">
        <v>17.971531823249986</v>
      </c>
      <c r="J748" s="94">
        <v>5508.9873947323367</v>
      </c>
      <c r="K748" s="94">
        <v>2.9416485772972778</v>
      </c>
      <c r="L748" s="94">
        <v>1</v>
      </c>
      <c r="M748" s="94">
        <v>0</v>
      </c>
      <c r="N748" s="94">
        <v>0</v>
      </c>
      <c r="O748" s="94">
        <v>0</v>
      </c>
    </row>
    <row r="749" spans="1:15" x14ac:dyDescent="0.25">
      <c r="A749" s="89">
        <v>44935.333333333336</v>
      </c>
      <c r="B749" s="94">
        <v>361.22837235926767</v>
      </c>
      <c r="C749" s="94">
        <v>301.10000000000002</v>
      </c>
      <c r="D749" s="94">
        <v>84.9</v>
      </c>
      <c r="E749" s="94">
        <v>6.9410781506974475</v>
      </c>
      <c r="F749" s="94">
        <v>83.5</v>
      </c>
      <c r="G749" s="94">
        <v>6.9373962344723452</v>
      </c>
      <c r="H749" s="94">
        <v>85.433205615053694</v>
      </c>
      <c r="I749" s="94">
        <v>18.01606897879368</v>
      </c>
      <c r="J749" s="94">
        <v>5497.9265985121419</v>
      </c>
      <c r="K749" s="94">
        <v>2.9405564023213713</v>
      </c>
      <c r="L749" s="94">
        <v>1</v>
      </c>
      <c r="M749" s="94">
        <v>0</v>
      </c>
      <c r="N749" s="94">
        <v>0</v>
      </c>
      <c r="O749" s="94">
        <v>0</v>
      </c>
    </row>
    <row r="750" spans="1:15" x14ac:dyDescent="0.25">
      <c r="A750" s="89">
        <v>44935.833333333336</v>
      </c>
      <c r="B750" s="94">
        <v>361.2</v>
      </c>
      <c r="C750" s="94">
        <v>301.48963145340053</v>
      </c>
      <c r="D750" s="94">
        <v>85.402348658621733</v>
      </c>
      <c r="E750" s="94">
        <v>6.924796694648478</v>
      </c>
      <c r="F750" s="94">
        <v>84.195596222643516</v>
      </c>
      <c r="G750" s="94">
        <v>6.9382677645623669</v>
      </c>
      <c r="H750" s="94">
        <v>86.2</v>
      </c>
      <c r="I750" s="94">
        <v>17.99317733974895</v>
      </c>
      <c r="J750" s="94">
        <v>8361.2482176407848</v>
      </c>
      <c r="K750" s="94">
        <v>3.3374145336570584</v>
      </c>
      <c r="L750" s="94">
        <v>1</v>
      </c>
      <c r="M750" s="94">
        <v>51</v>
      </c>
      <c r="N750" s="94">
        <v>50</v>
      </c>
      <c r="O750" s="94">
        <v>0</v>
      </c>
    </row>
    <row r="751" spans="1:15" x14ac:dyDescent="0.25">
      <c r="A751" s="89">
        <v>44936.333333333336</v>
      </c>
      <c r="B751" s="94">
        <v>361.15153936858934</v>
      </c>
      <c r="C751" s="94">
        <v>301.53117059305384</v>
      </c>
      <c r="D751" s="94">
        <v>85.2</v>
      </c>
      <c r="E751" s="94">
        <v>6.922188449848024</v>
      </c>
      <c r="F751" s="94">
        <v>84.1</v>
      </c>
      <c r="G751" s="94">
        <v>6.9311718938771563</v>
      </c>
      <c r="H751" s="94">
        <v>87</v>
      </c>
      <c r="I751" s="94">
        <v>18.000438744618382</v>
      </c>
      <c r="J751" s="94">
        <v>8462.3804216324697</v>
      </c>
      <c r="K751" s="94">
        <v>3.3498470531774891</v>
      </c>
      <c r="L751" s="94">
        <v>1</v>
      </c>
      <c r="M751" s="94">
        <v>51</v>
      </c>
      <c r="N751" s="94">
        <v>50</v>
      </c>
      <c r="O751" s="94">
        <v>0</v>
      </c>
    </row>
    <row r="752" spans="1:15" x14ac:dyDescent="0.25">
      <c r="A752" s="89">
        <v>44936.833333333336</v>
      </c>
      <c r="B752" s="94">
        <v>361.11</v>
      </c>
      <c r="C752" s="94">
        <v>301.72010783626041</v>
      </c>
      <c r="D752" s="94">
        <v>86.2</v>
      </c>
      <c r="E752" s="94">
        <v>6.9489806713209967</v>
      </c>
      <c r="F752" s="94">
        <v>84.910620117187506</v>
      </c>
      <c r="G752" s="94">
        <v>6.9512390055029654</v>
      </c>
      <c r="H752" s="94">
        <v>86.817504627764919</v>
      </c>
      <c r="I752" s="94">
        <v>18.032004236087285</v>
      </c>
      <c r="J752" s="94">
        <v>9949.9777518264818</v>
      </c>
      <c r="K752" s="94">
        <v>3.5334193458053105</v>
      </c>
      <c r="L752" s="94">
        <v>1</v>
      </c>
      <c r="M752" s="94">
        <v>92.095680518545393</v>
      </c>
      <c r="N752" s="94">
        <v>90</v>
      </c>
      <c r="O752" s="94">
        <v>0</v>
      </c>
    </row>
    <row r="753" spans="1:15" x14ac:dyDescent="0.25">
      <c r="A753" s="89">
        <v>44937.333333333336</v>
      </c>
      <c r="B753" s="94">
        <v>361.09362043275564</v>
      </c>
      <c r="C753" s="94">
        <v>301.72000000000003</v>
      </c>
      <c r="D753" s="94">
        <v>85.769922893111868</v>
      </c>
      <c r="E753" s="94">
        <v>6.9479320534223712</v>
      </c>
      <c r="F753" s="94">
        <v>85.120679465776291</v>
      </c>
      <c r="G753" s="94">
        <v>6.9368791930993563</v>
      </c>
      <c r="H753" s="94">
        <v>77.293034038137876</v>
      </c>
      <c r="I753" s="94">
        <v>15.69979995727539</v>
      </c>
      <c r="J753" s="94">
        <v>9629.9425156956768</v>
      </c>
      <c r="K753" s="94">
        <v>3.4940045364814054</v>
      </c>
      <c r="L753" s="94">
        <v>1</v>
      </c>
      <c r="M753" s="94">
        <v>92.240243024145414</v>
      </c>
      <c r="N753" s="94">
        <v>96</v>
      </c>
      <c r="O753" s="94">
        <v>0</v>
      </c>
    </row>
    <row r="754" spans="1:15" x14ac:dyDescent="0.25">
      <c r="A754" s="89">
        <v>44937.833333333336</v>
      </c>
      <c r="B754" s="94">
        <v>361.08</v>
      </c>
      <c r="C754" s="94">
        <v>301.74</v>
      </c>
      <c r="D754" s="94">
        <v>83.191134467659282</v>
      </c>
      <c r="E754" s="94">
        <v>6.93</v>
      </c>
      <c r="F754" s="94">
        <v>2.8496704343797261</v>
      </c>
      <c r="G754" s="94">
        <v>0</v>
      </c>
      <c r="H754" s="94">
        <v>84.4</v>
      </c>
      <c r="I754" s="94">
        <v>17.491279229291788</v>
      </c>
      <c r="J754" s="94">
        <v>10226.036134483798</v>
      </c>
      <c r="K754" s="94">
        <v>3.5683372202217778</v>
      </c>
      <c r="L754" s="94">
        <v>1</v>
      </c>
      <c r="M754" s="94">
        <v>93</v>
      </c>
      <c r="N754" s="94">
        <v>97</v>
      </c>
      <c r="O754" s="94">
        <v>59</v>
      </c>
    </row>
    <row r="755" spans="1:15" x14ac:dyDescent="0.25">
      <c r="A755" s="89">
        <v>44938.333333333336</v>
      </c>
      <c r="B755" s="94">
        <v>360.85</v>
      </c>
      <c r="C755" s="94">
        <v>301.73297524437737</v>
      </c>
      <c r="D755" s="94">
        <v>83.743474271997727</v>
      </c>
      <c r="E755" s="94">
        <v>6.9260786677026802</v>
      </c>
      <c r="F755" s="94">
        <v>3.9</v>
      </c>
      <c r="G755" s="94">
        <v>0</v>
      </c>
      <c r="H755" s="94">
        <v>84.881333692383819</v>
      </c>
      <c r="I755" s="94">
        <v>17.404379423862057</v>
      </c>
      <c r="J755" s="94">
        <v>10204.686391966698</v>
      </c>
      <c r="K755" s="94">
        <v>3.5641358844898994</v>
      </c>
      <c r="L755" s="94">
        <v>1</v>
      </c>
      <c r="M755" s="94">
        <v>92</v>
      </c>
      <c r="N755" s="94">
        <v>96</v>
      </c>
      <c r="O755" s="94">
        <v>58</v>
      </c>
    </row>
    <row r="756" spans="1:15" x14ac:dyDescent="0.25">
      <c r="A756" s="89">
        <v>44938.833333333336</v>
      </c>
      <c r="B756" s="94">
        <v>360.85</v>
      </c>
      <c r="C756" s="94">
        <v>301.733859439426</v>
      </c>
      <c r="D756" s="94">
        <v>83.95066769885814</v>
      </c>
      <c r="E756" s="94">
        <v>6.95</v>
      </c>
      <c r="F756" s="94">
        <v>4.1150146320642742</v>
      </c>
      <c r="G756" s="94">
        <v>0</v>
      </c>
      <c r="H756" s="94">
        <v>84.580327892083147</v>
      </c>
      <c r="I756" s="94">
        <v>17.404537637652737</v>
      </c>
      <c r="J756" s="94">
        <v>10312.686647626493</v>
      </c>
      <c r="K756" s="94">
        <v>3.574426991427849</v>
      </c>
      <c r="L756" s="94">
        <v>1</v>
      </c>
      <c r="M756" s="94">
        <v>93</v>
      </c>
      <c r="N756" s="94">
        <v>97</v>
      </c>
      <c r="O756" s="94">
        <v>59</v>
      </c>
    </row>
    <row r="757" spans="1:15" x14ac:dyDescent="0.25">
      <c r="A757" s="89">
        <v>44939.333333333336</v>
      </c>
      <c r="B757" s="94">
        <v>360.68</v>
      </c>
      <c r="C757" s="94">
        <v>301.73392722096008</v>
      </c>
      <c r="D757" s="94">
        <v>83.532325701392281</v>
      </c>
      <c r="E757" s="94">
        <v>6.9554668377727005</v>
      </c>
      <c r="F757" s="94">
        <v>3.9</v>
      </c>
      <c r="G757" s="94">
        <v>0</v>
      </c>
      <c r="H757" s="94">
        <v>85.332407499750673</v>
      </c>
      <c r="I757" s="94">
        <v>17.48307891868658</v>
      </c>
      <c r="J757" s="94">
        <v>10226.046628408842</v>
      </c>
      <c r="K757" s="94">
        <v>3.5683740788940059</v>
      </c>
      <c r="L757" s="94">
        <v>1</v>
      </c>
      <c r="M757" s="94">
        <v>92.0520452341501</v>
      </c>
      <c r="N757" s="94">
        <v>96.089939541574495</v>
      </c>
      <c r="O757" s="94">
        <v>58.0520452341501</v>
      </c>
    </row>
    <row r="758" spans="1:15" x14ac:dyDescent="0.25">
      <c r="A758" s="89">
        <v>44939.833333333336</v>
      </c>
      <c r="B758" s="94">
        <v>360.68</v>
      </c>
      <c r="C758" s="94">
        <v>301.74</v>
      </c>
      <c r="D758" s="94">
        <v>84.9</v>
      </c>
      <c r="E758" s="94">
        <v>6.9535847941898483</v>
      </c>
      <c r="F758" s="94">
        <v>4.0999999999999996</v>
      </c>
      <c r="G758" s="94">
        <v>0</v>
      </c>
      <c r="H758" s="94">
        <v>85.2</v>
      </c>
      <c r="I758" s="94">
        <v>17.309999999999999</v>
      </c>
      <c r="J758" s="94">
        <v>10262.48289369767</v>
      </c>
      <c r="K758" s="94">
        <v>3.5714040830610712</v>
      </c>
      <c r="L758" s="94">
        <v>1</v>
      </c>
      <c r="M758" s="94">
        <v>92.575663287239905</v>
      </c>
      <c r="N758" s="94">
        <v>96.576191717285823</v>
      </c>
      <c r="O758" s="94">
        <v>58.575663287239912</v>
      </c>
    </row>
    <row r="759" spans="1:15" x14ac:dyDescent="0.25">
      <c r="A759" s="89">
        <v>44940.333333333336</v>
      </c>
      <c r="B759" s="94">
        <v>360.68</v>
      </c>
      <c r="C759" s="94">
        <v>301.74</v>
      </c>
      <c r="D759" s="94">
        <v>84.592463795139537</v>
      </c>
      <c r="E759" s="94">
        <v>6.953860331261672</v>
      </c>
      <c r="F759" s="94">
        <v>3.9</v>
      </c>
      <c r="G759" s="94">
        <v>0</v>
      </c>
      <c r="H759" s="94">
        <v>86.156371163014072</v>
      </c>
      <c r="I759" s="94">
        <v>17.546099853515624</v>
      </c>
      <c r="J759" s="94">
        <v>10249.931957298171</v>
      </c>
      <c r="K759" s="94">
        <v>3.5694219557535054</v>
      </c>
      <c r="L759" s="94">
        <v>1</v>
      </c>
      <c r="M759" s="94">
        <v>92.908442662152837</v>
      </c>
      <c r="N759" s="94">
        <v>96.721573971666928</v>
      </c>
      <c r="O759" s="94">
        <v>58.908442662152837</v>
      </c>
    </row>
    <row r="760" spans="1:15" x14ac:dyDescent="0.25">
      <c r="A760" s="89">
        <v>44940.833333333336</v>
      </c>
      <c r="B760" s="94">
        <v>360.68</v>
      </c>
      <c r="C760" s="94">
        <v>301.44</v>
      </c>
      <c r="D760" s="94">
        <v>84.835533650716144</v>
      </c>
      <c r="E760" s="94">
        <v>6.9879249299947794</v>
      </c>
      <c r="F760" s="94">
        <v>4.1360635930841614</v>
      </c>
      <c r="G760" s="94">
        <v>0</v>
      </c>
      <c r="H760" s="94">
        <v>84.8</v>
      </c>
      <c r="I760" s="94">
        <v>17.395815007078813</v>
      </c>
      <c r="J760" s="94">
        <v>8071.6786904633409</v>
      </c>
      <c r="K760" s="94">
        <v>3.3010000000000002</v>
      </c>
      <c r="L760" s="94">
        <v>1</v>
      </c>
      <c r="M760" s="94">
        <v>74</v>
      </c>
      <c r="N760" s="94">
        <v>66</v>
      </c>
      <c r="O760" s="94">
        <v>0</v>
      </c>
    </row>
    <row r="761" spans="1:15" x14ac:dyDescent="0.25">
      <c r="A761" s="89">
        <v>44941.333333333336</v>
      </c>
      <c r="B761" s="94">
        <v>360.68</v>
      </c>
      <c r="C761" s="94">
        <v>301.44</v>
      </c>
      <c r="D761" s="94">
        <v>84.403220606972354</v>
      </c>
      <c r="E761" s="94">
        <v>6.9596359792133686</v>
      </c>
      <c r="F761" s="94">
        <v>3.937936737647302</v>
      </c>
      <c r="G761" s="94">
        <v>0</v>
      </c>
      <c r="H761" s="94">
        <v>85.73453704942996</v>
      </c>
      <c r="I761" s="94">
        <v>17.355389576465079</v>
      </c>
      <c r="J761" s="94">
        <v>8064.9817241132523</v>
      </c>
      <c r="K761" s="94">
        <v>3.298838959866722</v>
      </c>
      <c r="L761" s="94">
        <v>1</v>
      </c>
      <c r="M761" s="94">
        <v>74.894673665364579</v>
      </c>
      <c r="N761" s="94">
        <v>66</v>
      </c>
      <c r="O761" s="94">
        <v>0</v>
      </c>
    </row>
    <row r="762" spans="1:15" x14ac:dyDescent="0.25">
      <c r="A762" s="89">
        <v>44941.833333333336</v>
      </c>
      <c r="B762" s="94">
        <v>360.68</v>
      </c>
      <c r="C762" s="94">
        <v>301</v>
      </c>
      <c r="D762" s="94">
        <v>84.5062140645732</v>
      </c>
      <c r="E762" s="94">
        <v>7.0364644822031064</v>
      </c>
      <c r="F762" s="94">
        <v>4.1970016158043961</v>
      </c>
      <c r="G762" s="94">
        <v>0</v>
      </c>
      <c r="H762" s="94">
        <v>83.701063763651049</v>
      </c>
      <c r="I762" s="94">
        <v>17.374091310571679</v>
      </c>
      <c r="J762" s="94">
        <v>5009.5140639543324</v>
      </c>
      <c r="K762" s="94">
        <v>2.8616040205421429</v>
      </c>
      <c r="L762" s="94">
        <v>1</v>
      </c>
      <c r="M762" s="94">
        <v>0</v>
      </c>
      <c r="N762" s="94">
        <v>24</v>
      </c>
      <c r="O762" s="94">
        <v>0</v>
      </c>
    </row>
    <row r="763" spans="1:15" x14ac:dyDescent="0.25">
      <c r="A763" s="89">
        <v>44942.333333333336</v>
      </c>
      <c r="B763" s="94">
        <v>360.29</v>
      </c>
      <c r="C763" s="94">
        <v>301</v>
      </c>
      <c r="D763" s="94">
        <v>84.360760498046872</v>
      </c>
      <c r="E763" s="94">
        <v>7.0002388290846147</v>
      </c>
      <c r="F763" s="94">
        <v>4</v>
      </c>
      <c r="G763" s="94">
        <v>0</v>
      </c>
      <c r="H763" s="94">
        <v>84.993984287096069</v>
      </c>
      <c r="I763" s="94">
        <v>17.554529216407861</v>
      </c>
      <c r="J763" s="94">
        <v>5054.9957430969334</v>
      </c>
      <c r="K763" s="94">
        <v>2.8695360794004539</v>
      </c>
      <c r="L763" s="94">
        <v>1</v>
      </c>
      <c r="M763" s="94">
        <v>0</v>
      </c>
      <c r="N763" s="94">
        <v>24</v>
      </c>
      <c r="O763" s="94">
        <v>0</v>
      </c>
    </row>
    <row r="764" spans="1:15" x14ac:dyDescent="0.25">
      <c r="A764" s="89">
        <v>44942.833333333336</v>
      </c>
      <c r="B764" s="94">
        <v>360.29</v>
      </c>
      <c r="C764" s="94">
        <v>301.44</v>
      </c>
      <c r="D764" s="94">
        <v>84.422716575255379</v>
      </c>
      <c r="E764" s="94">
        <v>6.9501333238452974</v>
      </c>
      <c r="F764" s="94">
        <v>4.0999999999999996</v>
      </c>
      <c r="G764" s="94">
        <v>0</v>
      </c>
      <c r="H764" s="94">
        <v>85.375055709408073</v>
      </c>
      <c r="I764" s="94">
        <v>17.3694794562395</v>
      </c>
      <c r="J764" s="94">
        <v>7939.9274678428374</v>
      </c>
      <c r="K764" s="94">
        <v>3.2834203836737994</v>
      </c>
      <c r="L764" s="94">
        <v>1</v>
      </c>
      <c r="M764" s="94">
        <v>43</v>
      </c>
      <c r="N764" s="94">
        <v>43</v>
      </c>
      <c r="O764" s="94">
        <v>42</v>
      </c>
    </row>
    <row r="765" spans="1:15" x14ac:dyDescent="0.25">
      <c r="A765" s="89">
        <v>44943.333333333336</v>
      </c>
      <c r="B765" s="94">
        <v>360.26975863966572</v>
      </c>
      <c r="C765" s="94">
        <v>301.30987522807516</v>
      </c>
      <c r="D765" s="94">
        <v>84.20436572812595</v>
      </c>
      <c r="E765" s="94">
        <v>6.96</v>
      </c>
      <c r="F765" s="94">
        <v>3.9977974644875514</v>
      </c>
      <c r="G765" s="94">
        <v>0</v>
      </c>
      <c r="H765" s="94">
        <v>85.444359488571607</v>
      </c>
      <c r="I765" s="94">
        <v>17.425973396529315</v>
      </c>
      <c r="J765" s="94">
        <v>7016.8543145523245</v>
      </c>
      <c r="K765" s="94">
        <v>3.1610963080349497</v>
      </c>
      <c r="L765" s="94">
        <v>1</v>
      </c>
      <c r="M765" s="94">
        <v>31</v>
      </c>
      <c r="N765" s="94">
        <v>30</v>
      </c>
      <c r="O765" s="94">
        <v>30</v>
      </c>
    </row>
    <row r="766" spans="1:15" x14ac:dyDescent="0.25">
      <c r="A766" s="89">
        <v>44943.833333333336</v>
      </c>
      <c r="B766" s="94">
        <v>360.19</v>
      </c>
      <c r="C766" s="94">
        <v>301.29569810988761</v>
      </c>
      <c r="D766" s="94">
        <v>84.455456176726543</v>
      </c>
      <c r="E766" s="94">
        <v>6.9254131805157595</v>
      </c>
      <c r="F766" s="94">
        <v>4.2952766206875026</v>
      </c>
      <c r="G766" s="94">
        <v>0</v>
      </c>
      <c r="H766" s="94">
        <v>85.5</v>
      </c>
      <c r="I766" s="94">
        <v>17.502510187823635</v>
      </c>
      <c r="J766" s="94">
        <v>6996.0480883544269</v>
      </c>
      <c r="K766" s="94">
        <v>3.1585902724155157</v>
      </c>
      <c r="L766" s="94">
        <v>1</v>
      </c>
      <c r="M766" s="94">
        <v>31</v>
      </c>
      <c r="N766" s="94">
        <v>30</v>
      </c>
      <c r="O766" s="94">
        <v>30.46464842735039</v>
      </c>
    </row>
    <row r="767" spans="1:15" x14ac:dyDescent="0.25">
      <c r="A767" s="89">
        <v>44944.333333333336</v>
      </c>
      <c r="B767" s="94">
        <v>360.16847962598467</v>
      </c>
      <c r="C767" s="94">
        <v>301.30542152350688</v>
      </c>
      <c r="D767" s="94">
        <v>84.4</v>
      </c>
      <c r="E767" s="94">
        <v>6.9447246066900874</v>
      </c>
      <c r="F767" s="94">
        <v>4.0824113042594288</v>
      </c>
      <c r="G767" s="94">
        <v>0</v>
      </c>
      <c r="H767" s="94">
        <v>86.1</v>
      </c>
      <c r="I767" s="94">
        <v>17.454334385146566</v>
      </c>
      <c r="J767" s="94">
        <v>7067.9316729790853</v>
      </c>
      <c r="K767" s="94">
        <v>3.1668902166922535</v>
      </c>
      <c r="L767" s="94">
        <v>1</v>
      </c>
      <c r="M767" s="94">
        <v>31</v>
      </c>
      <c r="N767" s="94">
        <v>30</v>
      </c>
      <c r="O767" s="94">
        <v>30</v>
      </c>
    </row>
    <row r="768" spans="1:15" x14ac:dyDescent="0.25">
      <c r="A768" s="89">
        <v>44944.833333333336</v>
      </c>
      <c r="B768" s="94">
        <v>360.09</v>
      </c>
      <c r="C768" s="94">
        <v>301.16000000000003</v>
      </c>
      <c r="D768" s="94">
        <v>84.358654943773828</v>
      </c>
      <c r="E768" s="94">
        <v>6.93</v>
      </c>
      <c r="F768" s="94">
        <v>4.063861929034652</v>
      </c>
      <c r="G768" s="94">
        <v>0</v>
      </c>
      <c r="H768" s="94">
        <v>85.708847213191291</v>
      </c>
      <c r="I768" s="94">
        <v>17.480429779543531</v>
      </c>
      <c r="J768" s="94">
        <v>6051</v>
      </c>
      <c r="K768" s="94">
        <v>3.0251930600450376</v>
      </c>
      <c r="L768" s="94">
        <v>1</v>
      </c>
      <c r="M768" s="94">
        <v>19</v>
      </c>
      <c r="N768" s="94">
        <v>20</v>
      </c>
      <c r="O768" s="94">
        <v>20</v>
      </c>
    </row>
    <row r="769" spans="1:15" x14ac:dyDescent="0.25">
      <c r="A769" s="89">
        <v>44945.333333333336</v>
      </c>
      <c r="B769" s="94">
        <v>360.06654123725389</v>
      </c>
      <c r="C769" s="94">
        <v>301.17</v>
      </c>
      <c r="D769" s="94">
        <v>83.929171534946988</v>
      </c>
      <c r="E769" s="94">
        <v>6.9112602233886724</v>
      </c>
      <c r="F769" s="94">
        <v>3.8451871811235256</v>
      </c>
      <c r="G769" s="94">
        <v>0</v>
      </c>
      <c r="H769" s="94">
        <v>86.446497078158586</v>
      </c>
      <c r="I769" s="94">
        <v>17.402450703364849</v>
      </c>
      <c r="J769" s="94">
        <v>6064.9880623354484</v>
      </c>
      <c r="K769" s="94">
        <v>3.0259999999999998</v>
      </c>
      <c r="L769" s="94">
        <v>1</v>
      </c>
      <c r="M769" s="94">
        <v>19</v>
      </c>
      <c r="N769" s="94">
        <v>20</v>
      </c>
      <c r="O769" s="94">
        <v>20</v>
      </c>
    </row>
    <row r="770" spans="1:15" x14ac:dyDescent="0.25">
      <c r="A770" s="89">
        <v>44945.833333333336</v>
      </c>
      <c r="B770" s="94">
        <v>359.99</v>
      </c>
      <c r="C770" s="94">
        <v>300.97000000000003</v>
      </c>
      <c r="D770" s="94">
        <v>84.110158427377755</v>
      </c>
      <c r="E770" s="94">
        <v>6.9611413296612055</v>
      </c>
      <c r="F770" s="94">
        <v>3.9816150416842002</v>
      </c>
      <c r="G770" s="94">
        <v>0</v>
      </c>
      <c r="H770" s="94">
        <v>85.442025626049499</v>
      </c>
      <c r="I770" s="94">
        <v>17.394500274658203</v>
      </c>
      <c r="J770" s="94">
        <v>4856</v>
      </c>
      <c r="K770" s="94">
        <v>2.8393727656156265</v>
      </c>
      <c r="L770" s="94">
        <v>1</v>
      </c>
      <c r="M770" s="94">
        <v>0</v>
      </c>
      <c r="N770" s="94">
        <v>0</v>
      </c>
      <c r="O770" s="94">
        <v>20</v>
      </c>
    </row>
    <row r="771" spans="1:15" x14ac:dyDescent="0.25">
      <c r="A771" s="89">
        <v>44946.333333333336</v>
      </c>
      <c r="B771" s="94">
        <v>359.96501446219111</v>
      </c>
      <c r="C771" s="94">
        <v>300.9740845901959</v>
      </c>
      <c r="D771" s="94">
        <v>83.768525383922878</v>
      </c>
      <c r="E771" s="94">
        <v>7</v>
      </c>
      <c r="F771" s="94">
        <v>3.6602163082807255</v>
      </c>
      <c r="G771" s="94">
        <v>0</v>
      </c>
      <c r="H771" s="94">
        <v>86.7</v>
      </c>
      <c r="I771" s="94">
        <v>17.512041961673276</v>
      </c>
      <c r="J771" s="94">
        <v>4874</v>
      </c>
      <c r="K771" s="94">
        <v>2.8397024473356716</v>
      </c>
      <c r="L771" s="94">
        <v>1</v>
      </c>
      <c r="M771" s="94">
        <v>0</v>
      </c>
      <c r="N771" s="94">
        <v>0</v>
      </c>
      <c r="O771" s="94">
        <v>20</v>
      </c>
    </row>
    <row r="772" spans="1:15" x14ac:dyDescent="0.25">
      <c r="A772" s="89">
        <v>44946.833333333336</v>
      </c>
      <c r="B772" s="94">
        <v>359.89</v>
      </c>
      <c r="C772" s="94">
        <v>300.98</v>
      </c>
      <c r="D772" s="94">
        <v>83.9</v>
      </c>
      <c r="E772" s="94">
        <v>6.9483919697570196</v>
      </c>
      <c r="F772" s="94">
        <v>3.9</v>
      </c>
      <c r="G772" s="94">
        <v>0</v>
      </c>
      <c r="H772" s="94">
        <v>86.377264456167651</v>
      </c>
      <c r="I772" s="94">
        <v>17.483957404960201</v>
      </c>
      <c r="J772" s="94">
        <v>4909.8334905655602</v>
      </c>
      <c r="K772" s="94">
        <v>2.8443013112394033</v>
      </c>
      <c r="L772" s="94">
        <v>1</v>
      </c>
      <c r="M772" s="94">
        <v>0</v>
      </c>
      <c r="N772" s="94">
        <v>0</v>
      </c>
      <c r="O772" s="94">
        <v>21</v>
      </c>
    </row>
    <row r="773" spans="1:15" x14ac:dyDescent="0.25">
      <c r="A773" s="89">
        <v>44947.333333333336</v>
      </c>
      <c r="B773" s="94">
        <v>359.8669129592098</v>
      </c>
      <c r="C773" s="94">
        <v>300.97989152492187</v>
      </c>
      <c r="D773" s="94">
        <v>83.7</v>
      </c>
      <c r="E773" s="94">
        <v>6.9839080968140435</v>
      </c>
      <c r="F773" s="94">
        <v>3.7</v>
      </c>
      <c r="G773" s="94">
        <v>0</v>
      </c>
      <c r="H773" s="94">
        <v>86.8</v>
      </c>
      <c r="I773" s="94">
        <v>17.422927604310583</v>
      </c>
      <c r="J773" s="94">
        <v>4910.0100163294028</v>
      </c>
      <c r="K773" s="94">
        <v>2.8455107172156153</v>
      </c>
      <c r="L773" s="94">
        <v>1</v>
      </c>
      <c r="M773" s="94">
        <v>0</v>
      </c>
      <c r="N773" s="94">
        <v>0</v>
      </c>
      <c r="O773" s="94">
        <v>20</v>
      </c>
    </row>
    <row r="774" spans="1:15" x14ac:dyDescent="0.25">
      <c r="A774" s="89">
        <v>44947.833333333336</v>
      </c>
      <c r="B774" s="94">
        <v>359.8</v>
      </c>
      <c r="C774" s="94">
        <v>301.05888736965596</v>
      </c>
      <c r="D774" s="94">
        <v>84.103941608809507</v>
      </c>
      <c r="E774" s="94">
        <v>6.9541913869769143</v>
      </c>
      <c r="F774" s="94">
        <v>3.8911946652177605</v>
      </c>
      <c r="G774" s="94">
        <v>0</v>
      </c>
      <c r="H774" s="94">
        <v>86.203960217304711</v>
      </c>
      <c r="I774" s="94">
        <v>17.391737796515468</v>
      </c>
      <c r="J774" s="94">
        <v>5391.9933361282219</v>
      </c>
      <c r="K774" s="94">
        <v>2.9257578049664614</v>
      </c>
      <c r="L774" s="94">
        <v>1</v>
      </c>
      <c r="M774" s="94">
        <v>0</v>
      </c>
      <c r="N774" s="94">
        <v>35</v>
      </c>
      <c r="O774" s="94">
        <v>0</v>
      </c>
    </row>
    <row r="775" spans="1:15" x14ac:dyDescent="0.25">
      <c r="A775" s="89">
        <v>44948.333333333336</v>
      </c>
      <c r="B775" s="94">
        <v>359.8</v>
      </c>
      <c r="C775" s="94">
        <v>301.08</v>
      </c>
      <c r="D775" s="94">
        <v>85.3</v>
      </c>
      <c r="E775" s="94">
        <v>6.9444510096549203</v>
      </c>
      <c r="F775" s="94">
        <v>3.6689196777343751</v>
      </c>
      <c r="G775" s="94">
        <v>0</v>
      </c>
      <c r="H775" s="94">
        <v>87.3</v>
      </c>
      <c r="I775" s="94">
        <v>17.406889120769439</v>
      </c>
      <c r="J775" s="94">
        <v>5604</v>
      </c>
      <c r="K775" s="94">
        <v>2.955019750435953</v>
      </c>
      <c r="L775" s="94">
        <v>1</v>
      </c>
      <c r="M775" s="94">
        <v>0</v>
      </c>
      <c r="N775" s="94">
        <v>41</v>
      </c>
      <c r="O775" s="94">
        <v>0</v>
      </c>
    </row>
    <row r="776" spans="1:15" x14ac:dyDescent="0.25">
      <c r="A776" s="89">
        <v>44948.833333333336</v>
      </c>
      <c r="B776" s="94">
        <v>359.8</v>
      </c>
      <c r="C776" s="94">
        <v>301.08</v>
      </c>
      <c r="D776" s="94">
        <v>84.5</v>
      </c>
      <c r="E776" s="94">
        <v>6.9306587783818356</v>
      </c>
      <c r="F776" s="94">
        <v>3.5267393063840169</v>
      </c>
      <c r="G776" s="94">
        <v>0</v>
      </c>
      <c r="H776" s="94">
        <v>86.762263417564768</v>
      </c>
      <c r="I776" s="94">
        <v>17.498211814214464</v>
      </c>
      <c r="J776" s="94">
        <v>5629.9759217084065</v>
      </c>
      <c r="K776" s="94">
        <v>2.9592671199795242</v>
      </c>
      <c r="L776" s="94">
        <v>1</v>
      </c>
      <c r="M776" s="94">
        <v>0</v>
      </c>
      <c r="N776" s="94">
        <v>42</v>
      </c>
      <c r="O776" s="94">
        <v>0</v>
      </c>
    </row>
    <row r="777" spans="1:15" x14ac:dyDescent="0.25">
      <c r="A777" s="89">
        <v>44949.333333333336</v>
      </c>
      <c r="B777" s="94">
        <v>359.7</v>
      </c>
      <c r="C777" s="94">
        <v>301.08</v>
      </c>
      <c r="D777" s="94">
        <v>84.8</v>
      </c>
      <c r="E777" s="94">
        <v>6.95</v>
      </c>
      <c r="F777" s="94">
        <v>3.3</v>
      </c>
      <c r="G777" s="94">
        <v>0</v>
      </c>
      <c r="H777" s="94">
        <v>88.081117453914629</v>
      </c>
      <c r="I777" s="94">
        <v>17.443068633621419</v>
      </c>
      <c r="J777" s="94">
        <v>5609.9335644221801</v>
      </c>
      <c r="K777" s="94">
        <v>2.957948880355517</v>
      </c>
      <c r="L777" s="94">
        <v>0</v>
      </c>
      <c r="M777" s="94">
        <v>0</v>
      </c>
      <c r="N777" s="94">
        <v>41</v>
      </c>
      <c r="O777" s="94">
        <v>0</v>
      </c>
    </row>
    <row r="778" spans="1:15" x14ac:dyDescent="0.25">
      <c r="A778" s="89">
        <v>44949.833333333336</v>
      </c>
      <c r="B778" s="94">
        <v>359.7</v>
      </c>
      <c r="C778" s="94">
        <v>300.97000000000003</v>
      </c>
      <c r="D778" s="94">
        <v>74.099999999999994</v>
      </c>
      <c r="E778" s="94">
        <v>5.9810152128573177</v>
      </c>
      <c r="F778" s="94">
        <v>60.023209892977683</v>
      </c>
      <c r="G778" s="94">
        <v>3.9206720312766885</v>
      </c>
      <c r="H778" s="94">
        <v>78.555458078795084</v>
      </c>
      <c r="I778" s="94">
        <v>15.943424976063465</v>
      </c>
      <c r="J778" s="94">
        <v>4644.9856770646011</v>
      </c>
      <c r="K778" s="94">
        <v>2.8002490744261719</v>
      </c>
      <c r="L778" s="94">
        <v>1</v>
      </c>
      <c r="M778" s="94">
        <v>0</v>
      </c>
      <c r="N778" s="94">
        <v>0</v>
      </c>
      <c r="O778" s="94">
        <v>0</v>
      </c>
    </row>
    <row r="779" spans="1:15" x14ac:dyDescent="0.25">
      <c r="A779" s="89">
        <v>44950.333333333336</v>
      </c>
      <c r="B779" s="94">
        <v>359.66</v>
      </c>
      <c r="C779" s="94">
        <v>300.97000000000003</v>
      </c>
      <c r="D779" s="94">
        <v>74.366470485936446</v>
      </c>
      <c r="E779" s="94">
        <v>5.9712589555196489</v>
      </c>
      <c r="F779" s="94">
        <v>60.00975831584951</v>
      </c>
      <c r="G779" s="94">
        <v>4.0750587463378904</v>
      </c>
      <c r="H779" s="94">
        <v>78.998987135533824</v>
      </c>
      <c r="I779" s="94">
        <v>15.687305404785567</v>
      </c>
      <c r="J779" s="94">
        <v>4633.067182858189</v>
      </c>
      <c r="K779" s="94">
        <v>2.7994391310462139</v>
      </c>
      <c r="L779" s="94">
        <v>0</v>
      </c>
      <c r="M779" s="94">
        <v>0</v>
      </c>
      <c r="N779" s="94">
        <v>0</v>
      </c>
      <c r="O779" s="94">
        <v>0</v>
      </c>
    </row>
    <row r="780" spans="1:15" x14ac:dyDescent="0.25">
      <c r="A780" s="89">
        <v>44950.833333333336</v>
      </c>
      <c r="B780" s="94">
        <v>359.66</v>
      </c>
      <c r="C780" s="94">
        <v>300.97000000000003</v>
      </c>
      <c r="D780" s="94">
        <v>75.7</v>
      </c>
      <c r="E780" s="94">
        <v>5.9868173292372582</v>
      </c>
      <c r="F780" s="94">
        <v>60.785838099888387</v>
      </c>
      <c r="G780" s="94">
        <v>4.0286784786925312</v>
      </c>
      <c r="H780" s="94">
        <v>78.8866033932471</v>
      </c>
      <c r="I780" s="94">
        <v>16.062713234958199</v>
      </c>
      <c r="J780" s="94">
        <v>4626.539276225687</v>
      </c>
      <c r="K780" s="94">
        <v>2.7978694657588741</v>
      </c>
      <c r="L780" s="94">
        <v>1</v>
      </c>
      <c r="M780" s="94">
        <v>0</v>
      </c>
      <c r="N780" s="94">
        <v>0</v>
      </c>
      <c r="O780" s="94">
        <v>0</v>
      </c>
    </row>
    <row r="781" spans="1:15" x14ac:dyDescent="0.25">
      <c r="A781" s="89">
        <v>44951.333333333336</v>
      </c>
      <c r="B781" s="94">
        <v>359.59</v>
      </c>
      <c r="C781" s="94">
        <v>300.97000000000003</v>
      </c>
      <c r="D781" s="94">
        <v>75.547871427054403</v>
      </c>
      <c r="E781" s="94">
        <v>5.960672845184785</v>
      </c>
      <c r="F781" s="94">
        <v>61.194821862856671</v>
      </c>
      <c r="G781" s="94">
        <v>3.9429375628791803</v>
      </c>
      <c r="H781" s="94">
        <v>79.561943671114406</v>
      </c>
      <c r="I781" s="94">
        <v>15.97</v>
      </c>
      <c r="J781" s="94">
        <v>4670.4471591210631</v>
      </c>
      <c r="K781" s="94">
        <v>2.8054829169482769</v>
      </c>
      <c r="L781" s="94">
        <v>0.48448655326659162</v>
      </c>
      <c r="M781" s="94">
        <v>0</v>
      </c>
      <c r="N781" s="94">
        <v>0</v>
      </c>
      <c r="O781" s="94">
        <v>0</v>
      </c>
    </row>
    <row r="782" spans="1:15" x14ac:dyDescent="0.25">
      <c r="A782" s="89">
        <v>44951.833333333336</v>
      </c>
      <c r="B782" s="94">
        <v>359.59</v>
      </c>
      <c r="C782" s="94">
        <v>301.12</v>
      </c>
      <c r="D782" s="94">
        <v>87.870842851911277</v>
      </c>
      <c r="E782" s="94">
        <v>6.9863121639616734</v>
      </c>
      <c r="F782" s="94">
        <v>79.341983540852866</v>
      </c>
      <c r="G782" s="94">
        <v>6.4694871589085068</v>
      </c>
      <c r="H782" s="94">
        <v>78.700818128646631</v>
      </c>
      <c r="I782" s="94">
        <v>15.935589413251709</v>
      </c>
      <c r="J782" s="94">
        <v>5513.2500731439759</v>
      </c>
      <c r="K782" s="94">
        <v>2.943221559638618</v>
      </c>
      <c r="L782" s="94">
        <v>1</v>
      </c>
      <c r="M782" s="94">
        <v>0</v>
      </c>
      <c r="N782" s="94">
        <v>0</v>
      </c>
      <c r="O782" s="94">
        <v>10</v>
      </c>
    </row>
    <row r="783" spans="1:15" x14ac:dyDescent="0.25">
      <c r="A783" s="89">
        <v>44952.333333333336</v>
      </c>
      <c r="B783" s="94">
        <v>359.59</v>
      </c>
      <c r="C783" s="94">
        <v>301.12826521539171</v>
      </c>
      <c r="D783" s="94">
        <v>87.1</v>
      </c>
      <c r="E783" s="94">
        <v>6.9978470542566216</v>
      </c>
      <c r="F783" s="94">
        <v>79.697116230701553</v>
      </c>
      <c r="G783" s="94">
        <v>6.4402291862974561</v>
      </c>
      <c r="H783" s="94">
        <v>79.099999999999994</v>
      </c>
      <c r="I783" s="94">
        <v>15.888769989013673</v>
      </c>
      <c r="J783" s="94">
        <v>5516.051977158615</v>
      </c>
      <c r="K783" s="94">
        <v>2.9430561107354949</v>
      </c>
      <c r="L783" s="94">
        <v>1</v>
      </c>
      <c r="M783" s="94">
        <v>0</v>
      </c>
      <c r="N783" s="94">
        <v>0</v>
      </c>
      <c r="O783" s="94">
        <v>10</v>
      </c>
    </row>
    <row r="784" spans="1:15" x14ac:dyDescent="0.25">
      <c r="A784" s="89">
        <v>44952.833333333336</v>
      </c>
      <c r="B784" s="94">
        <v>359.59</v>
      </c>
      <c r="C784" s="94">
        <v>301.13913331773546</v>
      </c>
      <c r="D784" s="94">
        <v>87.366380964006694</v>
      </c>
      <c r="E784" s="94">
        <v>6.9889873149465656</v>
      </c>
      <c r="F784" s="94">
        <v>80.7</v>
      </c>
      <c r="G784" s="94">
        <v>6.4447751592939246</v>
      </c>
      <c r="H784" s="94">
        <v>78.259162517107825</v>
      </c>
      <c r="I784" s="94">
        <v>15.95</v>
      </c>
      <c r="J784" s="94">
        <v>5505.1361156773719</v>
      </c>
      <c r="K784" s="94">
        <v>2.9418240183474533</v>
      </c>
      <c r="L784" s="94">
        <v>1</v>
      </c>
      <c r="M784" s="94">
        <v>0</v>
      </c>
      <c r="N784" s="94">
        <v>0</v>
      </c>
      <c r="O784" s="94">
        <v>10</v>
      </c>
    </row>
    <row r="785" spans="1:15" x14ac:dyDescent="0.25">
      <c r="A785" s="89">
        <v>44953.333333333336</v>
      </c>
      <c r="B785" s="94">
        <v>359.56390639394556</v>
      </c>
      <c r="C785" s="94">
        <v>301.13211208015764</v>
      </c>
      <c r="D785" s="94">
        <v>87.1</v>
      </c>
      <c r="E785" s="94">
        <v>6.991869387385484</v>
      </c>
      <c r="F785" s="94">
        <v>80.462148529079059</v>
      </c>
      <c r="G785" s="94">
        <v>6.4367554230181199</v>
      </c>
      <c r="H785" s="94">
        <v>78.953315289957061</v>
      </c>
      <c r="I785" s="94">
        <v>16.022200317382815</v>
      </c>
      <c r="J785" s="94">
        <v>5495.5011994193992</v>
      </c>
      <c r="K785" s="94">
        <v>2.9408395877800322</v>
      </c>
      <c r="L785" s="94">
        <v>1</v>
      </c>
      <c r="M785" s="94">
        <v>0</v>
      </c>
      <c r="N785" s="94">
        <v>0</v>
      </c>
      <c r="O785" s="94">
        <v>10</v>
      </c>
    </row>
    <row r="786" spans="1:15" x14ac:dyDescent="0.25">
      <c r="A786" s="89">
        <v>44953.833333333336</v>
      </c>
      <c r="B786" s="94">
        <v>359.45</v>
      </c>
      <c r="C786" s="94">
        <v>300.95999999999998</v>
      </c>
      <c r="D786" s="94">
        <v>77.8</v>
      </c>
      <c r="E786" s="94">
        <v>6.29</v>
      </c>
      <c r="F786" s="94">
        <v>47.66758579963107</v>
      </c>
      <c r="G786" s="94">
        <v>2.8552506689091048</v>
      </c>
      <c r="H786" s="94">
        <v>80.8</v>
      </c>
      <c r="I786" s="94">
        <v>16.469360842657235</v>
      </c>
      <c r="J786" s="94">
        <v>4574.7437432395809</v>
      </c>
      <c r="K786" s="94">
        <v>2.7890531020300426</v>
      </c>
      <c r="L786" s="94">
        <v>1</v>
      </c>
      <c r="M786" s="94">
        <v>0</v>
      </c>
      <c r="N786" s="94">
        <v>0</v>
      </c>
      <c r="O786" s="94">
        <v>0</v>
      </c>
    </row>
    <row r="787" spans="1:15" x14ac:dyDescent="0.25">
      <c r="A787" s="89">
        <v>44954.333333333336</v>
      </c>
      <c r="B787" s="94">
        <v>359.45</v>
      </c>
      <c r="C787" s="94">
        <v>300.95999999999998</v>
      </c>
      <c r="D787" s="94">
        <v>78.349111012049477</v>
      </c>
      <c r="E787" s="94">
        <v>6.2392108827158639</v>
      </c>
      <c r="F787" s="94">
        <v>47.543687450036479</v>
      </c>
      <c r="G787" s="94">
        <v>2.897080687392783</v>
      </c>
      <c r="H787" s="94">
        <v>81.42463479709221</v>
      </c>
      <c r="I787" s="94">
        <v>16.510000000000002</v>
      </c>
      <c r="J787" s="94">
        <v>4600.6071602288603</v>
      </c>
      <c r="K787" s="94">
        <v>2.7933589417055846</v>
      </c>
      <c r="L787" s="94">
        <v>1</v>
      </c>
      <c r="M787" s="94">
        <v>0</v>
      </c>
      <c r="N787" s="94">
        <v>0</v>
      </c>
      <c r="O787" s="94">
        <v>0</v>
      </c>
    </row>
    <row r="788" spans="1:15" x14ac:dyDescent="0.25">
      <c r="A788" s="89">
        <v>44954.833333333336</v>
      </c>
      <c r="B788" s="94">
        <v>359.45</v>
      </c>
      <c r="C788" s="94">
        <v>300.95999999999998</v>
      </c>
      <c r="D788" s="94">
        <v>78.379874516139438</v>
      </c>
      <c r="E788" s="94">
        <v>6.2491006371756956</v>
      </c>
      <c r="F788" s="94">
        <v>47.929931197838343</v>
      </c>
      <c r="G788" s="94">
        <v>2.8399065625308082</v>
      </c>
      <c r="H788" s="94">
        <v>80.394906553582871</v>
      </c>
      <c r="I788" s="94">
        <v>16.470870208740234</v>
      </c>
      <c r="J788" s="94">
        <v>4616</v>
      </c>
      <c r="K788" s="94">
        <v>2.7952163583349057</v>
      </c>
      <c r="L788" s="94">
        <v>1</v>
      </c>
      <c r="M788" s="94">
        <v>0</v>
      </c>
      <c r="N788" s="94">
        <v>0</v>
      </c>
      <c r="O788" s="94">
        <v>0</v>
      </c>
    </row>
    <row r="789" spans="1:15" x14ac:dyDescent="0.25">
      <c r="A789" s="89">
        <v>44955.333333333336</v>
      </c>
      <c r="B789" s="94">
        <v>359.45</v>
      </c>
      <c r="C789" s="94">
        <v>300.95999999999998</v>
      </c>
      <c r="D789" s="94">
        <v>78.480500092752735</v>
      </c>
      <c r="E789" s="94">
        <v>6.2622230842955586</v>
      </c>
      <c r="F789" s="94">
        <v>49.488280393790411</v>
      </c>
      <c r="G789" s="94">
        <v>2.8833177110351862</v>
      </c>
      <c r="H789" s="94">
        <v>80.788728478753541</v>
      </c>
      <c r="I789" s="94">
        <v>16.436090981928249</v>
      </c>
      <c r="J789" s="94">
        <v>4599.1982771882958</v>
      </c>
      <c r="K789" s="94">
        <v>2.7928113675068986</v>
      </c>
      <c r="L789" s="94">
        <v>1</v>
      </c>
      <c r="M789" s="94">
        <v>0</v>
      </c>
      <c r="N789" s="94">
        <v>0</v>
      </c>
      <c r="O789" s="94">
        <v>0</v>
      </c>
    </row>
    <row r="790" spans="1:15" x14ac:dyDescent="0.25">
      <c r="A790" s="89">
        <v>44955.833333333336</v>
      </c>
      <c r="B790" s="94">
        <v>359.45</v>
      </c>
      <c r="C790" s="94">
        <v>300.83999999999997</v>
      </c>
      <c r="D790" s="94">
        <v>46.44271014246889</v>
      </c>
      <c r="E790" s="94">
        <v>2.9353437838739267</v>
      </c>
      <c r="F790" s="94">
        <v>46.436016551902497</v>
      </c>
      <c r="G790" s="94">
        <v>2.8523434658798501</v>
      </c>
      <c r="H790" s="94">
        <v>81.003864179149218</v>
      </c>
      <c r="I790" s="94">
        <v>16.566123350079568</v>
      </c>
      <c r="J790" s="94">
        <v>4082.9831104965551</v>
      </c>
      <c r="K790" s="94">
        <v>2.7015247345667404</v>
      </c>
      <c r="L790" s="94">
        <v>1</v>
      </c>
      <c r="M790" s="94">
        <v>0</v>
      </c>
      <c r="N790" s="94">
        <v>0</v>
      </c>
      <c r="O790" s="94">
        <v>0</v>
      </c>
    </row>
    <row r="791" spans="1:15" x14ac:dyDescent="0.25">
      <c r="A791" s="89">
        <v>44956.333333333336</v>
      </c>
      <c r="B791" s="94">
        <v>359.41146624788462</v>
      </c>
      <c r="C791" s="94">
        <v>300.83999999999997</v>
      </c>
      <c r="D791" s="94">
        <v>45.293812603325556</v>
      </c>
      <c r="E791" s="94">
        <v>2.915044309348819</v>
      </c>
      <c r="F791" s="94">
        <v>45.359227348526957</v>
      </c>
      <c r="G791" s="94">
        <v>2.8371293680409724</v>
      </c>
      <c r="H791" s="94">
        <v>79.467743455288115</v>
      </c>
      <c r="I791" s="94">
        <v>15.925466202382198</v>
      </c>
      <c r="J791" s="94">
        <v>4013.8152225469225</v>
      </c>
      <c r="K791" s="94">
        <v>2.6882694334355355</v>
      </c>
      <c r="L791" s="94">
        <v>0.51774208202645378</v>
      </c>
      <c r="M791" s="94">
        <v>0</v>
      </c>
      <c r="N791" s="94">
        <v>0</v>
      </c>
      <c r="O791" s="94">
        <v>0</v>
      </c>
    </row>
    <row r="792" spans="1:15" x14ac:dyDescent="0.25">
      <c r="A792" s="89">
        <v>44956.833333333336</v>
      </c>
      <c r="B792" s="94">
        <v>359.26</v>
      </c>
      <c r="C792" s="94">
        <v>300.17</v>
      </c>
      <c r="D792" s="94">
        <v>3.8453253735840529</v>
      </c>
      <c r="E792" s="94">
        <v>0</v>
      </c>
      <c r="F792" s="94">
        <v>3.7929553005749277</v>
      </c>
      <c r="G792" s="94">
        <v>0</v>
      </c>
      <c r="H792" s="94">
        <v>47.767786281741884</v>
      </c>
      <c r="I792" s="94">
        <v>7.3692686215032017</v>
      </c>
      <c r="J792" s="94">
        <v>1466</v>
      </c>
      <c r="K792" s="94">
        <v>2.069</v>
      </c>
      <c r="L792" s="94">
        <v>1</v>
      </c>
      <c r="M792" s="94">
        <v>0</v>
      </c>
      <c r="N792" s="94">
        <v>0</v>
      </c>
      <c r="O792" s="94">
        <v>0</v>
      </c>
    </row>
    <row r="793" spans="1:15" x14ac:dyDescent="0.25">
      <c r="A793" s="89">
        <v>44957.333333333336</v>
      </c>
      <c r="B793" s="94">
        <v>359.27045014468922</v>
      </c>
      <c r="C793" s="94">
        <v>300.17022763862911</v>
      </c>
      <c r="D793" s="94">
        <v>3.7040370938695779</v>
      </c>
      <c r="E793" s="94">
        <v>0</v>
      </c>
      <c r="F793" s="94">
        <v>3.6861277353922062</v>
      </c>
      <c r="G793" s="94">
        <v>0</v>
      </c>
      <c r="H793" s="94">
        <v>48.15540216430842</v>
      </c>
      <c r="I793" s="94">
        <v>7.4095669611893493</v>
      </c>
      <c r="J793" s="94">
        <v>1571.5319491559526</v>
      </c>
      <c r="K793" s="94">
        <v>2.1019765796044654</v>
      </c>
      <c r="L793" s="94">
        <v>1</v>
      </c>
      <c r="M793" s="94">
        <v>0</v>
      </c>
      <c r="N793" s="94">
        <v>0</v>
      </c>
      <c r="O793" s="94">
        <v>0</v>
      </c>
    </row>
    <row r="794" spans="1:15" x14ac:dyDescent="0.25">
      <c r="A794" s="89">
        <v>44957.833333333336</v>
      </c>
      <c r="B794" s="94">
        <v>359.31</v>
      </c>
      <c r="C794" s="94">
        <v>300.05578711276587</v>
      </c>
      <c r="D794" s="94">
        <v>73.883051923236266</v>
      </c>
      <c r="E794" s="94">
        <v>5.7861771994666116</v>
      </c>
      <c r="F794" s="94">
        <v>3.8545369245204655</v>
      </c>
      <c r="G794" s="94">
        <v>0</v>
      </c>
      <c r="H794" s="94">
        <v>0</v>
      </c>
      <c r="I794" s="94">
        <v>0</v>
      </c>
      <c r="J794" s="94">
        <v>996</v>
      </c>
      <c r="K794" s="94">
        <v>1.887</v>
      </c>
      <c r="L794" s="94">
        <v>1</v>
      </c>
      <c r="M794" s="94">
        <v>0</v>
      </c>
      <c r="N794" s="94">
        <v>0</v>
      </c>
      <c r="O794" s="94">
        <v>0</v>
      </c>
    </row>
    <row r="795" spans="1:15" x14ac:dyDescent="0.25">
      <c r="A795" s="89">
        <v>44958.333333333336</v>
      </c>
      <c r="B795" s="94">
        <v>359.32531936688491</v>
      </c>
      <c r="C795" s="94">
        <v>300.06</v>
      </c>
      <c r="D795" s="94">
        <v>73.595355108374292</v>
      </c>
      <c r="E795" s="94">
        <v>5.7711800826427195</v>
      </c>
      <c r="F795" s="94">
        <v>3.5095126444481664</v>
      </c>
      <c r="G795" s="94">
        <v>0</v>
      </c>
      <c r="H795" s="94">
        <v>1</v>
      </c>
      <c r="I795" s="94">
        <v>0</v>
      </c>
      <c r="J795" s="94">
        <v>997.00456338279298</v>
      </c>
      <c r="K795" s="94">
        <v>1.8889519858536785</v>
      </c>
      <c r="L795" s="94">
        <v>1</v>
      </c>
      <c r="M795" s="94">
        <v>0</v>
      </c>
      <c r="N795" s="94">
        <v>0</v>
      </c>
      <c r="O795" s="94">
        <v>0</v>
      </c>
    </row>
    <row r="796" spans="1:15" x14ac:dyDescent="0.25">
      <c r="A796" s="89">
        <v>44958.833333333336</v>
      </c>
      <c r="B796" s="94">
        <v>359.38</v>
      </c>
      <c r="C796" s="94">
        <v>299.77999999999997</v>
      </c>
      <c r="D796" s="94">
        <v>39.776419344815338</v>
      </c>
      <c r="E796" s="94">
        <v>2.5075300660303648</v>
      </c>
      <c r="F796" s="94">
        <v>3.9558886780518661</v>
      </c>
      <c r="G796" s="94">
        <v>0</v>
      </c>
      <c r="H796" s="94">
        <v>1</v>
      </c>
      <c r="I796" s="94">
        <v>0</v>
      </c>
      <c r="J796" s="94">
        <v>547.32899023354776</v>
      </c>
      <c r="K796" s="94">
        <v>1.6159176707322214</v>
      </c>
      <c r="L796" s="94">
        <v>1</v>
      </c>
      <c r="M796" s="94">
        <v>0</v>
      </c>
      <c r="N796" s="94">
        <v>0</v>
      </c>
      <c r="O796" s="94">
        <v>0</v>
      </c>
    </row>
    <row r="797" spans="1:15" x14ac:dyDescent="0.25">
      <c r="A797" s="89">
        <v>44959.333333333336</v>
      </c>
      <c r="B797" s="94">
        <v>359.3866382452519</v>
      </c>
      <c r="C797" s="94">
        <v>299.77999999999997</v>
      </c>
      <c r="D797" s="94">
        <v>39.4</v>
      </c>
      <c r="E797" s="94">
        <v>2.466153922186392</v>
      </c>
      <c r="F797" s="94">
        <v>3.5927000833213878</v>
      </c>
      <c r="G797" s="94">
        <v>0</v>
      </c>
      <c r="H797" s="94">
        <v>1.0154197182524727</v>
      </c>
      <c r="I797" s="94">
        <v>0</v>
      </c>
      <c r="J797" s="94">
        <v>551.40183950568337</v>
      </c>
      <c r="K797" s="94">
        <v>1.6186918296463677</v>
      </c>
      <c r="L797" s="94">
        <v>1</v>
      </c>
      <c r="M797" s="94">
        <v>0</v>
      </c>
      <c r="N797" s="94">
        <v>0</v>
      </c>
      <c r="O797" s="94">
        <v>0</v>
      </c>
    </row>
    <row r="798" spans="1:15" x14ac:dyDescent="0.25">
      <c r="A798" s="89">
        <v>44959.833333333336</v>
      </c>
      <c r="B798" s="94">
        <v>359.41</v>
      </c>
      <c r="C798" s="94">
        <v>299.77999999999997</v>
      </c>
      <c r="D798" s="94">
        <v>40.700000000000003</v>
      </c>
      <c r="E798" s="94">
        <v>2.4209210255000344</v>
      </c>
      <c r="F798" s="94">
        <v>3.9</v>
      </c>
      <c r="G798" s="94">
        <v>0</v>
      </c>
      <c r="H798" s="94">
        <v>1.0943068491509689</v>
      </c>
      <c r="I798" s="94">
        <v>0</v>
      </c>
      <c r="J798" s="94">
        <v>545.19938044072069</v>
      </c>
      <c r="K798" s="94">
        <v>1.6140000000000001</v>
      </c>
      <c r="L798" s="94">
        <v>1</v>
      </c>
      <c r="M798" s="94">
        <v>0</v>
      </c>
      <c r="N798" s="94">
        <v>0</v>
      </c>
      <c r="O798" s="94">
        <v>0</v>
      </c>
    </row>
    <row r="799" spans="1:15" x14ac:dyDescent="0.25">
      <c r="A799" s="89">
        <v>44960.333333333336</v>
      </c>
      <c r="B799" s="94">
        <v>359.4212396954768</v>
      </c>
      <c r="C799" s="94">
        <v>299.77999999999997</v>
      </c>
      <c r="D799" s="94">
        <v>39.459275126239135</v>
      </c>
      <c r="E799" s="94">
        <v>2.4971900978840451</v>
      </c>
      <c r="F799" s="94">
        <v>3.4648247146802218</v>
      </c>
      <c r="G799" s="94">
        <v>0</v>
      </c>
      <c r="H799" s="94">
        <v>1.2</v>
      </c>
      <c r="I799" s="94">
        <v>0</v>
      </c>
      <c r="J799" s="94">
        <v>545.3987939390521</v>
      </c>
      <c r="K799" s="94">
        <v>1.6155783121429581</v>
      </c>
      <c r="L799" s="94">
        <v>0.15750590035197601</v>
      </c>
      <c r="M799" s="94">
        <v>0</v>
      </c>
      <c r="N799" s="94">
        <v>0</v>
      </c>
      <c r="O799" s="94">
        <v>0</v>
      </c>
    </row>
    <row r="800" spans="1:15" x14ac:dyDescent="0.25">
      <c r="A800" s="89">
        <v>44960.833333333336</v>
      </c>
      <c r="B800" s="94">
        <v>359.46</v>
      </c>
      <c r="C800" s="94">
        <v>299.77999999999997</v>
      </c>
      <c r="D800" s="94">
        <v>39.584168470625762</v>
      </c>
      <c r="E800" s="94">
        <v>2.499720001220703</v>
      </c>
      <c r="F800" s="94">
        <v>3.5529944659623101</v>
      </c>
      <c r="G800" s="94">
        <v>0</v>
      </c>
      <c r="H800" s="94">
        <v>1.1420039690866903</v>
      </c>
      <c r="I800" s="94">
        <v>0</v>
      </c>
      <c r="J800" s="94">
        <v>545.80276490154188</v>
      </c>
      <c r="K800" s="94">
        <v>1.6160000000000001</v>
      </c>
      <c r="L800" s="94">
        <v>1</v>
      </c>
      <c r="M800" s="94">
        <v>0</v>
      </c>
      <c r="N800" s="94">
        <v>0</v>
      </c>
      <c r="O800" s="94">
        <v>0</v>
      </c>
    </row>
    <row r="801" spans="1:15" x14ac:dyDescent="0.25">
      <c r="A801" s="89">
        <v>44961.333333333336</v>
      </c>
      <c r="B801" s="94">
        <v>359.46</v>
      </c>
      <c r="C801" s="94">
        <v>299.77999999999997</v>
      </c>
      <c r="D801" s="94">
        <v>37.376020225324162</v>
      </c>
      <c r="E801" s="94">
        <v>2.4945918273785872</v>
      </c>
      <c r="F801" s="94">
        <v>3.258303159822928</v>
      </c>
      <c r="G801" s="94">
        <v>0</v>
      </c>
      <c r="H801" s="94">
        <v>1.2</v>
      </c>
      <c r="I801" s="94">
        <v>0</v>
      </c>
      <c r="J801" s="94">
        <v>551.99339690274201</v>
      </c>
      <c r="K801" s="94">
        <v>1.6188542573576787</v>
      </c>
      <c r="L801" s="94">
        <v>0</v>
      </c>
      <c r="M801" s="94">
        <v>0</v>
      </c>
      <c r="N801" s="94">
        <v>0</v>
      </c>
      <c r="O801" s="94">
        <v>0</v>
      </c>
    </row>
    <row r="802" spans="1:15" x14ac:dyDescent="0.25">
      <c r="A802" s="89">
        <v>44961.833333333336</v>
      </c>
      <c r="B802" s="94">
        <v>359.46</v>
      </c>
      <c r="C802" s="94">
        <v>300.35000000000002</v>
      </c>
      <c r="D802" s="94">
        <v>43.1</v>
      </c>
      <c r="E802" s="94">
        <v>2.501998414682479</v>
      </c>
      <c r="F802" s="94">
        <v>3.4</v>
      </c>
      <c r="G802" s="94">
        <v>0</v>
      </c>
      <c r="H802" s="94">
        <v>47.470745779181343</v>
      </c>
      <c r="I802" s="94">
        <v>6.9396017381597828</v>
      </c>
      <c r="J802" s="94">
        <v>1985</v>
      </c>
      <c r="K802" s="94">
        <v>2.2295114818336361</v>
      </c>
      <c r="L802" s="94">
        <v>0</v>
      </c>
      <c r="M802" s="94">
        <v>0</v>
      </c>
      <c r="N802" s="94">
        <v>0</v>
      </c>
      <c r="O802" s="94">
        <v>0</v>
      </c>
    </row>
    <row r="803" spans="1:15" x14ac:dyDescent="0.25">
      <c r="A803" s="89">
        <v>44962.333333333336</v>
      </c>
      <c r="B803" s="94">
        <v>359.46</v>
      </c>
      <c r="C803" s="94">
        <v>300.35000000000002</v>
      </c>
      <c r="D803" s="94">
        <v>42.947623409436133</v>
      </c>
      <c r="E803" s="94">
        <v>2.5369738839730713</v>
      </c>
      <c r="F803" s="94">
        <v>3.1</v>
      </c>
      <c r="G803" s="94">
        <v>0</v>
      </c>
      <c r="H803" s="94">
        <v>47.7</v>
      </c>
      <c r="I803" s="94">
        <v>7.1511236608509341</v>
      </c>
      <c r="J803" s="94">
        <v>1985</v>
      </c>
      <c r="K803" s="94">
        <v>2.2280000000000002</v>
      </c>
      <c r="L803" s="94">
        <v>0</v>
      </c>
      <c r="M803" s="94">
        <v>0</v>
      </c>
      <c r="N803" s="94">
        <v>0</v>
      </c>
      <c r="O803" s="94">
        <v>0</v>
      </c>
    </row>
    <row r="804" spans="1:15" x14ac:dyDescent="0.25">
      <c r="A804" s="89">
        <v>44962.833333333336</v>
      </c>
      <c r="B804" s="94">
        <v>359.46</v>
      </c>
      <c r="C804" s="94">
        <v>300.83066636294956</v>
      </c>
      <c r="D804" s="94">
        <v>85.25050663678887</v>
      </c>
      <c r="E804" s="94">
        <v>6.975753536010405</v>
      </c>
      <c r="F804" s="94">
        <v>3.5</v>
      </c>
      <c r="G804" s="94">
        <v>0</v>
      </c>
      <c r="H804" s="94">
        <v>78.941006037521973</v>
      </c>
      <c r="I804" s="94">
        <v>15.8852946008854</v>
      </c>
      <c r="J804" s="94">
        <v>3996</v>
      </c>
      <c r="K804" s="94">
        <v>2.6850000000000001</v>
      </c>
      <c r="L804" s="94">
        <v>1</v>
      </c>
      <c r="M804" s="94">
        <v>0</v>
      </c>
      <c r="N804" s="94">
        <v>0</v>
      </c>
      <c r="O804" s="94">
        <v>0</v>
      </c>
    </row>
    <row r="805" spans="1:15" x14ac:dyDescent="0.25">
      <c r="A805" s="89">
        <v>44963.333333333336</v>
      </c>
      <c r="B805" s="94">
        <v>359.46712050053111</v>
      </c>
      <c r="C805" s="94">
        <v>300.8346476927328</v>
      </c>
      <c r="D805" s="94">
        <v>84.537824934898808</v>
      </c>
      <c r="E805" s="94">
        <v>7.0099267986049147</v>
      </c>
      <c r="F805" s="94">
        <v>3.3854550313204204</v>
      </c>
      <c r="G805" s="94">
        <v>0</v>
      </c>
      <c r="H805" s="94">
        <v>78.900000000000006</v>
      </c>
      <c r="I805" s="94">
        <v>15.829369647191731</v>
      </c>
      <c r="J805" s="94">
        <v>3990.002720456886</v>
      </c>
      <c r="K805" s="94">
        <v>2.6843594173793113</v>
      </c>
      <c r="L805" s="94">
        <v>0.99024576984916923</v>
      </c>
      <c r="M805" s="94">
        <v>0</v>
      </c>
      <c r="N805" s="94">
        <v>0</v>
      </c>
      <c r="O805" s="94">
        <v>0</v>
      </c>
    </row>
    <row r="806" spans="1:15" x14ac:dyDescent="0.25">
      <c r="A806" s="89">
        <v>44963.833333333336</v>
      </c>
      <c r="B806" s="94">
        <v>359.49</v>
      </c>
      <c r="C806" s="94">
        <v>300.92248924698367</v>
      </c>
      <c r="D806" s="94">
        <v>84.979590749203766</v>
      </c>
      <c r="E806" s="94">
        <v>6.9811912441706028</v>
      </c>
      <c r="F806" s="94">
        <v>3.8957992553710938</v>
      </c>
      <c r="G806" s="94">
        <v>0</v>
      </c>
      <c r="H806" s="94">
        <v>82.427371958549415</v>
      </c>
      <c r="I806" s="94">
        <v>16.723307365547701</v>
      </c>
      <c r="J806" s="94">
        <v>4541.4466404978284</v>
      </c>
      <c r="K806" s="94">
        <v>2.7823925961738509</v>
      </c>
      <c r="L806" s="94">
        <v>1</v>
      </c>
      <c r="M806" s="94">
        <v>0</v>
      </c>
      <c r="N806" s="94">
        <v>0</v>
      </c>
      <c r="O806" s="94">
        <v>14</v>
      </c>
    </row>
    <row r="807" spans="1:15" x14ac:dyDescent="0.25">
      <c r="A807" s="89">
        <v>44964.333333333336</v>
      </c>
      <c r="B807" s="94">
        <v>359.47204772895276</v>
      </c>
      <c r="C807" s="94">
        <v>300.93</v>
      </c>
      <c r="D807" s="94">
        <v>84.9</v>
      </c>
      <c r="E807" s="94">
        <v>6.95</v>
      </c>
      <c r="F807" s="94">
        <v>3.7329243711494535</v>
      </c>
      <c r="G807" s="94">
        <v>0</v>
      </c>
      <c r="H807" s="94">
        <v>82.087931081411</v>
      </c>
      <c r="I807" s="94">
        <v>16.616720335481105</v>
      </c>
      <c r="J807" s="94">
        <v>4559.813904336067</v>
      </c>
      <c r="K807" s="94">
        <v>2.7863671250501891</v>
      </c>
      <c r="L807" s="94">
        <v>1</v>
      </c>
      <c r="M807" s="94">
        <v>0</v>
      </c>
      <c r="N807" s="94">
        <v>0</v>
      </c>
      <c r="O807" s="94">
        <v>13</v>
      </c>
    </row>
    <row r="808" spans="1:15" x14ac:dyDescent="0.25">
      <c r="A808" s="89">
        <v>44964.833333333336</v>
      </c>
      <c r="B808" s="94">
        <v>359.42</v>
      </c>
      <c r="C808" s="94">
        <v>300.95212879295201</v>
      </c>
      <c r="D808" s="94">
        <v>84.999309610456478</v>
      </c>
      <c r="E808" s="94">
        <v>6.9394998168945312</v>
      </c>
      <c r="F808" s="94">
        <v>4</v>
      </c>
      <c r="G808" s="94">
        <v>0</v>
      </c>
      <c r="H808" s="94">
        <v>82.021051796809189</v>
      </c>
      <c r="I808" s="94">
        <v>16.576499786376953</v>
      </c>
      <c r="J808" s="94">
        <v>4586.9185692769152</v>
      </c>
      <c r="K808" s="94">
        <v>2.7894151174568775</v>
      </c>
      <c r="L808" s="94">
        <v>1</v>
      </c>
      <c r="M808" s="94">
        <v>0</v>
      </c>
      <c r="N808" s="94">
        <v>0</v>
      </c>
      <c r="O808" s="94">
        <v>16</v>
      </c>
    </row>
    <row r="809" spans="1:15" x14ac:dyDescent="0.25">
      <c r="A809" s="89">
        <v>44965.333333333336</v>
      </c>
      <c r="B809" s="94">
        <v>359.40635952126513</v>
      </c>
      <c r="C809" s="94">
        <v>300.95721491897461</v>
      </c>
      <c r="D809" s="94">
        <v>84.9</v>
      </c>
      <c r="E809" s="94">
        <v>6.9663732910156249</v>
      </c>
      <c r="F809" s="94">
        <v>3.7977657549570885</v>
      </c>
      <c r="G809" s="94">
        <v>0</v>
      </c>
      <c r="H809" s="94">
        <v>81.900909693857869</v>
      </c>
      <c r="I809" s="94">
        <v>16.578154241723929</v>
      </c>
      <c r="J809" s="94">
        <v>4561.0354589300305</v>
      </c>
      <c r="K809" s="94">
        <v>2.7863967237759231</v>
      </c>
      <c r="L809" s="94">
        <v>1</v>
      </c>
      <c r="M809" s="94">
        <v>0</v>
      </c>
      <c r="N809" s="94">
        <v>0</v>
      </c>
      <c r="O809" s="94">
        <v>16</v>
      </c>
    </row>
    <row r="810" spans="1:15" x14ac:dyDescent="0.25">
      <c r="A810" s="89">
        <v>44965.833333333336</v>
      </c>
      <c r="B810" s="94">
        <v>359.37</v>
      </c>
      <c r="C810" s="94">
        <v>301.3</v>
      </c>
      <c r="D810" s="94">
        <v>88.5</v>
      </c>
      <c r="E810" s="94">
        <v>6.9808276029939753</v>
      </c>
      <c r="F810" s="94">
        <v>87.1</v>
      </c>
      <c r="G810" s="94">
        <v>6.9762720706260035</v>
      </c>
      <c r="H810" s="94">
        <v>79.153833346896704</v>
      </c>
      <c r="I810" s="94">
        <v>15.914311754762666</v>
      </c>
      <c r="J810" s="94">
        <v>6563</v>
      </c>
      <c r="K810" s="94">
        <v>3.097</v>
      </c>
      <c r="L810" s="94">
        <v>1</v>
      </c>
      <c r="M810" s="94">
        <v>0</v>
      </c>
      <c r="N810" s="94">
        <v>0</v>
      </c>
      <c r="O810" s="94">
        <v>45</v>
      </c>
    </row>
    <row r="811" spans="1:15" x14ac:dyDescent="0.25">
      <c r="A811" s="89">
        <v>44966.333333333336</v>
      </c>
      <c r="B811" s="94">
        <v>359.35058217350684</v>
      </c>
      <c r="C811" s="94">
        <v>301.3</v>
      </c>
      <c r="D811" s="94">
        <v>88.209408251040614</v>
      </c>
      <c r="E811" s="94">
        <v>6.9558404541015628</v>
      </c>
      <c r="F811" s="94">
        <v>87.024026495969096</v>
      </c>
      <c r="G811" s="94">
        <v>6.9698627677050071</v>
      </c>
      <c r="H811" s="94">
        <v>80.050528475255774</v>
      </c>
      <c r="I811" s="94">
        <v>16.032698974609374</v>
      </c>
      <c r="J811" s="94">
        <v>6605.0786951591926</v>
      </c>
      <c r="K811" s="94">
        <v>3.1023254308131767</v>
      </c>
      <c r="L811" s="94">
        <v>1</v>
      </c>
      <c r="M811" s="94">
        <v>0</v>
      </c>
      <c r="N811" s="94">
        <v>0</v>
      </c>
      <c r="O811" s="94">
        <v>45</v>
      </c>
    </row>
    <row r="812" spans="1:15" x14ac:dyDescent="0.25">
      <c r="A812" s="89">
        <v>44966.833333333336</v>
      </c>
      <c r="B812" s="94">
        <v>359.3</v>
      </c>
      <c r="C812" s="94">
        <v>301.4475546267621</v>
      </c>
      <c r="D812" s="94">
        <v>88.9</v>
      </c>
      <c r="E812" s="94">
        <v>6.9347847138427703</v>
      </c>
      <c r="F812" s="94">
        <v>87.4</v>
      </c>
      <c r="G812" s="94">
        <v>6.9400868290597417</v>
      </c>
      <c r="H812" s="94">
        <v>79.955360107421882</v>
      </c>
      <c r="I812" s="94">
        <v>15.859310223929514</v>
      </c>
      <c r="J812" s="94">
        <v>7564.0130474185826</v>
      </c>
      <c r="K812" s="94">
        <v>3.2371829069570306</v>
      </c>
      <c r="L812" s="94">
        <v>1</v>
      </c>
      <c r="M812" s="94">
        <v>0</v>
      </c>
      <c r="N812" s="94">
        <v>38.134243982505403</v>
      </c>
      <c r="O812" s="94">
        <v>38</v>
      </c>
    </row>
    <row r="813" spans="1:15" x14ac:dyDescent="0.25">
      <c r="A813" s="89">
        <v>44967.333333333336</v>
      </c>
      <c r="B813" s="94">
        <v>359.27155252936302</v>
      </c>
      <c r="C813" s="94">
        <v>301.4581426429155</v>
      </c>
      <c r="D813" s="94">
        <v>89.4</v>
      </c>
      <c r="E813" s="94">
        <v>6.9627828012830308</v>
      </c>
      <c r="F813" s="94">
        <v>87.4843637639826</v>
      </c>
      <c r="G813" s="94">
        <v>6.9581876991112708</v>
      </c>
      <c r="H813" s="94">
        <v>80.473418910386343</v>
      </c>
      <c r="I813" s="94">
        <v>15.915353508602161</v>
      </c>
      <c r="J813" s="94">
        <v>7586.0323379456167</v>
      </c>
      <c r="K813" s="94">
        <v>3.2385943833323112</v>
      </c>
      <c r="L813" s="94">
        <v>0</v>
      </c>
      <c r="M813" s="94">
        <v>0</v>
      </c>
      <c r="N813" s="94">
        <v>38</v>
      </c>
      <c r="O813" s="94">
        <v>38</v>
      </c>
    </row>
    <row r="814" spans="1:15" x14ac:dyDescent="0.25">
      <c r="A814" s="89">
        <v>44967.833333333336</v>
      </c>
      <c r="B814" s="94">
        <v>359.2</v>
      </c>
      <c r="C814" s="94">
        <v>301.16983678155333</v>
      </c>
      <c r="D814" s="94">
        <v>89.546409837077263</v>
      </c>
      <c r="E814" s="94">
        <v>6.9692819674154531</v>
      </c>
      <c r="F814" s="94">
        <v>87.90632765546664</v>
      </c>
      <c r="G814" s="94">
        <v>7.0119397049983823</v>
      </c>
      <c r="H814" s="94">
        <v>79.469640879768377</v>
      </c>
      <c r="I814" s="94">
        <v>15.928678478692531</v>
      </c>
      <c r="J814" s="94">
        <v>5616.9757654284685</v>
      </c>
      <c r="K814" s="94">
        <v>2.9589716632547129</v>
      </c>
      <c r="L814" s="94">
        <v>1</v>
      </c>
      <c r="M814" s="94">
        <v>0</v>
      </c>
      <c r="N814" s="94">
        <v>0</v>
      </c>
      <c r="O814" s="94">
        <v>11</v>
      </c>
    </row>
    <row r="815" spans="1:15" x14ac:dyDescent="0.25">
      <c r="A815" s="89">
        <v>44968.333333333336</v>
      </c>
      <c r="B815" s="94">
        <v>359.2</v>
      </c>
      <c r="C815" s="94">
        <v>301.16000000000003</v>
      </c>
      <c r="D815" s="94">
        <v>89.110011831337843</v>
      </c>
      <c r="E815" s="94">
        <v>7.0240074001590118</v>
      </c>
      <c r="F815" s="94">
        <v>87.821183158296805</v>
      </c>
      <c r="G815" s="94">
        <v>7.014739990234375</v>
      </c>
      <c r="H815" s="94">
        <v>79.839772684875669</v>
      </c>
      <c r="I815" s="94">
        <v>15.9</v>
      </c>
      <c r="J815" s="94">
        <v>5624.8447237815917</v>
      </c>
      <c r="K815" s="94">
        <v>2.9602048321837824</v>
      </c>
      <c r="L815" s="94">
        <v>1</v>
      </c>
      <c r="M815" s="94">
        <v>0</v>
      </c>
      <c r="N815" s="94">
        <v>0</v>
      </c>
      <c r="O815" s="94">
        <v>11</v>
      </c>
    </row>
    <row r="816" spans="1:15" x14ac:dyDescent="0.25">
      <c r="A816" s="89">
        <v>44968.833333333336</v>
      </c>
      <c r="B816" s="94">
        <v>359.2</v>
      </c>
      <c r="C816" s="94">
        <v>300.94</v>
      </c>
      <c r="D816" s="94">
        <v>75.250235378786655</v>
      </c>
      <c r="E816" s="94">
        <v>6.0091564788430309</v>
      </c>
      <c r="F816" s="94">
        <v>45.5</v>
      </c>
      <c r="G816" s="94">
        <v>2.8773008595988538</v>
      </c>
      <c r="H816" s="94">
        <v>79.189445490467335</v>
      </c>
      <c r="I816" s="94">
        <v>15.887733561197917</v>
      </c>
      <c r="J816" s="94">
        <v>4430.9941287103293</v>
      </c>
      <c r="K816" s="94">
        <v>2.7633996004438339</v>
      </c>
      <c r="L816" s="94">
        <v>1</v>
      </c>
      <c r="M816" s="94">
        <v>0</v>
      </c>
      <c r="N816" s="94">
        <v>0</v>
      </c>
      <c r="O816" s="94">
        <v>0</v>
      </c>
    </row>
    <row r="817" spans="1:15" x14ac:dyDescent="0.25">
      <c r="A817" s="89">
        <v>44969.333333333336</v>
      </c>
      <c r="B817" s="94">
        <v>359.2</v>
      </c>
      <c r="C817" s="94">
        <v>300.95999999999998</v>
      </c>
      <c r="D817" s="94">
        <v>74.046849395071234</v>
      </c>
      <c r="E817" s="94">
        <v>5.9583298812379857</v>
      </c>
      <c r="F817" s="94">
        <v>45.81613271117017</v>
      </c>
      <c r="G817" s="94">
        <v>2.8592458485339307</v>
      </c>
      <c r="H817" s="94">
        <v>79.944998953843992</v>
      </c>
      <c r="I817" s="94">
        <v>16.087439024390243</v>
      </c>
      <c r="J817" s="94">
        <v>4412.8134830110503</v>
      </c>
      <c r="K817" s="94">
        <v>2.7618707836692749</v>
      </c>
      <c r="L817" s="94">
        <v>1</v>
      </c>
      <c r="M817" s="94">
        <v>0</v>
      </c>
      <c r="N817" s="94">
        <v>0</v>
      </c>
      <c r="O817" s="94">
        <v>0</v>
      </c>
    </row>
    <row r="818" spans="1:15" x14ac:dyDescent="0.25">
      <c r="A818" s="89">
        <v>44969.833333333336</v>
      </c>
      <c r="B818" s="94">
        <v>359.2</v>
      </c>
      <c r="C818" s="94">
        <v>300.83999999999997</v>
      </c>
      <c r="D818" s="94">
        <v>47.794554851412045</v>
      </c>
      <c r="E818" s="94">
        <v>2.8854199981689455</v>
      </c>
      <c r="F818" s="94">
        <v>48.2</v>
      </c>
      <c r="G818" s="94">
        <v>2.8567606649985415</v>
      </c>
      <c r="H818" s="94">
        <v>78.935724002182383</v>
      </c>
      <c r="I818" s="94">
        <v>15.974358520507813</v>
      </c>
      <c r="J818" s="94">
        <v>3964</v>
      </c>
      <c r="K818" s="94">
        <v>2.6778032275417494</v>
      </c>
      <c r="L818" s="94">
        <v>1</v>
      </c>
      <c r="M818" s="94">
        <v>0</v>
      </c>
      <c r="N818" s="94">
        <v>0</v>
      </c>
      <c r="O818" s="94">
        <v>0</v>
      </c>
    </row>
    <row r="819" spans="1:15" x14ac:dyDescent="0.25">
      <c r="A819" s="89">
        <v>44970.333333333336</v>
      </c>
      <c r="B819" s="94">
        <v>358.98</v>
      </c>
      <c r="C819" s="94">
        <v>300.85000000000002</v>
      </c>
      <c r="D819" s="94">
        <v>47.455886660465119</v>
      </c>
      <c r="E819" s="94">
        <v>2.8979017408005854</v>
      </c>
      <c r="F819" s="94">
        <v>49.135895840558128</v>
      </c>
      <c r="G819" s="94">
        <v>2.8540458224722185</v>
      </c>
      <c r="H819" s="94">
        <v>81.882546566149003</v>
      </c>
      <c r="I819" s="94">
        <v>16.537429962158203</v>
      </c>
      <c r="J819" s="94">
        <v>4026.6619388161357</v>
      </c>
      <c r="K819" s="94">
        <v>2.6894877120716614</v>
      </c>
      <c r="L819" s="94">
        <v>1</v>
      </c>
      <c r="M819" s="94">
        <v>0</v>
      </c>
      <c r="N819" s="94">
        <v>0</v>
      </c>
      <c r="O819" s="94">
        <v>0</v>
      </c>
    </row>
    <row r="820" spans="1:15" x14ac:dyDescent="0.25">
      <c r="A820" s="89">
        <v>44970.833333333336</v>
      </c>
      <c r="B820" s="94">
        <v>358.98</v>
      </c>
      <c r="C820" s="94">
        <v>300.57</v>
      </c>
      <c r="D820" s="94">
        <v>46.9</v>
      </c>
      <c r="E820" s="94">
        <v>2.8336046493867513</v>
      </c>
      <c r="F820" s="94">
        <v>46.921981473098377</v>
      </c>
      <c r="G820" s="94">
        <v>2.9091590169693453</v>
      </c>
      <c r="H820" s="94">
        <v>48.422653614062583</v>
      </c>
      <c r="I820" s="94">
        <v>7.1683091492286541</v>
      </c>
      <c r="J820" s="94">
        <v>2672.3742595235558</v>
      </c>
      <c r="K820" s="94">
        <v>2.4066755086644833</v>
      </c>
      <c r="L820" s="94">
        <v>1</v>
      </c>
      <c r="M820" s="94">
        <v>0</v>
      </c>
      <c r="N820" s="94">
        <v>0</v>
      </c>
      <c r="O820" s="94">
        <v>0</v>
      </c>
    </row>
    <row r="821" spans="1:15" x14ac:dyDescent="0.25">
      <c r="A821" s="89">
        <v>44971.333333333336</v>
      </c>
      <c r="B821" s="94">
        <v>358.94</v>
      </c>
      <c r="C821" s="94">
        <v>300.56415468177823</v>
      </c>
      <c r="D821" s="94">
        <v>46.271338305181281</v>
      </c>
      <c r="E821" s="94">
        <v>2.8925434550175653</v>
      </c>
      <c r="F821" s="94">
        <v>47.277340922183541</v>
      </c>
      <c r="G821" s="94">
        <v>2.9389007568359378</v>
      </c>
      <c r="H821" s="94">
        <v>48.883641852883223</v>
      </c>
      <c r="I821" s="94">
        <v>7.1847637939453124</v>
      </c>
      <c r="J821" s="94">
        <v>2679.5262258392363</v>
      </c>
      <c r="K821" s="94">
        <v>2.4083502348734767</v>
      </c>
      <c r="L821" s="94">
        <v>3.8468767497768647E-2</v>
      </c>
      <c r="M821" s="94">
        <v>0</v>
      </c>
      <c r="N821" s="94">
        <v>0</v>
      </c>
      <c r="O821" s="94">
        <v>0</v>
      </c>
    </row>
    <row r="822" spans="1:15" x14ac:dyDescent="0.25">
      <c r="A822" s="89">
        <v>44971.833333333336</v>
      </c>
      <c r="B822" s="94">
        <v>358.94</v>
      </c>
      <c r="C822" s="94">
        <v>300.64999999999998</v>
      </c>
      <c r="D822" s="94">
        <v>65.276424499253068</v>
      </c>
      <c r="E822" s="94">
        <v>4.88349714947715</v>
      </c>
      <c r="F822" s="94">
        <v>48.105101790611528</v>
      </c>
      <c r="G822" s="94">
        <v>2.8795804589824416</v>
      </c>
      <c r="H822" s="94">
        <v>48.9</v>
      </c>
      <c r="I822" s="94">
        <v>7.4970307237610827</v>
      </c>
      <c r="J822" s="94">
        <v>2969.5872385629609</v>
      </c>
      <c r="K822" s="94">
        <v>2.4760103650607106</v>
      </c>
      <c r="L822" s="94">
        <v>1</v>
      </c>
      <c r="M822" s="94">
        <v>0</v>
      </c>
      <c r="N822" s="94">
        <v>0</v>
      </c>
      <c r="O822" s="94">
        <v>0</v>
      </c>
    </row>
    <row r="823" spans="1:15" x14ac:dyDescent="0.25">
      <c r="A823" s="89">
        <v>44972.333333333336</v>
      </c>
      <c r="B823" s="94">
        <v>358.94</v>
      </c>
      <c r="C823" s="94">
        <v>300.64999999999998</v>
      </c>
      <c r="D823" s="94">
        <v>63.999066501193575</v>
      </c>
      <c r="E823" s="94">
        <v>4.8791163403499098</v>
      </c>
      <c r="F823" s="94">
        <v>49.199353731595558</v>
      </c>
      <c r="G823" s="94">
        <v>2.8775296064222573</v>
      </c>
      <c r="H823" s="94">
        <v>49.081290174370857</v>
      </c>
      <c r="I823" s="94">
        <v>7.267592555747715</v>
      </c>
      <c r="J823" s="94">
        <v>2994.7912961899715</v>
      </c>
      <c r="K823" s="94">
        <v>2.4808480905528958</v>
      </c>
      <c r="L823" s="94">
        <v>1</v>
      </c>
      <c r="M823" s="94">
        <v>0</v>
      </c>
      <c r="N823" s="94">
        <v>0</v>
      </c>
      <c r="O823" s="94">
        <v>0</v>
      </c>
    </row>
    <row r="824" spans="1:15" x14ac:dyDescent="0.25">
      <c r="A824" s="89">
        <v>44972.833333333336</v>
      </c>
      <c r="B824" s="94">
        <v>358.94</v>
      </c>
      <c r="C824" s="94">
        <v>300.64999999999998</v>
      </c>
      <c r="D824" s="94">
        <v>66.22868563062228</v>
      </c>
      <c r="E824" s="94">
        <v>4.8927973232523394</v>
      </c>
      <c r="F824" s="94">
        <v>47.3</v>
      </c>
      <c r="G824" s="94">
        <v>2.8644654126398588</v>
      </c>
      <c r="H824" s="94">
        <v>48.463018827638273</v>
      </c>
      <c r="I824" s="94">
        <v>7.1321997070312495</v>
      </c>
      <c r="J824" s="94">
        <v>2997.201238259674</v>
      </c>
      <c r="K824" s="94">
        <v>2.4803699336443801</v>
      </c>
      <c r="L824" s="94">
        <v>1</v>
      </c>
      <c r="M824" s="94">
        <v>0</v>
      </c>
      <c r="N824" s="94">
        <v>0</v>
      </c>
      <c r="O824" s="94">
        <v>0</v>
      </c>
    </row>
    <row r="825" spans="1:15" x14ac:dyDescent="0.25">
      <c r="A825" s="89">
        <v>44973.333333333336</v>
      </c>
      <c r="B825" s="94">
        <v>358.93</v>
      </c>
      <c r="C825" s="94">
        <v>300.64999999999998</v>
      </c>
      <c r="D825" s="94">
        <v>65.053972084746704</v>
      </c>
      <c r="E825" s="94">
        <v>4.915556932966024</v>
      </c>
      <c r="F825" s="94">
        <v>49.8634943738261</v>
      </c>
      <c r="G825" s="94">
        <v>2.885195671803976</v>
      </c>
      <c r="H825" s="94">
        <v>49.1</v>
      </c>
      <c r="I825" s="94">
        <v>7.3515816833575416</v>
      </c>
      <c r="J825" s="94">
        <v>2997.2098072006993</v>
      </c>
      <c r="K825" s="94">
        <v>2.4809999999999999</v>
      </c>
      <c r="L825" s="94">
        <v>1</v>
      </c>
      <c r="M825" s="94">
        <v>0</v>
      </c>
      <c r="N825" s="94">
        <v>0</v>
      </c>
      <c r="O825" s="94">
        <v>0</v>
      </c>
    </row>
    <row r="826" spans="1:15" x14ac:dyDescent="0.25">
      <c r="A826" s="89">
        <v>44973.833333333336</v>
      </c>
      <c r="B826" s="94">
        <v>358.93</v>
      </c>
      <c r="C826" s="94">
        <v>300.77</v>
      </c>
      <c r="D826" s="94">
        <v>45.43890193830952</v>
      </c>
      <c r="E826" s="94">
        <v>2.6756089055385504</v>
      </c>
      <c r="F826" s="94">
        <v>42.2</v>
      </c>
      <c r="G826" s="94">
        <v>2.5940078766113221</v>
      </c>
      <c r="H826" s="94">
        <v>73.20571738996243</v>
      </c>
      <c r="I826" s="94">
        <v>14.188190354541375</v>
      </c>
      <c r="J826" s="94">
        <v>3653.8281393218786</v>
      </c>
      <c r="K826" s="94">
        <v>2.6198858643876428</v>
      </c>
      <c r="L826" s="94">
        <v>1</v>
      </c>
      <c r="M826" s="94">
        <v>0</v>
      </c>
      <c r="N826" s="94">
        <v>0</v>
      </c>
      <c r="O826" s="94">
        <v>0</v>
      </c>
    </row>
    <row r="827" spans="1:15" x14ac:dyDescent="0.25">
      <c r="A827" s="89">
        <v>44974.333333333336</v>
      </c>
      <c r="B827" s="94">
        <v>358.9</v>
      </c>
      <c r="C827" s="94">
        <v>300.76528501721054</v>
      </c>
      <c r="D827" s="94">
        <v>44.3</v>
      </c>
      <c r="E827" s="94">
        <v>2.7006368235474474</v>
      </c>
      <c r="F827" s="94">
        <v>44.3</v>
      </c>
      <c r="G827" s="94">
        <v>2.7041907476886551</v>
      </c>
      <c r="H827" s="94">
        <v>73.8</v>
      </c>
      <c r="I827" s="94">
        <v>14.250129042122161</v>
      </c>
      <c r="J827" s="94">
        <v>3643.7751919768079</v>
      </c>
      <c r="K827" s="94">
        <v>2.617490488134961</v>
      </c>
      <c r="L827" s="94">
        <v>1</v>
      </c>
      <c r="M827" s="94">
        <v>0</v>
      </c>
      <c r="N827" s="94">
        <v>0</v>
      </c>
      <c r="O827" s="94">
        <v>0</v>
      </c>
    </row>
    <row r="828" spans="1:15" x14ac:dyDescent="0.25">
      <c r="A828" s="89">
        <v>44974.833333333336</v>
      </c>
      <c r="B828" s="94">
        <v>358.9</v>
      </c>
      <c r="C828" s="94">
        <v>301.08</v>
      </c>
      <c r="D828" s="94">
        <v>82.9</v>
      </c>
      <c r="E828" s="94">
        <v>6.4516897583007813</v>
      </c>
      <c r="F828" s="94">
        <v>81.667197990864693</v>
      </c>
      <c r="G828" s="94">
        <v>6.402562661330971</v>
      </c>
      <c r="H828" s="94">
        <v>79.381380608576876</v>
      </c>
      <c r="I828" s="94">
        <v>15.958001859727748</v>
      </c>
      <c r="J828" s="94">
        <v>5062.3109631828047</v>
      </c>
      <c r="K828" s="94">
        <v>2.8712728928085998</v>
      </c>
      <c r="L828" s="94">
        <v>1</v>
      </c>
      <c r="M828" s="94">
        <v>0</v>
      </c>
      <c r="N828" s="94">
        <v>0</v>
      </c>
      <c r="O828" s="94">
        <v>0</v>
      </c>
    </row>
    <row r="829" spans="1:15" x14ac:dyDescent="0.25">
      <c r="A829" s="89">
        <v>44975.333333333336</v>
      </c>
      <c r="B829" s="94">
        <v>358.9</v>
      </c>
      <c r="C829" s="94">
        <v>301.08</v>
      </c>
      <c r="D829" s="94">
        <v>81.32381387695402</v>
      </c>
      <c r="E829" s="94">
        <v>6.4204212216191427</v>
      </c>
      <c r="F829" s="94">
        <v>81.730641887439035</v>
      </c>
      <c r="G829" s="94">
        <v>6.44032532426111</v>
      </c>
      <c r="H829" s="94">
        <v>79.606633805731789</v>
      </c>
      <c r="I829" s="94">
        <v>15.96</v>
      </c>
      <c r="J829" s="94">
        <v>5090.8147604287597</v>
      </c>
      <c r="K829" s="94">
        <v>2.8758342155435663</v>
      </c>
      <c r="L829" s="94">
        <v>1</v>
      </c>
      <c r="M829" s="94">
        <v>0</v>
      </c>
      <c r="N829" s="94">
        <v>0</v>
      </c>
      <c r="O829" s="94">
        <v>0</v>
      </c>
    </row>
    <row r="830" spans="1:15" x14ac:dyDescent="0.25">
      <c r="A830" s="89">
        <v>44975.833333333336</v>
      </c>
      <c r="B830" s="94">
        <v>358.9</v>
      </c>
      <c r="C830" s="94">
        <v>301.22068648173439</v>
      </c>
      <c r="D830" s="94">
        <v>86.79810236994264</v>
      </c>
      <c r="E830" s="94">
        <v>6.94</v>
      </c>
      <c r="F830" s="94">
        <v>86.604171830734629</v>
      </c>
      <c r="G830" s="94">
        <v>6.9513563963306106</v>
      </c>
      <c r="H830" s="94">
        <v>80.058915248950925</v>
      </c>
      <c r="I830" s="94">
        <v>16.037542415511957</v>
      </c>
      <c r="J830" s="94">
        <v>5166.3967957046179</v>
      </c>
      <c r="K830" s="94">
        <v>3.0152998528319732</v>
      </c>
      <c r="L830" s="94">
        <v>1</v>
      </c>
      <c r="M830" s="94">
        <v>0</v>
      </c>
      <c r="N830" s="94">
        <v>0</v>
      </c>
      <c r="O830" s="94">
        <v>22</v>
      </c>
    </row>
    <row r="831" spans="1:15" x14ac:dyDescent="0.25">
      <c r="A831" s="89">
        <v>44976.333333333336</v>
      </c>
      <c r="B831" s="94">
        <v>358.9</v>
      </c>
      <c r="C831" s="94">
        <v>301.2240296837482</v>
      </c>
      <c r="D831" s="94">
        <v>86.8</v>
      </c>
      <c r="E831" s="94">
        <v>6.9207581721891929</v>
      </c>
      <c r="F831" s="94">
        <v>86.199683252970374</v>
      </c>
      <c r="G831" s="94">
        <v>6.9431600952148438</v>
      </c>
      <c r="H831" s="94">
        <v>80.272757994425632</v>
      </c>
      <c r="I831" s="94">
        <v>15.907605728934804</v>
      </c>
      <c r="J831" s="94">
        <v>5502.3317695755995</v>
      </c>
      <c r="K831" s="94">
        <v>3.0146480041767925</v>
      </c>
      <c r="L831" s="94">
        <v>1</v>
      </c>
      <c r="M831" s="94">
        <v>0</v>
      </c>
      <c r="N831" s="94">
        <v>0</v>
      </c>
      <c r="O831" s="94">
        <v>22</v>
      </c>
    </row>
    <row r="832" spans="1:15" x14ac:dyDescent="0.25">
      <c r="A832" s="89">
        <v>44976.833333333336</v>
      </c>
      <c r="B832" s="94">
        <v>358.9</v>
      </c>
      <c r="C832" s="94">
        <v>301.12036434754987</v>
      </c>
      <c r="D832" s="94">
        <v>87.995859543199586</v>
      </c>
      <c r="E832" s="94">
        <v>6.9538350677490239</v>
      </c>
      <c r="F832" s="94">
        <v>86.336768264291223</v>
      </c>
      <c r="G832" s="94">
        <v>6.94</v>
      </c>
      <c r="H832" s="94">
        <v>79.529852912553253</v>
      </c>
      <c r="I832" s="94">
        <v>15.939580604879238</v>
      </c>
      <c r="J832" s="94">
        <v>3193.3551221272073</v>
      </c>
      <c r="K832" s="94">
        <v>2.9290423618214501</v>
      </c>
      <c r="L832" s="94">
        <v>1</v>
      </c>
      <c r="M832" s="94">
        <v>0</v>
      </c>
      <c r="N832" s="94">
        <v>0</v>
      </c>
      <c r="O832" s="94">
        <v>4</v>
      </c>
    </row>
    <row r="833" spans="1:15" x14ac:dyDescent="0.25">
      <c r="A833" s="89">
        <v>44977.333333333336</v>
      </c>
      <c r="B833" s="94">
        <v>358.66</v>
      </c>
      <c r="C833" s="94">
        <v>301.11989402834502</v>
      </c>
      <c r="D833" s="94">
        <v>87.284322687675456</v>
      </c>
      <c r="E833" s="94">
        <v>6.94</v>
      </c>
      <c r="F833" s="94">
        <v>85.908608522987635</v>
      </c>
      <c r="G833" s="94">
        <v>6.9287985520306696</v>
      </c>
      <c r="H833" s="94">
        <v>80.559594021169076</v>
      </c>
      <c r="I833" s="94">
        <v>16.036794125936066</v>
      </c>
      <c r="J833" s="94">
        <v>5325.1332815139676</v>
      </c>
      <c r="K833" s="94">
        <v>2.9136295951444962</v>
      </c>
      <c r="L833" s="94">
        <v>1</v>
      </c>
      <c r="M833" s="94">
        <v>0</v>
      </c>
      <c r="N833" s="94">
        <v>0</v>
      </c>
      <c r="O833" s="94">
        <v>0</v>
      </c>
    </row>
    <row r="834" spans="1:15" x14ac:dyDescent="0.25">
      <c r="A834" s="89">
        <v>44977.833333333336</v>
      </c>
      <c r="B834" s="94">
        <v>358.66</v>
      </c>
      <c r="C834" s="94">
        <v>300.74531250236748</v>
      </c>
      <c r="D834" s="94">
        <v>42.498885672433033</v>
      </c>
      <c r="E834" s="94">
        <v>2.4403907958107176</v>
      </c>
      <c r="F834" s="94">
        <v>42.492246086639973</v>
      </c>
      <c r="G834" s="94">
        <v>2.459278342634355</v>
      </c>
      <c r="H834" s="94">
        <v>72.324611814003291</v>
      </c>
      <c r="I834" s="94">
        <v>13.927422213379451</v>
      </c>
      <c r="J834" s="94">
        <v>3556.9465871614898</v>
      </c>
      <c r="K834" s="94">
        <v>2.600261223893805</v>
      </c>
      <c r="L834" s="94">
        <v>1</v>
      </c>
      <c r="M834" s="94">
        <v>0</v>
      </c>
      <c r="N834" s="94">
        <v>0</v>
      </c>
      <c r="O834" s="94">
        <v>0</v>
      </c>
    </row>
    <row r="835" spans="1:15" x14ac:dyDescent="0.25">
      <c r="A835" s="89">
        <v>44978.333333333336</v>
      </c>
      <c r="B835" s="94">
        <v>358.6</v>
      </c>
      <c r="C835" s="94">
        <v>300.74581089482422</v>
      </c>
      <c r="D835" s="94">
        <v>42.099335251159097</v>
      </c>
      <c r="E835" s="94">
        <v>2.4751560058593749</v>
      </c>
      <c r="F835" s="94">
        <v>41.847105046751743</v>
      </c>
      <c r="G835" s="94">
        <v>2.4384056230214068</v>
      </c>
      <c r="H835" s="94">
        <v>72.705923547653441</v>
      </c>
      <c r="I835" s="94">
        <v>14.004839782714845</v>
      </c>
      <c r="J835" s="94">
        <v>3554.9632202111507</v>
      </c>
      <c r="K835" s="94">
        <v>2.5989591974237736</v>
      </c>
      <c r="L835" s="94">
        <v>1</v>
      </c>
      <c r="M835" s="94">
        <v>0</v>
      </c>
      <c r="N835" s="94">
        <v>0</v>
      </c>
      <c r="O835" s="94">
        <v>0</v>
      </c>
    </row>
    <row r="836" spans="1:15" x14ac:dyDescent="0.25">
      <c r="A836" s="89">
        <v>44978.833333333336</v>
      </c>
      <c r="B836" s="94">
        <v>358.6</v>
      </c>
      <c r="C836" s="94">
        <v>300.75946821564281</v>
      </c>
      <c r="D836" s="94">
        <v>42.605554155786649</v>
      </c>
      <c r="E836" s="94">
        <v>2.4766799816345273</v>
      </c>
      <c r="F836" s="94">
        <v>41.908993305425263</v>
      </c>
      <c r="G836" s="94">
        <v>2.4290267680864415</v>
      </c>
      <c r="H836" s="94">
        <v>72.709723706304388</v>
      </c>
      <c r="I836" s="94">
        <v>13.882113398140964</v>
      </c>
      <c r="J836" s="94">
        <v>3531.7607276196954</v>
      </c>
      <c r="K836" s="94">
        <v>2.5946480996375691</v>
      </c>
      <c r="L836" s="94">
        <v>1</v>
      </c>
      <c r="M836" s="94">
        <v>0</v>
      </c>
      <c r="N836" s="94">
        <v>0</v>
      </c>
      <c r="O836" s="94">
        <v>0</v>
      </c>
    </row>
    <row r="837" spans="1:15" x14ac:dyDescent="0.25">
      <c r="A837" s="89">
        <v>44979.333333333336</v>
      </c>
      <c r="B837" s="94">
        <v>358.54</v>
      </c>
      <c r="C837" s="94">
        <v>300.74770448017171</v>
      </c>
      <c r="D837" s="94">
        <v>41.247992508499713</v>
      </c>
      <c r="E837" s="94">
        <v>2.4787508002804794</v>
      </c>
      <c r="F837" s="94">
        <v>42.813046844311216</v>
      </c>
      <c r="G837" s="94">
        <v>2.4578517736054795</v>
      </c>
      <c r="H837" s="94">
        <v>72.950279995027458</v>
      </c>
      <c r="I837" s="94">
        <v>13.833160817245524</v>
      </c>
      <c r="J837" s="94">
        <v>3558</v>
      </c>
      <c r="K837" s="94">
        <v>2.6017386331907426</v>
      </c>
      <c r="L837" s="94">
        <v>1</v>
      </c>
      <c r="M837" s="94">
        <v>0</v>
      </c>
      <c r="N837" s="94">
        <v>0</v>
      </c>
      <c r="O837" s="94">
        <v>0</v>
      </c>
    </row>
    <row r="838" spans="1:15" x14ac:dyDescent="0.25">
      <c r="A838" s="89">
        <v>44979.833333333336</v>
      </c>
      <c r="B838" s="94">
        <v>358.54</v>
      </c>
      <c r="C838" s="94">
        <v>300.74002667744958</v>
      </c>
      <c r="D838" s="94">
        <v>41.148231845110857</v>
      </c>
      <c r="E838" s="94">
        <v>2.4663090373081227</v>
      </c>
      <c r="F838" s="94">
        <v>42.855356651901637</v>
      </c>
      <c r="G838" s="94">
        <v>2.4575980309466483</v>
      </c>
      <c r="H838" s="94">
        <v>72.98830355052921</v>
      </c>
      <c r="I838" s="94">
        <v>13.915395518626568</v>
      </c>
      <c r="J838" s="94">
        <v>3555.9896460336099</v>
      </c>
      <c r="K838" s="94">
        <v>2.6000293314876446</v>
      </c>
      <c r="L838" s="94">
        <v>1</v>
      </c>
      <c r="M838" s="94">
        <v>0</v>
      </c>
      <c r="N838" s="94">
        <v>0</v>
      </c>
      <c r="O838" s="94">
        <v>0</v>
      </c>
    </row>
    <row r="839" spans="1:15" x14ac:dyDescent="0.25">
      <c r="A839" s="89">
        <v>44980.333333333336</v>
      </c>
      <c r="B839" s="94">
        <v>358.51</v>
      </c>
      <c r="C839" s="94">
        <v>300.74523242690907</v>
      </c>
      <c r="D839" s="94">
        <v>42.188400268554688</v>
      </c>
      <c r="E839" s="94">
        <v>2.4695333895841172</v>
      </c>
      <c r="F839" s="94">
        <v>43.123199462890625</v>
      </c>
      <c r="G839" s="94">
        <v>2.4212427374472507</v>
      </c>
      <c r="H839" s="94">
        <v>73.561136013827252</v>
      </c>
      <c r="I839" s="94">
        <v>13.877454581448825</v>
      </c>
      <c r="J839" s="94">
        <v>3563.0041915139336</v>
      </c>
      <c r="K839" s="94">
        <v>2.6009217786292846</v>
      </c>
      <c r="L839" s="94">
        <v>1</v>
      </c>
      <c r="M839" s="94">
        <v>0</v>
      </c>
      <c r="N839" s="94">
        <v>0</v>
      </c>
      <c r="O839" s="94">
        <v>0</v>
      </c>
    </row>
    <row r="840" spans="1:15" x14ac:dyDescent="0.25">
      <c r="A840" s="89">
        <v>44980.833333333336</v>
      </c>
      <c r="B840" s="94">
        <v>358.51</v>
      </c>
      <c r="C840" s="94">
        <v>300.86</v>
      </c>
      <c r="D840" s="94">
        <v>50</v>
      </c>
      <c r="E840" s="94">
        <v>2.8697597695416284</v>
      </c>
      <c r="F840" s="94">
        <v>48.6</v>
      </c>
      <c r="G840" s="94">
        <v>2.8988998413085936</v>
      </c>
      <c r="H840" s="94">
        <v>80.900000000000006</v>
      </c>
      <c r="I840" s="94">
        <v>16.079359258297565</v>
      </c>
      <c r="J840" s="94">
        <v>4001</v>
      </c>
      <c r="K840" s="94">
        <v>2.6859999999999999</v>
      </c>
      <c r="L840" s="94">
        <v>1</v>
      </c>
      <c r="M840" s="94">
        <v>0</v>
      </c>
      <c r="N840" s="94">
        <v>0</v>
      </c>
      <c r="O840" s="94">
        <v>0</v>
      </c>
    </row>
    <row r="841" spans="1:15" x14ac:dyDescent="0.25">
      <c r="A841" s="89">
        <v>44981.333333333336</v>
      </c>
      <c r="B841" s="94">
        <v>358.46</v>
      </c>
      <c r="C841" s="94">
        <v>300.85219430106031</v>
      </c>
      <c r="D841" s="94">
        <v>48.668396954314723</v>
      </c>
      <c r="E841" s="94">
        <v>2.8509462605942071</v>
      </c>
      <c r="F841" s="94">
        <v>48.428357042585098</v>
      </c>
      <c r="G841" s="94">
        <v>2.8994799804687501</v>
      </c>
      <c r="H841" s="94">
        <v>81.5</v>
      </c>
      <c r="I841" s="94">
        <v>15.896053473979451</v>
      </c>
      <c r="J841" s="94">
        <v>3996</v>
      </c>
      <c r="K841" s="94">
        <v>2.6859999999999999</v>
      </c>
      <c r="L841" s="94">
        <v>1</v>
      </c>
      <c r="M841" s="94">
        <v>0</v>
      </c>
      <c r="N841" s="94">
        <v>0</v>
      </c>
      <c r="O841" s="94">
        <v>0</v>
      </c>
    </row>
    <row r="842" spans="1:15" x14ac:dyDescent="0.25">
      <c r="A842" s="89">
        <v>44981.833333333336</v>
      </c>
      <c r="B842" s="94">
        <v>358.46</v>
      </c>
      <c r="C842" s="94">
        <v>300.95999999999998</v>
      </c>
      <c r="D842" s="94">
        <v>76.053665200903495</v>
      </c>
      <c r="E842" s="94">
        <v>5.9745362394634833</v>
      </c>
      <c r="F842" s="94">
        <v>49.991656292134302</v>
      </c>
      <c r="G842" s="94">
        <v>2.8262513801987486</v>
      </c>
      <c r="H842" s="94">
        <v>80.5</v>
      </c>
      <c r="I842" s="94">
        <v>15.851786177732318</v>
      </c>
      <c r="J842" s="94">
        <v>4519.629676759766</v>
      </c>
      <c r="K842" s="94">
        <v>2.7793710457000222</v>
      </c>
      <c r="L842" s="94">
        <v>1</v>
      </c>
      <c r="M842" s="94">
        <v>0</v>
      </c>
      <c r="N842" s="94">
        <v>0</v>
      </c>
      <c r="O842" s="94">
        <v>0</v>
      </c>
    </row>
    <row r="843" spans="1:15" x14ac:dyDescent="0.25">
      <c r="A843" s="89">
        <v>44982.333333333336</v>
      </c>
      <c r="B843" s="94">
        <v>358.46</v>
      </c>
      <c r="C843" s="94">
        <v>300.95999999999998</v>
      </c>
      <c r="D843" s="94">
        <v>77.3</v>
      </c>
      <c r="E843" s="94">
        <v>5.9521009826660158</v>
      </c>
      <c r="F843" s="94">
        <v>51.617643533074961</v>
      </c>
      <c r="G843" s="94">
        <v>2.859479456239499</v>
      </c>
      <c r="H843" s="94">
        <v>81.620663250218925</v>
      </c>
      <c r="I843" s="94">
        <v>15.943283335879029</v>
      </c>
      <c r="J843" s="94">
        <v>4525.4263821130153</v>
      </c>
      <c r="K843" s="94">
        <v>2.780365564756119</v>
      </c>
      <c r="L843" s="94">
        <v>1</v>
      </c>
      <c r="M843" s="94">
        <v>0</v>
      </c>
      <c r="N843" s="94">
        <v>0</v>
      </c>
      <c r="O843" s="94">
        <v>0</v>
      </c>
    </row>
    <row r="844" spans="1:15" x14ac:dyDescent="0.25">
      <c r="A844" s="89">
        <v>44982.833333333336</v>
      </c>
      <c r="B844" s="94">
        <v>358.46</v>
      </c>
      <c r="C844" s="94">
        <v>300.95999999999998</v>
      </c>
      <c r="D844" s="94">
        <v>77.132352929853241</v>
      </c>
      <c r="E844" s="94">
        <v>5.9704505811733437</v>
      </c>
      <c r="F844" s="94">
        <v>50.755764360331199</v>
      </c>
      <c r="G844" s="94">
        <v>2.89</v>
      </c>
      <c r="H844" s="94">
        <v>81.042139606325264</v>
      </c>
      <c r="I844" s="94">
        <v>16.017770217591607</v>
      </c>
      <c r="J844" s="94">
        <v>4506.9911028786928</v>
      </c>
      <c r="K844" s="94">
        <v>2.7772064345885377</v>
      </c>
      <c r="L844" s="94">
        <v>1</v>
      </c>
      <c r="M844" s="94">
        <v>0</v>
      </c>
      <c r="N844" s="94">
        <v>0</v>
      </c>
      <c r="O844" s="94">
        <v>0</v>
      </c>
    </row>
    <row r="845" spans="1:15" x14ac:dyDescent="0.25">
      <c r="A845" s="89">
        <v>44983.333333333336</v>
      </c>
      <c r="B845" s="94">
        <v>358.46</v>
      </c>
      <c r="C845" s="94">
        <v>300.95999999999998</v>
      </c>
      <c r="D845" s="94">
        <v>75.5</v>
      </c>
      <c r="E845" s="94">
        <v>5.9783486876624403</v>
      </c>
      <c r="F845" s="94">
        <v>52.2</v>
      </c>
      <c r="G845" s="94">
        <v>2.8619520391018787</v>
      </c>
      <c r="H845" s="94">
        <v>82.137049456014594</v>
      </c>
      <c r="I845" s="94">
        <v>15.984309692382812</v>
      </c>
      <c r="J845" s="94">
        <v>4477.9817816388268</v>
      </c>
      <c r="K845" s="94">
        <v>2.7722647618505101</v>
      </c>
      <c r="L845" s="94">
        <v>1</v>
      </c>
      <c r="M845" s="94">
        <v>0</v>
      </c>
      <c r="N845" s="94">
        <v>0</v>
      </c>
      <c r="O845" s="94">
        <v>0</v>
      </c>
    </row>
    <row r="846" spans="1:15" x14ac:dyDescent="0.25">
      <c r="A846" s="89">
        <v>44983.833333333336</v>
      </c>
      <c r="B846" s="94">
        <v>358.46</v>
      </c>
      <c r="C846" s="94">
        <v>300.95999999999998</v>
      </c>
      <c r="D846" s="94">
        <v>74.884507549708317</v>
      </c>
      <c r="E846" s="94">
        <v>5.9205999755859375</v>
      </c>
      <c r="F846" s="94">
        <v>47.7</v>
      </c>
      <c r="G846" s="94">
        <v>2.83</v>
      </c>
      <c r="H846" s="94">
        <v>81.099999999999994</v>
      </c>
      <c r="I846" s="94">
        <v>15.969192081112491</v>
      </c>
      <c r="J846" s="94">
        <v>4509.9151816145331</v>
      </c>
      <c r="K846" s="94">
        <v>2.7777191284902947</v>
      </c>
      <c r="L846" s="94">
        <v>1</v>
      </c>
      <c r="M846" s="94">
        <v>0</v>
      </c>
      <c r="N846" s="94">
        <v>0</v>
      </c>
      <c r="O846" s="94">
        <v>0</v>
      </c>
    </row>
    <row r="847" spans="1:15" x14ac:dyDescent="0.25">
      <c r="A847" s="89">
        <v>44984.333333333336</v>
      </c>
      <c r="B847" s="94">
        <v>358.24</v>
      </c>
      <c r="C847" s="94">
        <v>300.95155081770145</v>
      </c>
      <c r="D847" s="94">
        <v>75.099999999999994</v>
      </c>
      <c r="E847" s="94">
        <v>5.9671925732839437</v>
      </c>
      <c r="F847" s="94">
        <v>48.6</v>
      </c>
      <c r="G847" s="94">
        <v>2.8753617060391581</v>
      </c>
      <c r="H847" s="94">
        <v>82.189993132135513</v>
      </c>
      <c r="I847" s="94">
        <v>15.956659318668606</v>
      </c>
      <c r="J847" s="94">
        <v>4520.8280769469693</v>
      </c>
      <c r="K847" s="94">
        <v>2.7795616790643076</v>
      </c>
      <c r="L847" s="94">
        <v>1</v>
      </c>
      <c r="M847" s="94">
        <v>0</v>
      </c>
      <c r="N847" s="94">
        <v>0</v>
      </c>
      <c r="O847" s="94">
        <v>0</v>
      </c>
    </row>
    <row r="848" spans="1:15" x14ac:dyDescent="0.25">
      <c r="A848" s="89">
        <v>44984.833333333336</v>
      </c>
      <c r="B848" s="94">
        <v>358.24</v>
      </c>
      <c r="C848" s="94">
        <v>300.95999999999998</v>
      </c>
      <c r="D848" s="94">
        <v>76.599999999999994</v>
      </c>
      <c r="E848" s="94">
        <v>5.9761210376058278</v>
      </c>
      <c r="F848" s="94">
        <v>49.152700729927012</v>
      </c>
      <c r="G848" s="94">
        <v>2.8278384157750436</v>
      </c>
      <c r="H848" s="94">
        <v>81.68985266866801</v>
      </c>
      <c r="I848" s="94">
        <v>15.886233594000092</v>
      </c>
      <c r="J848" s="94">
        <v>4529</v>
      </c>
      <c r="K848" s="94">
        <v>2.7810506220659263</v>
      </c>
      <c r="L848" s="94">
        <v>1</v>
      </c>
      <c r="M848" s="94">
        <v>0</v>
      </c>
      <c r="N848" s="94">
        <v>0</v>
      </c>
      <c r="O848" s="94">
        <v>0</v>
      </c>
    </row>
    <row r="849" spans="1:15" x14ac:dyDescent="0.25">
      <c r="A849" s="89">
        <v>44985.333333333336</v>
      </c>
      <c r="B849" s="94">
        <v>358.17</v>
      </c>
      <c r="C849" s="94">
        <v>300.95999999999998</v>
      </c>
      <c r="D849" s="94">
        <v>76.8</v>
      </c>
      <c r="E849" s="94">
        <v>5.9495799255371091</v>
      </c>
      <c r="F849" s="94">
        <v>50.435095264186245</v>
      </c>
      <c r="G849" s="94">
        <v>2.8327686374141021</v>
      </c>
      <c r="H849" s="94">
        <v>82.558413391113277</v>
      </c>
      <c r="I849" s="94">
        <v>15.98942921293397</v>
      </c>
      <c r="J849" s="94">
        <v>4535.9197304068139</v>
      </c>
      <c r="K849" s="94">
        <v>2.7822468238133151</v>
      </c>
      <c r="L849" s="94">
        <v>1</v>
      </c>
      <c r="M849" s="94">
        <v>0</v>
      </c>
      <c r="N849" s="94">
        <v>0</v>
      </c>
      <c r="O849" s="94">
        <v>0</v>
      </c>
    </row>
    <row r="850" spans="1:15" x14ac:dyDescent="0.25">
      <c r="A850" s="89">
        <v>44985.833333333336</v>
      </c>
      <c r="B850" s="94">
        <v>358.17</v>
      </c>
      <c r="C850" s="94">
        <v>300.95999999999998</v>
      </c>
      <c r="D850" s="94">
        <v>77.8</v>
      </c>
      <c r="E850" s="94">
        <v>5.9554656260023524</v>
      </c>
      <c r="F850" s="94">
        <v>48.9</v>
      </c>
      <c r="G850" s="94">
        <v>2.8380865377264737</v>
      </c>
      <c r="H850" s="94">
        <v>81.96340077972512</v>
      </c>
      <c r="I850" s="94">
        <v>16.030610804783798</v>
      </c>
      <c r="J850" s="94">
        <v>4530.6818484119995</v>
      </c>
      <c r="K850" s="94">
        <v>2.7823440164153381</v>
      </c>
      <c r="L850" s="94">
        <v>1</v>
      </c>
      <c r="M850" s="94">
        <v>0</v>
      </c>
      <c r="N850" s="94">
        <v>0</v>
      </c>
      <c r="O850" s="94">
        <v>0</v>
      </c>
    </row>
    <row r="851" spans="1:15" x14ac:dyDescent="0.25">
      <c r="A851" s="89">
        <v>44986.333333333336</v>
      </c>
      <c r="B851" s="94">
        <v>358.08</v>
      </c>
      <c r="C851" s="94">
        <v>300.95999999999998</v>
      </c>
      <c r="D851" s="94">
        <v>77.017526843311998</v>
      </c>
      <c r="E851" s="94">
        <v>5.9408269946016903</v>
      </c>
      <c r="F851" s="94">
        <v>51.091065548920056</v>
      </c>
      <c r="G851" s="94">
        <v>2.8632224310458678</v>
      </c>
      <c r="H851" s="94">
        <v>82.716488850867123</v>
      </c>
      <c r="I851" s="94">
        <v>15.936880340576172</v>
      </c>
      <c r="J851" s="94">
        <v>4549.5601318560912</v>
      </c>
      <c r="K851" s="94">
        <v>2.7846214379937364</v>
      </c>
      <c r="L851" s="94">
        <v>0.40855844814741449</v>
      </c>
      <c r="M851" s="94">
        <v>-0.59144155185258551</v>
      </c>
      <c r="N851" s="94">
        <v>0</v>
      </c>
      <c r="O851" s="94">
        <v>-0.58940098164381294</v>
      </c>
    </row>
    <row r="852" spans="1:15" x14ac:dyDescent="0.25">
      <c r="A852" s="89">
        <v>44986.833333333336</v>
      </c>
      <c r="B852" s="94">
        <v>358.08</v>
      </c>
      <c r="C852" s="94">
        <v>300.95999999999998</v>
      </c>
      <c r="D852" s="94">
        <v>76.911522821998574</v>
      </c>
      <c r="E852" s="94">
        <v>5.943779958089193</v>
      </c>
      <c r="F852" s="94">
        <v>48.546784081923221</v>
      </c>
      <c r="G852" s="94">
        <v>2.7965418210088258</v>
      </c>
      <c r="H852" s="94">
        <v>81.890464029671776</v>
      </c>
      <c r="I852" s="94">
        <v>15.932574726702851</v>
      </c>
      <c r="J852" s="94">
        <v>4532.4006123190929</v>
      </c>
      <c r="K852" s="94">
        <v>2.781619596358107</v>
      </c>
      <c r="L852" s="94">
        <v>1</v>
      </c>
      <c r="M852" s="94">
        <v>0</v>
      </c>
      <c r="N852" s="94">
        <v>0</v>
      </c>
      <c r="O852" s="94">
        <v>0</v>
      </c>
    </row>
    <row r="853" spans="1:15" x14ac:dyDescent="0.25">
      <c r="A853" s="89">
        <v>44987.333333333336</v>
      </c>
      <c r="B853" s="94">
        <v>358.01</v>
      </c>
      <c r="C853" s="94">
        <v>300.95999999999998</v>
      </c>
      <c r="D853" s="94">
        <v>75.900000000000006</v>
      </c>
      <c r="E853" s="94">
        <v>5.9395199584960938</v>
      </c>
      <c r="F853" s="94">
        <v>51.106376571871934</v>
      </c>
      <c r="G853" s="94">
        <v>2.8823312967771497</v>
      </c>
      <c r="H853" s="94">
        <v>82.80317291909472</v>
      </c>
      <c r="I853" s="94">
        <v>15.929470967152451</v>
      </c>
      <c r="J853" s="94">
        <v>4545.994771725067</v>
      </c>
      <c r="K853" s="94">
        <v>2.7841347336763453</v>
      </c>
      <c r="L853" s="94">
        <v>1</v>
      </c>
      <c r="M853" s="94">
        <v>0</v>
      </c>
      <c r="N853" s="94">
        <v>0</v>
      </c>
      <c r="O853" s="94">
        <v>0</v>
      </c>
    </row>
    <row r="854" spans="1:15" x14ac:dyDescent="0.25">
      <c r="A854" s="89">
        <v>44987.833333333336</v>
      </c>
      <c r="B854" s="94">
        <v>358.01</v>
      </c>
      <c r="C854" s="94">
        <v>300.95999999999998</v>
      </c>
      <c r="D854" s="94">
        <v>78.428291383135516</v>
      </c>
      <c r="E854" s="94">
        <v>5.9737837177333128</v>
      </c>
      <c r="F854" s="94">
        <v>52.825903313955429</v>
      </c>
      <c r="G854" s="94">
        <v>2.8544173790483192</v>
      </c>
      <c r="H854" s="94">
        <v>82.728724184141058</v>
      </c>
      <c r="I854" s="94">
        <v>16.044474415762945</v>
      </c>
      <c r="J854" s="94">
        <v>4562.8189486070578</v>
      </c>
      <c r="K854" s="94">
        <v>2.787984220639121</v>
      </c>
      <c r="L854" s="94">
        <v>1</v>
      </c>
      <c r="M854" s="94">
        <v>0</v>
      </c>
      <c r="N854" s="94">
        <v>0</v>
      </c>
      <c r="O854" s="94">
        <v>0</v>
      </c>
    </row>
    <row r="855" spans="1:15" x14ac:dyDescent="0.25">
      <c r="A855" s="89">
        <v>44988.333333333336</v>
      </c>
      <c r="B855" s="94">
        <v>358.01</v>
      </c>
      <c r="C855" s="94">
        <v>300.95999999999998</v>
      </c>
      <c r="D855" s="94">
        <v>77.146313912527901</v>
      </c>
      <c r="E855" s="94">
        <v>5.9332263183593748</v>
      </c>
      <c r="F855" s="94">
        <v>50.575802612304692</v>
      </c>
      <c r="G855" s="94">
        <v>2.8575201416015625</v>
      </c>
      <c r="H855" s="94">
        <v>82.738658321849641</v>
      </c>
      <c r="I855" s="94">
        <v>15.931966016823656</v>
      </c>
      <c r="J855" s="94">
        <v>4562.2177577664033</v>
      </c>
      <c r="K855" s="94">
        <v>2.7863904347174171</v>
      </c>
      <c r="L855" s="94">
        <v>1</v>
      </c>
      <c r="M855" s="94">
        <v>0</v>
      </c>
      <c r="N855" s="94">
        <v>0</v>
      </c>
      <c r="O855" s="94">
        <v>0</v>
      </c>
    </row>
    <row r="856" spans="1:15" x14ac:dyDescent="0.25">
      <c r="A856" s="89">
        <v>44988.833333333336</v>
      </c>
      <c r="B856" s="94">
        <v>358.01</v>
      </c>
      <c r="C856" s="94">
        <v>300.95999999999998</v>
      </c>
      <c r="D856" s="94">
        <v>76.87444146150483</v>
      </c>
      <c r="E856" s="94">
        <v>5.9840396118164065</v>
      </c>
      <c r="F856" s="94">
        <v>51.2</v>
      </c>
      <c r="G856" s="94">
        <v>2.8352001953124999</v>
      </c>
      <c r="H856" s="94">
        <v>83.355773158633113</v>
      </c>
      <c r="I856" s="94">
        <v>15.85165543317442</v>
      </c>
      <c r="J856" s="94">
        <v>4562.3458144178767</v>
      </c>
      <c r="K856" s="94">
        <v>2.7865804374745236</v>
      </c>
      <c r="L856" s="94">
        <v>1</v>
      </c>
      <c r="M856" s="94">
        <v>0</v>
      </c>
      <c r="N856" s="94">
        <v>0</v>
      </c>
      <c r="O856" s="94">
        <v>0</v>
      </c>
    </row>
    <row r="857" spans="1:15" x14ac:dyDescent="0.25">
      <c r="A857" s="89">
        <v>44989.333333333336</v>
      </c>
      <c r="B857" s="94">
        <v>358.01</v>
      </c>
      <c r="C857" s="94">
        <v>300.95999999999998</v>
      </c>
      <c r="D857" s="94">
        <v>77.400000000000006</v>
      </c>
      <c r="E857" s="94">
        <v>5.9678040720605479</v>
      </c>
      <c r="F857" s="94">
        <v>52.805489819848624</v>
      </c>
      <c r="G857" s="94">
        <v>2.8369393670988003</v>
      </c>
      <c r="H857" s="94">
        <v>83.458324577441786</v>
      </c>
      <c r="I857" s="94">
        <v>15.980540161132813</v>
      </c>
      <c r="J857" s="94">
        <v>4587.0095220835847</v>
      </c>
      <c r="K857" s="94">
        <v>2.7915644140506743</v>
      </c>
      <c r="L857" s="94">
        <v>1</v>
      </c>
      <c r="M857" s="94">
        <v>0</v>
      </c>
      <c r="N857" s="94">
        <v>0</v>
      </c>
      <c r="O857" s="94">
        <v>0</v>
      </c>
    </row>
    <row r="858" spans="1:15" x14ac:dyDescent="0.25">
      <c r="A858" s="89">
        <v>44989.833333333336</v>
      </c>
      <c r="B858" s="94">
        <v>358.01</v>
      </c>
      <c r="C858" s="94">
        <v>300.95999999999998</v>
      </c>
      <c r="D858" s="94">
        <v>77.306246902094756</v>
      </c>
      <c r="E858" s="94">
        <v>5.9551855019779749</v>
      </c>
      <c r="F858" s="94">
        <v>49.904784257968608</v>
      </c>
      <c r="G858" s="94">
        <v>2.8638646708416067</v>
      </c>
      <c r="H858" s="94">
        <v>82.710183146151934</v>
      </c>
      <c r="I858" s="94">
        <v>15.766216129524972</v>
      </c>
      <c r="J858" s="94">
        <v>4568.012210216365</v>
      </c>
      <c r="K858" s="94">
        <v>2.7873957563174701</v>
      </c>
      <c r="L858" s="94">
        <v>1</v>
      </c>
      <c r="M858" s="94">
        <v>0</v>
      </c>
      <c r="N858" s="94">
        <v>0</v>
      </c>
      <c r="O858" s="94">
        <v>0</v>
      </c>
    </row>
    <row r="859" spans="1:15" x14ac:dyDescent="0.25">
      <c r="A859" s="89">
        <v>44990.333333333336</v>
      </c>
      <c r="B859" s="94">
        <v>358.01</v>
      </c>
      <c r="C859" s="94">
        <v>300.95999999999998</v>
      </c>
      <c r="D859" s="94">
        <v>78.830220579923136</v>
      </c>
      <c r="E859" s="94">
        <v>5.9656146154080671</v>
      </c>
      <c r="F859" s="94">
        <v>52.741646998554621</v>
      </c>
      <c r="G859" s="94">
        <v>2.8737755522019484</v>
      </c>
      <c r="H859" s="94">
        <v>84</v>
      </c>
      <c r="I859" s="94">
        <v>15.972062293534687</v>
      </c>
      <c r="J859" s="94">
        <v>4589.8626100552783</v>
      </c>
      <c r="K859" s="94">
        <v>2.7915000651472606</v>
      </c>
      <c r="L859" s="94">
        <v>1</v>
      </c>
      <c r="M859" s="94">
        <v>0</v>
      </c>
      <c r="N859" s="94">
        <v>0</v>
      </c>
      <c r="O859" s="94">
        <v>0</v>
      </c>
    </row>
    <row r="860" spans="1:15" x14ac:dyDescent="0.25">
      <c r="A860" s="89">
        <v>44990.833333333336</v>
      </c>
      <c r="B860" s="94">
        <v>358.01</v>
      </c>
      <c r="C860" s="94">
        <v>300.95999999999998</v>
      </c>
      <c r="D860" s="94">
        <v>76.598879108662317</v>
      </c>
      <c r="E860" s="94">
        <v>5.9605605620895066</v>
      </c>
      <c r="F860" s="94">
        <v>48.156897823331875</v>
      </c>
      <c r="G860" s="94">
        <v>2.8587483007743884</v>
      </c>
      <c r="H860" s="94">
        <v>83.907118715818442</v>
      </c>
      <c r="I860" s="94">
        <v>15.997519531250001</v>
      </c>
      <c r="J860" s="94">
        <v>4600.4021409887519</v>
      </c>
      <c r="K860" s="94">
        <v>2.7940589349960105</v>
      </c>
      <c r="L860" s="94">
        <v>1</v>
      </c>
      <c r="M860" s="94">
        <v>0</v>
      </c>
      <c r="N860" s="94">
        <v>0</v>
      </c>
      <c r="O860" s="94">
        <v>0</v>
      </c>
    </row>
    <row r="861" spans="1:15" x14ac:dyDescent="0.25">
      <c r="A861" s="89">
        <v>44991.333333333336</v>
      </c>
      <c r="B861" s="94">
        <v>357.7</v>
      </c>
      <c r="C861" s="94">
        <v>300.95999999999998</v>
      </c>
      <c r="D861" s="94">
        <v>76.900000000000006</v>
      </c>
      <c r="E861" s="94">
        <v>5.9736337253703988</v>
      </c>
      <c r="F861" s="94">
        <v>51.11960767111627</v>
      </c>
      <c r="G861" s="94">
        <v>2.8788187136289349</v>
      </c>
      <c r="H861" s="94">
        <v>82.024970638915136</v>
      </c>
      <c r="I861" s="94">
        <v>15.65</v>
      </c>
      <c r="J861" s="94">
        <v>4514.5469009775761</v>
      </c>
      <c r="K861" s="94">
        <v>2.7786062757925318</v>
      </c>
      <c r="L861" s="94">
        <v>1</v>
      </c>
      <c r="M861" s="94">
        <v>0</v>
      </c>
      <c r="N861" s="94">
        <v>0</v>
      </c>
      <c r="O861" s="94">
        <v>0</v>
      </c>
    </row>
    <row r="862" spans="1:15" x14ac:dyDescent="0.25">
      <c r="A862" s="89">
        <v>44991.833333333336</v>
      </c>
      <c r="B862" s="94">
        <v>357.7</v>
      </c>
      <c r="C862" s="94">
        <v>300.95999999999998</v>
      </c>
      <c r="D862" s="94">
        <v>76.992658189524676</v>
      </c>
      <c r="E862" s="94">
        <v>5.9711056567068903</v>
      </c>
      <c r="F862" s="94">
        <v>48.586889489281425</v>
      </c>
      <c r="G862" s="94">
        <v>2.8798920181891483</v>
      </c>
      <c r="H862" s="94">
        <v>81.678404949163919</v>
      </c>
      <c r="I862" s="94">
        <v>15.592904573595339</v>
      </c>
      <c r="J862" s="94">
        <v>4529</v>
      </c>
      <c r="K862" s="94">
        <v>2.7810000000000001</v>
      </c>
      <c r="L862" s="94">
        <v>1</v>
      </c>
      <c r="M862" s="94">
        <v>0</v>
      </c>
      <c r="N862" s="94">
        <v>0</v>
      </c>
      <c r="O862" s="94">
        <v>0</v>
      </c>
    </row>
    <row r="863" spans="1:15" x14ac:dyDescent="0.25">
      <c r="A863" s="89">
        <v>44992.333333333336</v>
      </c>
      <c r="B863" s="94">
        <v>357.64</v>
      </c>
      <c r="C863" s="94">
        <v>300.96807393101136</v>
      </c>
      <c r="D863" s="94">
        <v>76.603070606904865</v>
      </c>
      <c r="E863" s="94">
        <v>5.9312013135787378</v>
      </c>
      <c r="F863" s="94">
        <v>48.2</v>
      </c>
      <c r="G863" s="94">
        <v>2.8510516106367705</v>
      </c>
      <c r="H863" s="94">
        <v>82.3</v>
      </c>
      <c r="I863" s="94">
        <v>15.513113439538117</v>
      </c>
      <c r="J863" s="94">
        <v>4559.1851093636105</v>
      </c>
      <c r="K863" s="94">
        <v>2.7862369890381569</v>
      </c>
      <c r="L863" s="94">
        <v>0.3724425324989703</v>
      </c>
      <c r="M863" s="94">
        <v>0</v>
      </c>
      <c r="N863" s="94">
        <v>0</v>
      </c>
      <c r="O863" s="94">
        <v>0</v>
      </c>
    </row>
    <row r="864" spans="1:15" x14ac:dyDescent="0.25">
      <c r="A864" s="89">
        <v>44992.833333333336</v>
      </c>
      <c r="B864" s="94">
        <v>357.64</v>
      </c>
      <c r="C864" s="94">
        <v>300.95999999999998</v>
      </c>
      <c r="D864" s="94">
        <v>77.187274478625156</v>
      </c>
      <c r="E864" s="94">
        <v>5.9438176564124525</v>
      </c>
      <c r="F864" s="94">
        <v>49.2</v>
      </c>
      <c r="G864" s="94">
        <v>2.8537048441952386</v>
      </c>
      <c r="H864" s="94">
        <v>82.302721377094983</v>
      </c>
      <c r="I864" s="94">
        <v>15.675598754882811</v>
      </c>
      <c r="J864" s="94">
        <v>4532.3472733002227</v>
      </c>
      <c r="K864" s="94">
        <v>2.7816801092495793</v>
      </c>
      <c r="L864" s="94">
        <v>1</v>
      </c>
      <c r="M864" s="94">
        <v>0</v>
      </c>
      <c r="N864" s="94">
        <v>0</v>
      </c>
      <c r="O864" s="94">
        <v>0</v>
      </c>
    </row>
    <row r="865" spans="1:15" x14ac:dyDescent="0.25">
      <c r="A865" s="89">
        <v>44993.333333333336</v>
      </c>
      <c r="B865" s="94">
        <v>357.62595402480008</v>
      </c>
      <c r="C865" s="94">
        <v>300.95999999999998</v>
      </c>
      <c r="D865" s="94">
        <v>76.781097382122169</v>
      </c>
      <c r="E865" s="94">
        <v>5.9794400024414065</v>
      </c>
      <c r="F865" s="94">
        <v>50.276491274991436</v>
      </c>
      <c r="G865" s="94">
        <v>2.8257502746582031</v>
      </c>
      <c r="H865" s="94">
        <v>82.422954675858705</v>
      </c>
      <c r="I865" s="94">
        <v>15.488678478692531</v>
      </c>
      <c r="J865" s="94">
        <v>4546</v>
      </c>
      <c r="K865" s="94">
        <v>2.7839999999999998</v>
      </c>
      <c r="L865" s="94">
        <v>1</v>
      </c>
      <c r="M865" s="94">
        <v>0</v>
      </c>
      <c r="N865" s="94">
        <v>0</v>
      </c>
      <c r="O865" s="94">
        <v>0</v>
      </c>
    </row>
    <row r="866" spans="1:15" x14ac:dyDescent="0.25">
      <c r="A866" s="89">
        <v>44993.833333333336</v>
      </c>
      <c r="B866" s="94">
        <v>357.57</v>
      </c>
      <c r="C866" s="94">
        <v>300.96812674086237</v>
      </c>
      <c r="D866" s="94">
        <v>76.467592279163213</v>
      </c>
      <c r="E866" s="94">
        <v>5.9689949086001715</v>
      </c>
      <c r="F866" s="94">
        <v>48.522478334107532</v>
      </c>
      <c r="G866" s="94">
        <v>2.8878326744704745</v>
      </c>
      <c r="H866" s="94">
        <v>81.878437737243431</v>
      </c>
      <c r="I866" s="94">
        <v>15.449260682001798</v>
      </c>
      <c r="J866" s="94">
        <v>4524.1830650712836</v>
      </c>
      <c r="K866" s="94">
        <v>2.7798481502929309</v>
      </c>
      <c r="L866" s="94">
        <v>1</v>
      </c>
      <c r="M866" s="94">
        <v>0</v>
      </c>
      <c r="N866" s="94">
        <v>0</v>
      </c>
      <c r="O866" s="94">
        <v>0</v>
      </c>
    </row>
    <row r="867" spans="1:15" x14ac:dyDescent="0.25">
      <c r="A867" s="89">
        <v>44994.333333333336</v>
      </c>
      <c r="B867" s="94">
        <v>357.55315793613545</v>
      </c>
      <c r="C867" s="94">
        <v>300.95999999999998</v>
      </c>
      <c r="D867" s="94">
        <v>77.3</v>
      </c>
      <c r="E867" s="94">
        <v>5.9893399047851563</v>
      </c>
      <c r="F867" s="94">
        <v>47.9</v>
      </c>
      <c r="G867" s="94">
        <v>2.8509008678925554</v>
      </c>
      <c r="H867" s="94">
        <v>82.821763334312493</v>
      </c>
      <c r="I867" s="94">
        <v>15.380969665543168</v>
      </c>
      <c r="J867" s="94">
        <v>4541.4614606247897</v>
      </c>
      <c r="K867" s="94">
        <v>2.783083644013121</v>
      </c>
      <c r="L867" s="94">
        <v>1</v>
      </c>
      <c r="M867" s="94">
        <v>0</v>
      </c>
      <c r="N867" s="94">
        <v>0</v>
      </c>
      <c r="O867" s="94">
        <v>0</v>
      </c>
    </row>
    <row r="868" spans="1:15" x14ac:dyDescent="0.25">
      <c r="A868" s="89">
        <v>44994.833333333336</v>
      </c>
      <c r="B868" s="94">
        <v>357.49</v>
      </c>
      <c r="C868" s="94">
        <v>300.95999999999998</v>
      </c>
      <c r="D868" s="94">
        <v>76.522446291688865</v>
      </c>
      <c r="E868" s="94">
        <v>5.9876045582005846</v>
      </c>
      <c r="F868" s="94">
        <v>49.714991498116433</v>
      </c>
      <c r="G868" s="94">
        <v>2.8202783297183331</v>
      </c>
      <c r="H868" s="94">
        <v>82.75426732051811</v>
      </c>
      <c r="I868" s="94">
        <v>15.496580009100562</v>
      </c>
      <c r="J868" s="94">
        <v>4529</v>
      </c>
      <c r="K868" s="94">
        <v>2.7810000000000001</v>
      </c>
      <c r="L868" s="94">
        <v>1</v>
      </c>
      <c r="M868" s="94">
        <v>0</v>
      </c>
      <c r="N868" s="94">
        <v>0</v>
      </c>
      <c r="O868" s="94">
        <v>0</v>
      </c>
    </row>
    <row r="869" spans="1:15" x14ac:dyDescent="0.25">
      <c r="A869" s="89">
        <v>44995.333333333336</v>
      </c>
      <c r="B869" s="94">
        <v>357.47045107170771</v>
      </c>
      <c r="C869" s="94">
        <v>300.95999999999998</v>
      </c>
      <c r="D869" s="94">
        <v>77.0322432213122</v>
      </c>
      <c r="E869" s="94">
        <v>5.9892382845348218</v>
      </c>
      <c r="F869" s="94">
        <v>49</v>
      </c>
      <c r="G869" s="94">
        <v>2.8296492622888159</v>
      </c>
      <c r="H869" s="94">
        <v>84.088759400268913</v>
      </c>
      <c r="I869" s="94">
        <v>15.484690331521159</v>
      </c>
      <c r="J869" s="94">
        <v>4514.5702035054919</v>
      </c>
      <c r="K869" s="94">
        <v>2.7789156219834243</v>
      </c>
      <c r="L869" s="94">
        <v>0</v>
      </c>
      <c r="M869" s="94">
        <v>0</v>
      </c>
      <c r="N869" s="94">
        <v>0</v>
      </c>
      <c r="O869" s="94">
        <v>0</v>
      </c>
    </row>
    <row r="870" spans="1:15" x14ac:dyDescent="0.25">
      <c r="A870" s="89">
        <v>44995.833333333336</v>
      </c>
      <c r="B870" s="94">
        <v>357.4</v>
      </c>
      <c r="C870" s="94">
        <v>300.95999999999998</v>
      </c>
      <c r="D870" s="94">
        <v>77.916311226066739</v>
      </c>
      <c r="E870" s="94">
        <v>5.9742440980709608</v>
      </c>
      <c r="F870" s="94">
        <v>51.681475171382203</v>
      </c>
      <c r="G870" s="94">
        <v>2.8556345843114541</v>
      </c>
      <c r="H870" s="94">
        <v>82.6</v>
      </c>
      <c r="I870" s="94">
        <v>15.438421060654564</v>
      </c>
      <c r="J870" s="94">
        <v>4535.9043011912008</v>
      </c>
      <c r="K870" s="94">
        <v>2.7823619317271224</v>
      </c>
      <c r="L870" s="94">
        <v>1</v>
      </c>
      <c r="M870" s="94">
        <v>0</v>
      </c>
      <c r="N870" s="94">
        <v>0</v>
      </c>
      <c r="O870" s="94">
        <v>0</v>
      </c>
    </row>
    <row r="871" spans="1:15" x14ac:dyDescent="0.25">
      <c r="A871" s="89">
        <v>44996.333333333336</v>
      </c>
      <c r="B871" s="94">
        <v>357.4</v>
      </c>
      <c r="C871" s="94">
        <v>300.95999999999998</v>
      </c>
      <c r="D871" s="94">
        <v>75.900000000000006</v>
      </c>
      <c r="E871" s="94">
        <v>5.9681716742122832</v>
      </c>
      <c r="F871" s="94">
        <v>51</v>
      </c>
      <c r="G871" s="94">
        <v>2.8989203306914182</v>
      </c>
      <c r="H871" s="94">
        <v>83.8</v>
      </c>
      <c r="I871" s="94">
        <v>15.463306787440349</v>
      </c>
      <c r="J871" s="94">
        <v>4549.5486414836114</v>
      </c>
      <c r="K871" s="94">
        <v>2.7846526797940725</v>
      </c>
      <c r="L871" s="94">
        <v>1</v>
      </c>
      <c r="M871" s="94">
        <v>0</v>
      </c>
      <c r="N871" s="94">
        <v>0</v>
      </c>
      <c r="O871" s="94">
        <v>0</v>
      </c>
    </row>
    <row r="872" spans="1:15" x14ac:dyDescent="0.25">
      <c r="A872" s="89">
        <v>44996.833333333336</v>
      </c>
      <c r="B872" s="94">
        <v>357.4</v>
      </c>
      <c r="C872" s="94">
        <v>300.95157189952744</v>
      </c>
      <c r="D872" s="94">
        <v>76.236356503277023</v>
      </c>
      <c r="E872" s="94">
        <v>5.96</v>
      </c>
      <c r="F872" s="94">
        <v>45.047326361247571</v>
      </c>
      <c r="G872" s="94">
        <v>2.6670594787597657</v>
      </c>
      <c r="H872" s="94">
        <v>83.3</v>
      </c>
      <c r="I872" s="94">
        <v>15.511498605204189</v>
      </c>
      <c r="J872" s="94">
        <v>4546</v>
      </c>
      <c r="K872" s="94">
        <v>2.783669125895011</v>
      </c>
      <c r="L872" s="94">
        <v>1</v>
      </c>
      <c r="M872" s="94">
        <v>0</v>
      </c>
      <c r="N872" s="94">
        <v>0</v>
      </c>
      <c r="O872" s="94">
        <v>0</v>
      </c>
    </row>
    <row r="873" spans="1:15" x14ac:dyDescent="0.25">
      <c r="A873" s="89">
        <v>44997.333333333336</v>
      </c>
      <c r="B873" s="94">
        <v>357.4</v>
      </c>
      <c r="C873" s="94">
        <v>300.95999999999998</v>
      </c>
      <c r="D873" s="94">
        <v>76.154800415039063</v>
      </c>
      <c r="E873" s="94">
        <v>5.9322690504641971</v>
      </c>
      <c r="F873" s="94">
        <v>46.5</v>
      </c>
      <c r="G873" s="94">
        <v>2.6873071841516407</v>
      </c>
      <c r="H873" s="94">
        <v>84.1</v>
      </c>
      <c r="I873" s="94">
        <v>15.49298709697287</v>
      </c>
      <c r="J873" s="94">
        <v>4508.8264115109605</v>
      </c>
      <c r="K873" s="94">
        <v>2.7769682401452283</v>
      </c>
      <c r="L873" s="94">
        <v>1</v>
      </c>
      <c r="M873" s="94">
        <v>0</v>
      </c>
      <c r="N873" s="94">
        <v>0</v>
      </c>
      <c r="O873" s="94">
        <v>0</v>
      </c>
    </row>
    <row r="874" spans="1:15" x14ac:dyDescent="0.25">
      <c r="A874" s="89">
        <v>44997.833333333336</v>
      </c>
      <c r="B874" s="94">
        <v>357.4</v>
      </c>
      <c r="C874" s="94">
        <v>300.95999999999998</v>
      </c>
      <c r="D874" s="94">
        <v>77.417753406312457</v>
      </c>
      <c r="E874" s="94">
        <v>5.9546739781062623</v>
      </c>
      <c r="F874" s="94">
        <v>47.049989228736472</v>
      </c>
      <c r="G874" s="94">
        <v>2.6839551988621935</v>
      </c>
      <c r="H874" s="94">
        <v>83.4</v>
      </c>
      <c r="I874" s="94">
        <v>15.521129254662894</v>
      </c>
      <c r="J874" s="94">
        <v>4534.2591620509575</v>
      </c>
      <c r="K874" s="94">
        <v>2.7811006771446403</v>
      </c>
      <c r="L874" s="94">
        <v>1</v>
      </c>
      <c r="M874" s="94">
        <v>0</v>
      </c>
      <c r="N874" s="94">
        <v>0</v>
      </c>
      <c r="O874" s="94">
        <v>0</v>
      </c>
    </row>
    <row r="875" spans="1:15" x14ac:dyDescent="0.25">
      <c r="A875" s="89">
        <v>44998.333333333336</v>
      </c>
      <c r="B875" s="94">
        <v>357.1</v>
      </c>
      <c r="C875" s="94">
        <v>300.95999999999998</v>
      </c>
      <c r="D875" s="94">
        <v>78.402779666746753</v>
      </c>
      <c r="E875" s="94">
        <v>5.9482326806998191</v>
      </c>
      <c r="F875" s="94">
        <v>47.60756384082466</v>
      </c>
      <c r="G875" s="94">
        <v>2.6692059256532943</v>
      </c>
      <c r="H875" s="94">
        <v>83.885083640586032</v>
      </c>
      <c r="I875" s="94">
        <v>15.419297816005754</v>
      </c>
      <c r="J875" s="94">
        <v>4535.9540936870353</v>
      </c>
      <c r="K875" s="94">
        <v>2.7823466580765666</v>
      </c>
      <c r="L875" s="94">
        <v>1</v>
      </c>
      <c r="M875" s="94">
        <v>0</v>
      </c>
      <c r="N875" s="94">
        <v>0</v>
      </c>
      <c r="O875" s="94">
        <v>0</v>
      </c>
    </row>
    <row r="876" spans="1:15" x14ac:dyDescent="0.25">
      <c r="A876" s="89">
        <v>44998.833333333336</v>
      </c>
      <c r="B876" s="94">
        <v>357.1</v>
      </c>
      <c r="C876" s="94">
        <v>300.95999999999998</v>
      </c>
      <c r="D876" s="94">
        <v>77.8</v>
      </c>
      <c r="E876" s="94">
        <v>5.9449133300781254</v>
      </c>
      <c r="F876" s="94">
        <v>48.752505886310125</v>
      </c>
      <c r="G876" s="94">
        <v>2.7113665771484374</v>
      </c>
      <c r="H876" s="94">
        <v>83.676000976562506</v>
      </c>
      <c r="I876" s="94">
        <v>15.433673438215978</v>
      </c>
      <c r="J876" s="94">
        <v>4546</v>
      </c>
      <c r="K876" s="94">
        <v>2.7852243629142261</v>
      </c>
      <c r="L876" s="94">
        <v>1</v>
      </c>
      <c r="M876" s="94">
        <v>0</v>
      </c>
      <c r="N876" s="94">
        <v>0</v>
      </c>
      <c r="O876" s="94">
        <v>0</v>
      </c>
    </row>
    <row r="877" spans="1:15" x14ac:dyDescent="0.25">
      <c r="A877" s="89">
        <v>44999.333333333336</v>
      </c>
      <c r="B877" s="94">
        <v>357.08</v>
      </c>
      <c r="C877" s="94">
        <v>300.95548159207431</v>
      </c>
      <c r="D877" s="94">
        <v>77.986811269629982</v>
      </c>
      <c r="E877" s="94">
        <v>5.9633466967470499</v>
      </c>
      <c r="F877" s="94">
        <v>48.415281618070985</v>
      </c>
      <c r="G877" s="94">
        <v>2.683250274658203</v>
      </c>
      <c r="H877" s="94">
        <v>84.287279553376933</v>
      </c>
      <c r="I877" s="94">
        <v>15.450760498046876</v>
      </c>
      <c r="J877" s="94">
        <v>4559.1846808276232</v>
      </c>
      <c r="K877" s="94">
        <v>2.7871103691917427</v>
      </c>
      <c r="L877" s="94">
        <v>1</v>
      </c>
      <c r="M877" s="94">
        <v>0</v>
      </c>
      <c r="N877" s="94">
        <v>0</v>
      </c>
      <c r="O877" s="94">
        <v>0</v>
      </c>
    </row>
    <row r="878" spans="1:15" x14ac:dyDescent="0.25">
      <c r="A878" s="89">
        <v>44999.833333333336</v>
      </c>
      <c r="B878" s="94">
        <v>357.08</v>
      </c>
      <c r="C878" s="94">
        <v>300.95330698655835</v>
      </c>
      <c r="D878" s="94">
        <v>78.449158213594373</v>
      </c>
      <c r="E878" s="94">
        <v>5.9652848279751831</v>
      </c>
      <c r="F878" s="94">
        <v>49.894233706692773</v>
      </c>
      <c r="G878" s="94">
        <v>2.6632869424712662</v>
      </c>
      <c r="H878" s="94">
        <v>83.7</v>
      </c>
      <c r="I878" s="94">
        <v>15.417543977317765</v>
      </c>
      <c r="J878" s="94">
        <v>4562.8090805739675</v>
      </c>
      <c r="K878" s="94">
        <v>2.7869999999999999</v>
      </c>
      <c r="L878" s="94">
        <v>1</v>
      </c>
      <c r="M878" s="94">
        <v>0</v>
      </c>
      <c r="N878" s="94">
        <v>0</v>
      </c>
      <c r="O878" s="94">
        <v>0</v>
      </c>
    </row>
    <row r="879" spans="1:15" x14ac:dyDescent="0.25">
      <c r="A879" s="89">
        <v>45000.333333333336</v>
      </c>
      <c r="B879" s="94">
        <v>356.98</v>
      </c>
      <c r="C879" s="94">
        <v>300.95999999999998</v>
      </c>
      <c r="D879" s="94">
        <v>78.3</v>
      </c>
      <c r="E879" s="94">
        <v>5.9788574268022323</v>
      </c>
      <c r="F879" s="94">
        <v>48.646227967242353</v>
      </c>
      <c r="G879" s="94">
        <v>2.66643556404965</v>
      </c>
      <c r="H879" s="94">
        <v>84.232318063839756</v>
      </c>
      <c r="I879" s="94">
        <v>15.373617060391581</v>
      </c>
      <c r="J879" s="94">
        <v>4546</v>
      </c>
      <c r="K879" s="94">
        <v>2.7839999999999998</v>
      </c>
      <c r="L879" s="94">
        <v>1</v>
      </c>
      <c r="M879" s="94">
        <v>0</v>
      </c>
      <c r="N879" s="94">
        <v>0</v>
      </c>
      <c r="O879" s="94">
        <v>0</v>
      </c>
    </row>
    <row r="880" spans="1:15" x14ac:dyDescent="0.25">
      <c r="A880" s="89">
        <v>45000.833333333336</v>
      </c>
      <c r="B880" s="94">
        <v>356.98</v>
      </c>
      <c r="C880" s="94">
        <v>300.8414564838539</v>
      </c>
      <c r="D880" s="94">
        <v>46.2</v>
      </c>
      <c r="E880" s="94">
        <v>2.6451792860978549</v>
      </c>
      <c r="F880" s="94">
        <v>46.042414799443002</v>
      </c>
      <c r="G880" s="94">
        <v>2.7293880242680033</v>
      </c>
      <c r="H880" s="94">
        <v>83.563388671749266</v>
      </c>
      <c r="I880" s="94">
        <v>15.387167099434857</v>
      </c>
      <c r="J880" s="94">
        <v>4058.6504597800772</v>
      </c>
      <c r="K880" s="94">
        <v>2.6966723010103717</v>
      </c>
      <c r="L880" s="94">
        <v>1</v>
      </c>
      <c r="M880" s="94">
        <v>0</v>
      </c>
      <c r="N880" s="94">
        <v>0</v>
      </c>
      <c r="O880" s="94">
        <v>0</v>
      </c>
    </row>
    <row r="881" spans="1:15" x14ac:dyDescent="0.25">
      <c r="A881" s="89">
        <v>45001.333333333336</v>
      </c>
      <c r="B881" s="94">
        <v>356.9</v>
      </c>
      <c r="C881" s="94">
        <v>300.83999999999997</v>
      </c>
      <c r="D881" s="94">
        <v>47.480566212275605</v>
      </c>
      <c r="E881" s="94">
        <v>2.7516241877532299</v>
      </c>
      <c r="F881" s="94">
        <v>47.1</v>
      </c>
      <c r="G881" s="94">
        <v>2.6672069650221477</v>
      </c>
      <c r="H881" s="94">
        <v>84.634650614175456</v>
      </c>
      <c r="I881" s="94">
        <v>15.4</v>
      </c>
      <c r="J881" s="94">
        <v>4044</v>
      </c>
      <c r="K881" s="94">
        <v>2.6946089498481656</v>
      </c>
      <c r="L881" s="94">
        <v>1</v>
      </c>
      <c r="M881" s="94">
        <v>0</v>
      </c>
      <c r="N881" s="94">
        <v>0</v>
      </c>
      <c r="O881" s="94">
        <v>0</v>
      </c>
    </row>
    <row r="882" spans="1:15" x14ac:dyDescent="0.25">
      <c r="A882" s="89">
        <v>45001.833333333336</v>
      </c>
      <c r="B882" s="94">
        <v>356.9</v>
      </c>
      <c r="C882" s="94">
        <v>300.83999999999997</v>
      </c>
      <c r="D882" s="94">
        <v>44.851391293129154</v>
      </c>
      <c r="E882" s="94">
        <v>2.5544174467237601</v>
      </c>
      <c r="F882" s="94">
        <v>44.2</v>
      </c>
      <c r="G882" s="94">
        <v>2.5845088296001837</v>
      </c>
      <c r="H882" s="94">
        <v>84.1</v>
      </c>
      <c r="I882" s="94">
        <v>15.542239990234375</v>
      </c>
      <c r="J882" s="94">
        <v>4000.1928721004565</v>
      </c>
      <c r="K882" s="94">
        <v>2.6858836161982458</v>
      </c>
      <c r="L882" s="94">
        <v>1</v>
      </c>
      <c r="M882" s="94">
        <v>0</v>
      </c>
      <c r="N882" s="94">
        <v>0</v>
      </c>
      <c r="O882" s="94">
        <v>0</v>
      </c>
    </row>
    <row r="883" spans="1:15" x14ac:dyDescent="0.25">
      <c r="A883" s="89">
        <v>45002.333333333336</v>
      </c>
      <c r="B883" s="94">
        <v>356.82</v>
      </c>
      <c r="C883" s="94">
        <v>300.83999999999997</v>
      </c>
      <c r="D883" s="94">
        <v>45.7</v>
      </c>
      <c r="E883" s="94">
        <v>2.5581303405761719</v>
      </c>
      <c r="F883" s="94">
        <v>43.520513597011359</v>
      </c>
      <c r="G883" s="94">
        <v>2.5255297753419366</v>
      </c>
      <c r="H883" s="94">
        <v>84.8</v>
      </c>
      <c r="I883" s="94">
        <v>15.519411483110433</v>
      </c>
      <c r="J883" s="94">
        <v>4044</v>
      </c>
      <c r="K883" s="94">
        <v>2.6927797968604161</v>
      </c>
      <c r="L883" s="94">
        <v>1</v>
      </c>
      <c r="M883" s="94">
        <v>0</v>
      </c>
      <c r="N883" s="94">
        <v>0</v>
      </c>
      <c r="O883" s="94">
        <v>0</v>
      </c>
    </row>
    <row r="884" spans="1:15" x14ac:dyDescent="0.25">
      <c r="A884" s="89">
        <v>45002.833333333336</v>
      </c>
      <c r="B884" s="94">
        <v>356.82</v>
      </c>
      <c r="C884" s="94">
        <v>300.83999999999997</v>
      </c>
      <c r="D884" s="94">
        <v>47.3</v>
      </c>
      <c r="E884" s="94">
        <v>2.5701070149739582</v>
      </c>
      <c r="F884" s="94">
        <v>44.3</v>
      </c>
      <c r="G884" s="94">
        <v>2.58577669161448</v>
      </c>
      <c r="H884" s="94">
        <v>84.038442223304799</v>
      </c>
      <c r="I884" s="94">
        <v>15.519237061506999</v>
      </c>
      <c r="J884" s="94">
        <v>4006.2123940126617</v>
      </c>
      <c r="K884" s="94">
        <v>2.6870984219635754</v>
      </c>
      <c r="L884" s="94">
        <v>1</v>
      </c>
      <c r="M884" s="94">
        <v>0</v>
      </c>
      <c r="N884" s="94">
        <v>0</v>
      </c>
      <c r="O884" s="94">
        <v>0</v>
      </c>
    </row>
    <row r="885" spans="1:15" x14ac:dyDescent="0.25">
      <c r="A885" s="89">
        <v>45003.333333333336</v>
      </c>
      <c r="B885" s="94">
        <v>356.82</v>
      </c>
      <c r="C885" s="94">
        <v>300.83999999999997</v>
      </c>
      <c r="D885" s="94">
        <v>47.5</v>
      </c>
      <c r="E885" s="94">
        <v>2.5572599792480468</v>
      </c>
      <c r="F885" s="94">
        <v>45</v>
      </c>
      <c r="G885" s="94">
        <v>2.5821160991654994</v>
      </c>
      <c r="H885" s="94">
        <v>85.589398181585906</v>
      </c>
      <c r="I885" s="94">
        <v>15.544654736136094</v>
      </c>
      <c r="J885" s="94">
        <v>4028.5804306422037</v>
      </c>
      <c r="K885" s="94">
        <v>2.6911115475521195</v>
      </c>
      <c r="L885" s="94">
        <v>1</v>
      </c>
      <c r="M885" s="94">
        <v>0</v>
      </c>
      <c r="N885" s="94">
        <v>0</v>
      </c>
      <c r="O885" s="94">
        <v>0</v>
      </c>
    </row>
    <row r="886" spans="1:15" x14ac:dyDescent="0.25">
      <c r="A886" s="89">
        <v>45003.833333333336</v>
      </c>
      <c r="B886" s="94">
        <v>356.82</v>
      </c>
      <c r="C886" s="94">
        <v>300.83999999999997</v>
      </c>
      <c r="D886" s="94">
        <v>46.806944717000057</v>
      </c>
      <c r="E886" s="94">
        <v>2.58</v>
      </c>
      <c r="F886" s="94">
        <v>46.8</v>
      </c>
      <c r="G886" s="94">
        <v>2.5721620589583014</v>
      </c>
      <c r="H886" s="94">
        <v>84.1</v>
      </c>
      <c r="I886" s="94">
        <v>15.460360107421874</v>
      </c>
      <c r="J886" s="94">
        <v>4030.8145428340877</v>
      </c>
      <c r="K886" s="94">
        <v>2.6924455486761123</v>
      </c>
      <c r="L886" s="94">
        <v>1</v>
      </c>
      <c r="M886" s="94">
        <v>0</v>
      </c>
      <c r="N886" s="94">
        <v>0</v>
      </c>
      <c r="O886" s="94">
        <v>0</v>
      </c>
    </row>
    <row r="887" spans="1:15" x14ac:dyDescent="0.25">
      <c r="A887" s="89">
        <v>45004.333333333336</v>
      </c>
      <c r="B887" s="94">
        <v>356.82</v>
      </c>
      <c r="C887" s="94">
        <v>300.83999999999997</v>
      </c>
      <c r="D887" s="94">
        <v>46.641653717482313</v>
      </c>
      <c r="E887" s="94">
        <v>2.54064969587745</v>
      </c>
      <c r="F887" s="94">
        <v>46.408714701777456</v>
      </c>
      <c r="G887" s="94">
        <v>2.5966276817529903</v>
      </c>
      <c r="H887" s="94">
        <v>85.3</v>
      </c>
      <c r="I887" s="94">
        <v>15.570595510481727</v>
      </c>
      <c r="J887" s="94">
        <v>4045.8084226244814</v>
      </c>
      <c r="K887" s="94">
        <v>2.6943391558894039</v>
      </c>
      <c r="L887" s="94">
        <v>1</v>
      </c>
      <c r="M887" s="94">
        <v>0</v>
      </c>
      <c r="N887" s="94">
        <v>0</v>
      </c>
      <c r="O887" s="94">
        <v>0</v>
      </c>
    </row>
    <row r="888" spans="1:15" x14ac:dyDescent="0.25">
      <c r="A888" s="89">
        <v>45004.833333333336</v>
      </c>
      <c r="B888" s="94">
        <v>356.82</v>
      </c>
      <c r="C888" s="94">
        <v>300.83999999999997</v>
      </c>
      <c r="D888" s="94">
        <v>48.817133585611977</v>
      </c>
      <c r="E888" s="94">
        <v>2.5680262976836632</v>
      </c>
      <c r="F888" s="94">
        <v>48.4</v>
      </c>
      <c r="G888" s="94">
        <v>2.5499999999999998</v>
      </c>
      <c r="H888" s="94">
        <v>84.0724717813994</v>
      </c>
      <c r="I888" s="94">
        <v>15.252022574880481</v>
      </c>
      <c r="J888" s="94">
        <v>4049</v>
      </c>
      <c r="K888" s="94">
        <v>2.6949999999999998</v>
      </c>
      <c r="L888" s="94">
        <v>1</v>
      </c>
      <c r="M888" s="94">
        <v>0</v>
      </c>
      <c r="N888" s="94">
        <v>0</v>
      </c>
      <c r="O888" s="94">
        <v>0</v>
      </c>
    </row>
    <row r="889" spans="1:15" x14ac:dyDescent="0.25">
      <c r="A889" s="89">
        <v>45005.333333333336</v>
      </c>
      <c r="B889" s="94">
        <v>356.59</v>
      </c>
      <c r="C889" s="94">
        <v>300.83999999999997</v>
      </c>
      <c r="D889" s="94">
        <v>46.409804648930233</v>
      </c>
      <c r="E889" s="94">
        <v>2.5692199707031249</v>
      </c>
      <c r="F889" s="94">
        <v>47.003050109566196</v>
      </c>
      <c r="G889" s="94">
        <v>2.6022898864746091</v>
      </c>
      <c r="H889" s="94">
        <v>85.409687311021386</v>
      </c>
      <c r="I889" s="94">
        <v>15.561213694316045</v>
      </c>
      <c r="J889" s="94">
        <v>4037.1686407017705</v>
      </c>
      <c r="K889" s="94">
        <v>2.6928639425730796</v>
      </c>
      <c r="L889" s="94">
        <v>1</v>
      </c>
      <c r="M889" s="94">
        <v>0</v>
      </c>
      <c r="N889" s="94">
        <v>0</v>
      </c>
      <c r="O889" s="94">
        <v>0</v>
      </c>
    </row>
    <row r="890" spans="1:15" x14ac:dyDescent="0.25">
      <c r="A890" s="89">
        <v>45005.833333333336</v>
      </c>
      <c r="B890" s="94">
        <v>356.59</v>
      </c>
      <c r="C890" s="94">
        <v>300.83999999999997</v>
      </c>
      <c r="D890" s="94">
        <v>47.7</v>
      </c>
      <c r="E890" s="94">
        <v>2.5789196777343752</v>
      </c>
      <c r="F890" s="94">
        <v>47.014431915588872</v>
      </c>
      <c r="G890" s="94">
        <v>2.6181726074966809</v>
      </c>
      <c r="H890" s="94">
        <v>85.588765081139769</v>
      </c>
      <c r="I890" s="94">
        <v>15.14109798069016</v>
      </c>
      <c r="J890" s="94">
        <v>4033</v>
      </c>
      <c r="K890" s="94">
        <v>2.6921091366536012</v>
      </c>
      <c r="L890" s="94">
        <v>1</v>
      </c>
      <c r="M890" s="94">
        <v>0</v>
      </c>
      <c r="N890" s="94">
        <v>0</v>
      </c>
      <c r="O890" s="94">
        <v>0</v>
      </c>
    </row>
    <row r="891" spans="1:15" x14ac:dyDescent="0.25">
      <c r="A891" s="89">
        <v>45006.333333333336</v>
      </c>
      <c r="B891" s="94">
        <v>356.53</v>
      </c>
      <c r="C891" s="94">
        <v>300.83999999999997</v>
      </c>
      <c r="D891" s="94">
        <v>46.5</v>
      </c>
      <c r="E891" s="94">
        <v>2.5878519778165887</v>
      </c>
      <c r="F891" s="94">
        <v>47.210970587465368</v>
      </c>
      <c r="G891" s="94">
        <v>2.5618609670213166</v>
      </c>
      <c r="H891" s="94">
        <v>85.51802940982526</v>
      </c>
      <c r="I891" s="94">
        <v>15.501705955388106</v>
      </c>
      <c r="J891" s="94">
        <v>4033</v>
      </c>
      <c r="K891" s="94">
        <v>2.6920000000000002</v>
      </c>
      <c r="L891" s="94">
        <v>1</v>
      </c>
      <c r="M891" s="94">
        <v>0</v>
      </c>
      <c r="N891" s="94">
        <v>0</v>
      </c>
      <c r="O891" s="94">
        <v>0</v>
      </c>
    </row>
    <row r="892" spans="1:15" x14ac:dyDescent="0.25">
      <c r="A892" s="89">
        <v>45006.833333333336</v>
      </c>
      <c r="B892" s="94">
        <v>356.53</v>
      </c>
      <c r="C892" s="94">
        <v>300.64999999999998</v>
      </c>
      <c r="D892" s="94">
        <v>69.648599987495231</v>
      </c>
      <c r="E892" s="94">
        <v>4.78</v>
      </c>
      <c r="F892" s="94">
        <v>42.6</v>
      </c>
      <c r="G892" s="94">
        <v>2.2602858998031774</v>
      </c>
      <c r="H892" s="94">
        <v>50.855855723985613</v>
      </c>
      <c r="I892" s="94">
        <v>6.9801197167380229</v>
      </c>
      <c r="J892" s="94">
        <v>2981.7878020125936</v>
      </c>
      <c r="K892" s="94">
        <v>2.4781448845651974</v>
      </c>
      <c r="L892" s="94">
        <v>0</v>
      </c>
      <c r="M892" s="94">
        <v>0</v>
      </c>
      <c r="N892" s="94">
        <v>0</v>
      </c>
      <c r="O892" s="94">
        <v>0</v>
      </c>
    </row>
    <row r="893" spans="1:15" x14ac:dyDescent="0.25">
      <c r="A893" s="89">
        <v>45007.333333333336</v>
      </c>
      <c r="B893" s="94">
        <v>356.45</v>
      </c>
      <c r="C893" s="94">
        <v>300.64999999999998</v>
      </c>
      <c r="D893" s="94">
        <v>69.3</v>
      </c>
      <c r="E893" s="94">
        <v>4.7417519474568506</v>
      </c>
      <c r="F893" s="94">
        <v>42.6</v>
      </c>
      <c r="G893" s="94">
        <v>2.2988585786073221</v>
      </c>
      <c r="H893" s="94">
        <v>50.957591593766409</v>
      </c>
      <c r="I893" s="94">
        <v>6.9486577478786025</v>
      </c>
      <c r="J893" s="94">
        <v>2994</v>
      </c>
      <c r="K893" s="94">
        <v>2.4809285996201575</v>
      </c>
      <c r="L893" s="94">
        <v>0</v>
      </c>
      <c r="M893" s="94">
        <v>0</v>
      </c>
      <c r="N893" s="94">
        <v>0</v>
      </c>
      <c r="O893" s="94">
        <v>0</v>
      </c>
    </row>
    <row r="894" spans="1:15" x14ac:dyDescent="0.25">
      <c r="A894" s="89">
        <v>45007.833333333336</v>
      </c>
      <c r="B894" s="94">
        <v>356.45</v>
      </c>
      <c r="C894" s="94">
        <v>300.43702599278294</v>
      </c>
      <c r="D894" s="94">
        <v>90.253507643479566</v>
      </c>
      <c r="E894" s="94">
        <v>6.9990379940371534</v>
      </c>
      <c r="F894" s="94">
        <v>54.186793066505949</v>
      </c>
      <c r="G894" s="94">
        <v>3.2417620284099589</v>
      </c>
      <c r="H894" s="94">
        <v>0.74084473207993151</v>
      </c>
      <c r="I894" s="94">
        <v>0</v>
      </c>
      <c r="J894" s="94">
        <v>2014.8249799510256</v>
      </c>
      <c r="K894" s="94">
        <v>2.236355026199532</v>
      </c>
      <c r="L894" s="94">
        <v>0</v>
      </c>
      <c r="M894" s="94">
        <v>0</v>
      </c>
      <c r="N894" s="94">
        <v>0</v>
      </c>
      <c r="O894" s="94">
        <v>0</v>
      </c>
    </row>
    <row r="895" spans="1:15" x14ac:dyDescent="0.25">
      <c r="A895" s="89">
        <v>45008.333333333336</v>
      </c>
      <c r="B895" s="94">
        <v>356.45</v>
      </c>
      <c r="C895" s="94">
        <v>300.43924336867258</v>
      </c>
      <c r="D895" s="94">
        <v>90.71133927052017</v>
      </c>
      <c r="E895" s="94">
        <v>7.000589988784605</v>
      </c>
      <c r="F895" s="94">
        <v>55.299066921213416</v>
      </c>
      <c r="G895" s="94">
        <v>3.3118571533977716</v>
      </c>
      <c r="H895" s="94">
        <v>0.82466808195750163</v>
      </c>
      <c r="I895" s="94">
        <v>0</v>
      </c>
      <c r="J895" s="94">
        <v>2060.6046187949487</v>
      </c>
      <c r="K895" s="94">
        <v>2.2497624370991791</v>
      </c>
      <c r="L895" s="94">
        <v>0</v>
      </c>
      <c r="M895" s="94">
        <v>0</v>
      </c>
      <c r="N895" s="94">
        <v>0</v>
      </c>
      <c r="O895" s="94">
        <v>0</v>
      </c>
    </row>
    <row r="896" spans="1:15" x14ac:dyDescent="0.25">
      <c r="A896" s="89">
        <v>45008.833333333336</v>
      </c>
      <c r="B896" s="94">
        <v>356.45</v>
      </c>
      <c r="C896" s="94">
        <v>300.43656499226887</v>
      </c>
      <c r="D896" s="94">
        <v>89.3</v>
      </c>
      <c r="E896" s="94">
        <v>6.9521929188737106</v>
      </c>
      <c r="F896" s="94">
        <v>54.05620455847734</v>
      </c>
      <c r="G896" s="94">
        <v>3.2892679219208842</v>
      </c>
      <c r="H896" s="94">
        <v>0.94900307283216567</v>
      </c>
      <c r="I896" s="94">
        <v>0</v>
      </c>
      <c r="J896" s="94">
        <v>2011.9947886199343</v>
      </c>
      <c r="K896" s="94">
        <v>2.235619148373754</v>
      </c>
      <c r="L896" s="94">
        <v>0</v>
      </c>
      <c r="M896" s="94">
        <v>0</v>
      </c>
      <c r="N896" s="94">
        <v>0</v>
      </c>
      <c r="O896" s="94">
        <v>0</v>
      </c>
    </row>
    <row r="897" spans="1:15" x14ac:dyDescent="0.25">
      <c r="A897" s="89">
        <v>45009.333333333336</v>
      </c>
      <c r="B897" s="94">
        <v>356.43</v>
      </c>
      <c r="C897" s="94">
        <v>300.43</v>
      </c>
      <c r="D897" s="94">
        <v>89.5</v>
      </c>
      <c r="E897" s="94">
        <v>7.0142640904230946</v>
      </c>
      <c r="F897" s="94">
        <v>57.106333211263021</v>
      </c>
      <c r="G897" s="94">
        <v>3.26</v>
      </c>
      <c r="H897" s="94">
        <v>1</v>
      </c>
      <c r="I897" s="94">
        <v>0</v>
      </c>
      <c r="J897" s="94">
        <v>2010</v>
      </c>
      <c r="K897" s="94">
        <v>2.2349999999999999</v>
      </c>
      <c r="L897" s="94">
        <v>0</v>
      </c>
      <c r="M897" s="94">
        <v>0</v>
      </c>
      <c r="N897" s="94">
        <v>0</v>
      </c>
      <c r="O897" s="94">
        <v>0</v>
      </c>
    </row>
    <row r="898" spans="1:15" x14ac:dyDescent="0.25">
      <c r="A898" s="89">
        <v>45009.833333333336</v>
      </c>
      <c r="B898" s="94">
        <v>356.43</v>
      </c>
      <c r="C898" s="94">
        <v>300.44</v>
      </c>
      <c r="D898" s="94">
        <v>90.2</v>
      </c>
      <c r="E898" s="94">
        <v>6.998799896240234</v>
      </c>
      <c r="F898" s="94">
        <v>57.3</v>
      </c>
      <c r="G898" s="94">
        <v>3.2351602172851561</v>
      </c>
      <c r="H898" s="94">
        <v>1</v>
      </c>
      <c r="I898" s="94">
        <v>0</v>
      </c>
      <c r="J898" s="94">
        <v>2021.3825592475362</v>
      </c>
      <c r="K898" s="94">
        <v>2.2388863217631569</v>
      </c>
      <c r="L898" s="94">
        <v>0.21188765708024604</v>
      </c>
      <c r="M898" s="94">
        <v>0</v>
      </c>
      <c r="N898" s="94">
        <v>0</v>
      </c>
      <c r="O898" s="94">
        <v>0</v>
      </c>
    </row>
    <row r="899" spans="1:15" x14ac:dyDescent="0.25">
      <c r="A899" s="89">
        <v>45010.333333333336</v>
      </c>
      <c r="B899" s="94">
        <v>356.43</v>
      </c>
      <c r="C899" s="94">
        <v>300.44</v>
      </c>
      <c r="D899" s="94">
        <v>90.3</v>
      </c>
      <c r="E899" s="94">
        <v>7.0328180626010228</v>
      </c>
      <c r="F899" s="94">
        <v>53.463278061311016</v>
      </c>
      <c r="G899" s="94">
        <v>3.3138904137440277</v>
      </c>
      <c r="H899" s="94">
        <v>1</v>
      </c>
      <c r="I899" s="94">
        <v>0</v>
      </c>
      <c r="J899" s="94">
        <v>2017.5929000393901</v>
      </c>
      <c r="K899" s="94">
        <v>2.2376312937808285</v>
      </c>
      <c r="L899" s="94">
        <v>1</v>
      </c>
      <c r="M899" s="94">
        <v>0</v>
      </c>
      <c r="N899" s="94">
        <v>0</v>
      </c>
      <c r="O899" s="94">
        <v>0</v>
      </c>
    </row>
    <row r="900" spans="1:15" x14ac:dyDescent="0.25">
      <c r="A900" s="89">
        <v>45010.833333333336</v>
      </c>
      <c r="B900" s="94">
        <v>356.43</v>
      </c>
      <c r="C900" s="94">
        <v>299.77031055428569</v>
      </c>
      <c r="D900" s="94">
        <v>3.6</v>
      </c>
      <c r="E900" s="94">
        <v>0</v>
      </c>
      <c r="F900" s="94">
        <v>40.338657035541004</v>
      </c>
      <c r="G900" s="94">
        <v>2.2294799804687502</v>
      </c>
      <c r="H900" s="94">
        <v>1</v>
      </c>
      <c r="I900" s="94">
        <v>0</v>
      </c>
      <c r="J900" s="94">
        <v>521.19842503366738</v>
      </c>
      <c r="K900" s="94">
        <v>1.5964453618241745</v>
      </c>
      <c r="L900" s="94">
        <v>0</v>
      </c>
      <c r="M900" s="94">
        <v>0</v>
      </c>
      <c r="N900" s="94">
        <v>0</v>
      </c>
      <c r="O900" s="94">
        <v>0</v>
      </c>
    </row>
    <row r="901" spans="1:15" x14ac:dyDescent="0.25">
      <c r="A901" s="89">
        <v>45011.333333333336</v>
      </c>
      <c r="B901" s="94">
        <v>356.43</v>
      </c>
      <c r="C901" s="94">
        <v>299.77</v>
      </c>
      <c r="D901" s="94">
        <v>3.5468467980935365</v>
      </c>
      <c r="E901" s="94">
        <v>0</v>
      </c>
      <c r="F901" s="94">
        <v>38.255351745166578</v>
      </c>
      <c r="G901" s="94">
        <v>2.2448130341336214</v>
      </c>
      <c r="H901" s="94">
        <v>1</v>
      </c>
      <c r="I901" s="94">
        <v>0</v>
      </c>
      <c r="J901" s="94">
        <v>521</v>
      </c>
      <c r="K901" s="94">
        <v>1.5960123560505819</v>
      </c>
      <c r="L901" s="94">
        <v>0</v>
      </c>
      <c r="M901" s="94">
        <v>0</v>
      </c>
      <c r="N901" s="94">
        <v>0</v>
      </c>
      <c r="O901" s="94">
        <v>0</v>
      </c>
    </row>
    <row r="902" spans="1:15" x14ac:dyDescent="0.25">
      <c r="A902" s="89">
        <v>45011.833333333336</v>
      </c>
      <c r="B902" s="94">
        <v>356.43</v>
      </c>
      <c r="C902" s="94">
        <v>299.77055136594385</v>
      </c>
      <c r="D902" s="94">
        <v>3.6189888582128709</v>
      </c>
      <c r="E902" s="94">
        <v>0</v>
      </c>
      <c r="F902" s="94">
        <v>40.298399353027342</v>
      </c>
      <c r="G902" s="94">
        <v>2.2486285608810683</v>
      </c>
      <c r="H902" s="94">
        <v>1</v>
      </c>
      <c r="I902" s="94">
        <v>0</v>
      </c>
      <c r="J902" s="94">
        <v>521.19751778144712</v>
      </c>
      <c r="K902" s="94">
        <v>1.5953711374947728</v>
      </c>
      <c r="L902" s="94">
        <v>0.3752964877094398</v>
      </c>
      <c r="M902" s="94">
        <v>0</v>
      </c>
      <c r="N902" s="94">
        <v>0</v>
      </c>
      <c r="O902" s="94">
        <v>0</v>
      </c>
    </row>
    <row r="903" spans="1:15" x14ac:dyDescent="0.25">
      <c r="A903" s="89">
        <v>45012.333333333336</v>
      </c>
      <c r="B903" s="94">
        <v>356.49</v>
      </c>
      <c r="C903" s="94">
        <v>299.77346333821612</v>
      </c>
      <c r="D903" s="94">
        <v>3.5679979695431472</v>
      </c>
      <c r="E903" s="94">
        <v>0</v>
      </c>
      <c r="F903" s="94">
        <v>40.717217570377116</v>
      </c>
      <c r="G903" s="94">
        <v>2.2663605445629993</v>
      </c>
      <c r="H903" s="94">
        <v>1</v>
      </c>
      <c r="I903" s="94">
        <v>0</v>
      </c>
      <c r="J903" s="94">
        <v>521</v>
      </c>
      <c r="K903" s="94">
        <v>1.596830334592608</v>
      </c>
      <c r="L903" s="94">
        <v>0</v>
      </c>
      <c r="M903" s="94">
        <v>0</v>
      </c>
      <c r="N903" s="94">
        <v>0</v>
      </c>
      <c r="O903" s="94">
        <v>0</v>
      </c>
    </row>
    <row r="904" spans="1:15" x14ac:dyDescent="0.25">
      <c r="A904" s="89">
        <v>45012.833333333336</v>
      </c>
      <c r="B904" s="94">
        <v>356.49</v>
      </c>
      <c r="C904" s="94">
        <v>299.77999999999997</v>
      </c>
      <c r="D904" s="94">
        <v>3.5676373299740116</v>
      </c>
      <c r="E904" s="94">
        <v>0</v>
      </c>
      <c r="F904" s="94">
        <v>39.802666113063594</v>
      </c>
      <c r="G904" s="94">
        <v>2.2844188736681885</v>
      </c>
      <c r="H904" s="94">
        <v>1</v>
      </c>
      <c r="I904" s="94">
        <v>0</v>
      </c>
      <c r="J904" s="94">
        <v>517.5978121587483</v>
      </c>
      <c r="K904" s="94">
        <v>1.5936935193370538</v>
      </c>
      <c r="L904" s="94">
        <v>0</v>
      </c>
      <c r="M904" s="94">
        <v>0</v>
      </c>
      <c r="N904" s="94">
        <v>0</v>
      </c>
      <c r="O904" s="94">
        <v>0</v>
      </c>
    </row>
    <row r="905" spans="1:15" x14ac:dyDescent="0.25">
      <c r="A905" s="89">
        <v>45013.333333333336</v>
      </c>
      <c r="B905" s="94">
        <v>356.51</v>
      </c>
      <c r="C905" s="94">
        <v>299.77900073995534</v>
      </c>
      <c r="D905" s="94">
        <v>3.3</v>
      </c>
      <c r="E905" s="94">
        <v>0</v>
      </c>
      <c r="F905" s="94">
        <v>39.4</v>
      </c>
      <c r="G905" s="94">
        <v>2.25</v>
      </c>
      <c r="H905" s="94">
        <v>1</v>
      </c>
      <c r="I905" s="94">
        <v>0</v>
      </c>
      <c r="J905" s="94">
        <v>518</v>
      </c>
      <c r="K905" s="94">
        <v>1.5940338972854124</v>
      </c>
      <c r="L905" s="94">
        <v>0</v>
      </c>
      <c r="M905" s="94">
        <v>0</v>
      </c>
      <c r="N905" s="94">
        <v>0</v>
      </c>
      <c r="O905" s="94">
        <v>0</v>
      </c>
    </row>
    <row r="906" spans="1:15" x14ac:dyDescent="0.25">
      <c r="A906" s="89">
        <v>45013.833333333336</v>
      </c>
      <c r="B906" s="94">
        <v>356.51</v>
      </c>
      <c r="C906" s="94">
        <v>299.77057773860241</v>
      </c>
      <c r="D906" s="94">
        <v>3.5994001907889865</v>
      </c>
      <c r="E906" s="94">
        <v>0</v>
      </c>
      <c r="F906" s="94">
        <v>38.422762165143212</v>
      </c>
      <c r="G906" s="94">
        <v>2.2695389727542374</v>
      </c>
      <c r="H906" s="94">
        <v>1</v>
      </c>
      <c r="I906" s="94">
        <v>0</v>
      </c>
      <c r="J906" s="94">
        <v>521</v>
      </c>
      <c r="K906" s="94">
        <v>1.5954715701570221</v>
      </c>
      <c r="L906" s="94">
        <v>0</v>
      </c>
      <c r="M906" s="94">
        <v>0</v>
      </c>
      <c r="N906" s="94">
        <v>0</v>
      </c>
      <c r="O906" s="94">
        <v>0</v>
      </c>
    </row>
    <row r="907" spans="1:15" x14ac:dyDescent="0.25">
      <c r="A907" s="89">
        <v>45014.333333333336</v>
      </c>
      <c r="B907" s="94">
        <v>356.58</v>
      </c>
      <c r="C907" s="94">
        <v>299.77999999999997</v>
      </c>
      <c r="D907" s="94">
        <v>3.3103131804399584</v>
      </c>
      <c r="E907" s="94">
        <v>0</v>
      </c>
      <c r="F907" s="94">
        <v>40.041690142566438</v>
      </c>
      <c r="G907" s="94">
        <v>2.1856197436106801</v>
      </c>
      <c r="H907" s="94">
        <v>1</v>
      </c>
      <c r="I907" s="94">
        <v>0</v>
      </c>
      <c r="J907" s="94">
        <v>533.80702951860428</v>
      </c>
      <c r="K907" s="94">
        <v>1.6058349537874586</v>
      </c>
      <c r="L907" s="94">
        <v>0</v>
      </c>
      <c r="M907" s="94">
        <v>0</v>
      </c>
      <c r="N907" s="94">
        <v>0</v>
      </c>
      <c r="O907" s="94">
        <v>0</v>
      </c>
    </row>
    <row r="908" spans="1:15" x14ac:dyDescent="0.25">
      <c r="A908" s="89">
        <v>45014.833333333336</v>
      </c>
      <c r="B908" s="94">
        <v>356.58</v>
      </c>
      <c r="C908" s="94">
        <v>299.77461364302087</v>
      </c>
      <c r="D908" s="94">
        <v>3.3585685575664321</v>
      </c>
      <c r="E908" s="94">
        <v>0</v>
      </c>
      <c r="F908" s="94">
        <v>37.700000000000003</v>
      </c>
      <c r="G908" s="94">
        <v>2.2609799486255415</v>
      </c>
      <c r="H908" s="94">
        <v>1</v>
      </c>
      <c r="I908" s="94">
        <v>0</v>
      </c>
      <c r="J908" s="94">
        <v>521.19889864452273</v>
      </c>
      <c r="K908" s="94">
        <v>1.597</v>
      </c>
      <c r="L908" s="94">
        <v>0</v>
      </c>
      <c r="M908" s="94">
        <v>0</v>
      </c>
      <c r="N908" s="94">
        <v>0</v>
      </c>
      <c r="O908" s="94">
        <v>0</v>
      </c>
    </row>
    <row r="909" spans="1:15" x14ac:dyDescent="0.25">
      <c r="A909" s="89">
        <v>45015.333333333336</v>
      </c>
      <c r="B909" s="94">
        <v>356.61</v>
      </c>
      <c r="C909" s="94">
        <v>299.77544006347654</v>
      </c>
      <c r="D909" s="94">
        <v>3.1</v>
      </c>
      <c r="E909" s="94">
        <v>0</v>
      </c>
      <c r="F909" s="94">
        <v>37.104185537554336</v>
      </c>
      <c r="G909" s="94">
        <v>2.2304810029814233</v>
      </c>
      <c r="H909" s="94">
        <v>1.1000000000000001</v>
      </c>
      <c r="I909" s="94">
        <v>0</v>
      </c>
      <c r="J909" s="94">
        <v>521</v>
      </c>
      <c r="K909" s="94">
        <v>1.5946177221292535</v>
      </c>
      <c r="L909" s="94">
        <v>0</v>
      </c>
      <c r="M909" s="94">
        <v>0</v>
      </c>
      <c r="N909" s="94">
        <v>0</v>
      </c>
      <c r="O909" s="94">
        <v>0</v>
      </c>
    </row>
    <row r="910" spans="1:15" x14ac:dyDescent="0.25">
      <c r="A910" s="89">
        <v>45015.833333333336</v>
      </c>
      <c r="B910" s="94">
        <v>356.61</v>
      </c>
      <c r="C910" s="94">
        <v>299.77826438047293</v>
      </c>
      <c r="D910" s="94">
        <v>2.3546850659645155</v>
      </c>
      <c r="E910" s="94">
        <v>0</v>
      </c>
      <c r="F910" s="94">
        <v>38.514655928365116</v>
      </c>
      <c r="G910" s="94">
        <v>2.230464356586781</v>
      </c>
      <c r="H910" s="94">
        <v>1.0981374657401362</v>
      </c>
      <c r="I910" s="94">
        <v>0</v>
      </c>
      <c r="J910" s="94">
        <v>521</v>
      </c>
      <c r="K910" s="94">
        <v>1.5946753955580857</v>
      </c>
      <c r="L910" s="94">
        <v>0</v>
      </c>
      <c r="M910" s="94">
        <v>0</v>
      </c>
      <c r="N910" s="94">
        <v>0</v>
      </c>
      <c r="O910" s="94">
        <v>0</v>
      </c>
    </row>
    <row r="911" spans="1:15" x14ac:dyDescent="0.25">
      <c r="A911" s="89">
        <v>45016.333333333336</v>
      </c>
      <c r="B911" s="94">
        <v>356.66</v>
      </c>
      <c r="C911" s="94">
        <v>299.77704824372563</v>
      </c>
      <c r="D911" s="94">
        <v>2.8</v>
      </c>
      <c r="E911" s="94">
        <v>0</v>
      </c>
      <c r="F911" s="94">
        <v>37.4</v>
      </c>
      <c r="G911" s="94">
        <v>2.2373678365508956</v>
      </c>
      <c r="H911" s="94">
        <v>1.2</v>
      </c>
      <c r="I911" s="94">
        <v>0</v>
      </c>
      <c r="J911" s="94">
        <v>521</v>
      </c>
      <c r="K911" s="94">
        <v>1.5960000000000001</v>
      </c>
      <c r="L911" s="94">
        <v>0</v>
      </c>
      <c r="M911" s="94">
        <v>0</v>
      </c>
      <c r="N911" s="94">
        <v>0</v>
      </c>
      <c r="O911" s="94">
        <v>0</v>
      </c>
    </row>
    <row r="912" spans="1:15" x14ac:dyDescent="0.25">
      <c r="A912" s="89">
        <v>45016.833333333336</v>
      </c>
      <c r="B912" s="94">
        <v>356.66</v>
      </c>
      <c r="C912" s="94">
        <v>299.7729192048908</v>
      </c>
      <c r="D912" s="94">
        <v>3.1</v>
      </c>
      <c r="E912" s="94">
        <v>0</v>
      </c>
      <c r="F912" s="94">
        <v>37.9</v>
      </c>
      <c r="G912" s="94">
        <v>2.2408412885094164</v>
      </c>
      <c r="H912" s="94">
        <v>1.1797665885518644</v>
      </c>
      <c r="I912" s="94">
        <v>0</v>
      </c>
      <c r="J912" s="94">
        <v>520.19507527915675</v>
      </c>
      <c r="K912" s="94">
        <v>1.5952987927082789</v>
      </c>
      <c r="L912" s="94">
        <v>0</v>
      </c>
      <c r="M912" s="94">
        <v>0</v>
      </c>
      <c r="N912" s="94">
        <v>0</v>
      </c>
      <c r="O912" s="94">
        <v>0</v>
      </c>
    </row>
    <row r="913" spans="1:15" x14ac:dyDescent="0.25">
      <c r="A913" s="89">
        <v>45017.333333333336</v>
      </c>
      <c r="B913" s="94">
        <v>356.66</v>
      </c>
      <c r="C913" s="94">
        <v>299.77688171863554</v>
      </c>
      <c r="D913" s="94">
        <v>2.8</v>
      </c>
      <c r="E913" s="94">
        <v>0</v>
      </c>
      <c r="F913" s="94">
        <v>37.552102091781798</v>
      </c>
      <c r="G913" s="94">
        <v>2.25</v>
      </c>
      <c r="H913" s="94">
        <v>1.2</v>
      </c>
      <c r="I913" s="94">
        <v>0</v>
      </c>
      <c r="J913" s="94">
        <v>521.83458091245234</v>
      </c>
      <c r="K913" s="94">
        <v>1.5966526756012831</v>
      </c>
      <c r="L913" s="94">
        <v>0</v>
      </c>
      <c r="M913" s="94">
        <v>0</v>
      </c>
      <c r="N913" s="94">
        <v>0</v>
      </c>
      <c r="O913" s="94">
        <v>0</v>
      </c>
    </row>
    <row r="914" spans="1:15" x14ac:dyDescent="0.25">
      <c r="A914" s="89">
        <v>45017.833333333336</v>
      </c>
      <c r="B914" s="94">
        <v>356.66</v>
      </c>
      <c r="C914" s="94">
        <v>299.77999999999997</v>
      </c>
      <c r="D914" s="94">
        <v>3.1742996215820316</v>
      </c>
      <c r="E914" s="94">
        <v>0</v>
      </c>
      <c r="F914" s="94">
        <v>37.81651102701823</v>
      </c>
      <c r="G914" s="94">
        <v>2.2147592163085936</v>
      </c>
      <c r="H914" s="94">
        <v>1.1000000000000001</v>
      </c>
      <c r="I914" s="94">
        <v>0</v>
      </c>
      <c r="J914" s="94">
        <v>521</v>
      </c>
      <c r="K914" s="94">
        <v>1.5960000000000001</v>
      </c>
      <c r="L914" s="94">
        <v>0</v>
      </c>
      <c r="M914" s="94">
        <v>0</v>
      </c>
      <c r="N914" s="94">
        <v>0</v>
      </c>
      <c r="O914" s="94">
        <v>0</v>
      </c>
    </row>
    <row r="915" spans="1:15" x14ac:dyDescent="0.25">
      <c r="A915" s="89">
        <v>45018.333333333336</v>
      </c>
      <c r="B915" s="94">
        <v>356.66</v>
      </c>
      <c r="C915" s="94">
        <v>299.77999999999997</v>
      </c>
      <c r="D915" s="94">
        <v>2.902400207519531</v>
      </c>
      <c r="E915" s="94">
        <v>0</v>
      </c>
      <c r="F915" s="94">
        <v>37.700000000000003</v>
      </c>
      <c r="G915" s="94">
        <v>2.2802101135253903</v>
      </c>
      <c r="H915" s="94">
        <v>1.2</v>
      </c>
      <c r="I915" s="94">
        <v>0</v>
      </c>
      <c r="J915" s="94">
        <v>517.09867147674618</v>
      </c>
      <c r="K915" s="94">
        <v>1.5930258859785102</v>
      </c>
      <c r="L915" s="94">
        <v>0</v>
      </c>
      <c r="M915" s="94">
        <v>0</v>
      </c>
      <c r="N915" s="94">
        <v>0</v>
      </c>
      <c r="O915" s="94">
        <v>0</v>
      </c>
    </row>
    <row r="916" spans="1:15" x14ac:dyDescent="0.25">
      <c r="A916" s="89">
        <v>45018.833333333336</v>
      </c>
      <c r="B916" s="94">
        <v>356.66</v>
      </c>
      <c r="C916" s="94">
        <v>299.77999999999997</v>
      </c>
      <c r="D916" s="94">
        <v>3.2850969386418987</v>
      </c>
      <c r="E916" s="94">
        <v>0</v>
      </c>
      <c r="F916" s="94">
        <v>37.931826707627415</v>
      </c>
      <c r="G916" s="94">
        <v>2.2788413725279284</v>
      </c>
      <c r="H916" s="94">
        <v>1</v>
      </c>
      <c r="I916" s="94">
        <v>0</v>
      </c>
      <c r="J916" s="94">
        <v>521</v>
      </c>
      <c r="K916" s="94">
        <v>1.5956503082814821</v>
      </c>
      <c r="L916" s="94">
        <v>0</v>
      </c>
      <c r="M916" s="94">
        <v>0</v>
      </c>
      <c r="N916" s="94">
        <v>0</v>
      </c>
      <c r="O916" s="94">
        <v>0</v>
      </c>
    </row>
    <row r="917" spans="1:15" x14ac:dyDescent="0.25">
      <c r="A917" s="89">
        <v>45019.333333333336</v>
      </c>
      <c r="B917" s="94">
        <v>356.72417510729707</v>
      </c>
      <c r="C917" s="94">
        <v>299.77999999999997</v>
      </c>
      <c r="D917" s="94">
        <v>3.2</v>
      </c>
      <c r="E917" s="94">
        <v>0</v>
      </c>
      <c r="F917" s="94">
        <v>37.898411101684644</v>
      </c>
      <c r="G917" s="94">
        <v>2.279369659423828</v>
      </c>
      <c r="H917" s="94">
        <v>1.1000000000000001</v>
      </c>
      <c r="I917" s="94">
        <v>0</v>
      </c>
      <c r="J917" s="94">
        <v>521</v>
      </c>
      <c r="K917" s="94">
        <v>1.597</v>
      </c>
      <c r="L917" s="94">
        <v>0</v>
      </c>
      <c r="M917" s="94">
        <v>0</v>
      </c>
      <c r="N917" s="94">
        <v>0</v>
      </c>
      <c r="O917" s="94">
        <v>0</v>
      </c>
    </row>
    <row r="918" spans="1:15" x14ac:dyDescent="0.25">
      <c r="A918" s="89">
        <v>45019.833333333336</v>
      </c>
      <c r="B918" s="94">
        <v>356.74</v>
      </c>
      <c r="C918" s="94">
        <v>299.77999999999997</v>
      </c>
      <c r="D918" s="94">
        <v>3.3962448838254291</v>
      </c>
      <c r="E918" s="94">
        <v>0</v>
      </c>
      <c r="F918" s="94">
        <v>38.118645077352511</v>
      </c>
      <c r="G918" s="94">
        <v>2.2126403808593751</v>
      </c>
      <c r="H918" s="94">
        <v>1.0875520564307852</v>
      </c>
      <c r="I918" s="94">
        <v>0</v>
      </c>
      <c r="J918" s="94">
        <v>518.60392221715722</v>
      </c>
      <c r="K918" s="94">
        <v>1.5960000000000001</v>
      </c>
      <c r="L918" s="94">
        <v>0</v>
      </c>
      <c r="M918" s="94">
        <v>0</v>
      </c>
      <c r="N918" s="94">
        <v>0</v>
      </c>
      <c r="O918" s="94">
        <v>0</v>
      </c>
    </row>
    <row r="919" spans="1:15" x14ac:dyDescent="0.25">
      <c r="A919" s="89">
        <v>45020.333333333336</v>
      </c>
      <c r="B919" s="94">
        <v>356.7805564425949</v>
      </c>
      <c r="C919" s="94">
        <v>299.77999999999997</v>
      </c>
      <c r="D919" s="94">
        <v>3.1553599700448922</v>
      </c>
      <c r="E919" s="94">
        <v>0</v>
      </c>
      <c r="F919" s="94">
        <v>37.924632300442667</v>
      </c>
      <c r="G919" s="94">
        <v>2.2518793389812282</v>
      </c>
      <c r="H919" s="94">
        <v>1.0312346974466597</v>
      </c>
      <c r="I919" s="94">
        <v>0</v>
      </c>
      <c r="J919" s="94">
        <v>521</v>
      </c>
      <c r="K919" s="94">
        <v>1.5960000000000001</v>
      </c>
      <c r="L919" s="94">
        <v>0</v>
      </c>
      <c r="M919" s="94">
        <v>0</v>
      </c>
      <c r="N919" s="94">
        <v>0</v>
      </c>
      <c r="O919" s="94">
        <v>0</v>
      </c>
    </row>
    <row r="920" spans="1:15" x14ac:dyDescent="0.25">
      <c r="A920" s="89">
        <v>45020.833333333336</v>
      </c>
      <c r="B920" s="94">
        <v>356.79</v>
      </c>
      <c r="C920" s="94">
        <v>299.77999999999997</v>
      </c>
      <c r="D920" s="94">
        <v>3.5</v>
      </c>
      <c r="E920" s="94">
        <v>0</v>
      </c>
      <c r="F920" s="94">
        <v>38.1</v>
      </c>
      <c r="G920" s="94">
        <v>2.2413322151062314</v>
      </c>
      <c r="H920" s="94">
        <v>1.0504900570190512</v>
      </c>
      <c r="I920" s="94">
        <v>0</v>
      </c>
      <c r="J920" s="94">
        <v>521.2009378584188</v>
      </c>
      <c r="K920" s="94">
        <v>1.5964958439750818</v>
      </c>
      <c r="L920" s="94">
        <v>0</v>
      </c>
      <c r="M920" s="94">
        <v>0</v>
      </c>
      <c r="N920" s="94">
        <v>0</v>
      </c>
      <c r="O920" s="94">
        <v>0</v>
      </c>
    </row>
    <row r="921" spans="1:15" x14ac:dyDescent="0.25">
      <c r="A921" s="89">
        <v>45021.333333333336</v>
      </c>
      <c r="B921" s="94">
        <v>356.79828115473794</v>
      </c>
      <c r="C921" s="94">
        <v>299.77999999999997</v>
      </c>
      <c r="D921" s="94">
        <v>3.1831997256543723</v>
      </c>
      <c r="E921" s="94">
        <v>0</v>
      </c>
      <c r="F921" s="94">
        <v>37.821959508480916</v>
      </c>
      <c r="G921" s="94">
        <v>2.2870198252372451</v>
      </c>
      <c r="H921" s="94">
        <v>1.0261001586914063</v>
      </c>
      <c r="I921" s="94">
        <v>0</v>
      </c>
      <c r="J921" s="94">
        <v>522.8022795191921</v>
      </c>
      <c r="K921" s="94">
        <v>1.5960000000000001</v>
      </c>
      <c r="L921" s="94">
        <v>0</v>
      </c>
      <c r="M921" s="94">
        <v>0</v>
      </c>
      <c r="N921" s="94">
        <v>0</v>
      </c>
      <c r="O921" s="94">
        <v>0</v>
      </c>
    </row>
    <row r="922" spans="1:15" x14ac:dyDescent="0.25">
      <c r="A922" s="89">
        <v>45021.833333333336</v>
      </c>
      <c r="B922" s="94">
        <v>356.8</v>
      </c>
      <c r="C922" s="94">
        <v>299.77999999999997</v>
      </c>
      <c r="D922" s="94">
        <v>3.3825998942057289</v>
      </c>
      <c r="E922" s="94">
        <v>0</v>
      </c>
      <c r="F922" s="94">
        <v>38.1</v>
      </c>
      <c r="G922" s="94">
        <v>2.2674198913574219</v>
      </c>
      <c r="H922" s="94">
        <v>1</v>
      </c>
      <c r="I922" s="94">
        <v>0</v>
      </c>
      <c r="J922" s="94">
        <v>521</v>
      </c>
      <c r="K922" s="94">
        <v>1.5969415114085608</v>
      </c>
      <c r="L922" s="94">
        <v>0</v>
      </c>
      <c r="M922" s="94">
        <v>0</v>
      </c>
      <c r="N922" s="94">
        <v>0</v>
      </c>
      <c r="O922" s="94">
        <v>0</v>
      </c>
    </row>
    <row r="923" spans="1:15" x14ac:dyDescent="0.25">
      <c r="A923" s="89">
        <v>45022.333333333336</v>
      </c>
      <c r="B923" s="94">
        <v>356.80832518234632</v>
      </c>
      <c r="C923" s="94">
        <v>299.77999999999997</v>
      </c>
      <c r="D923" s="94">
        <v>3.139081488715278</v>
      </c>
      <c r="E923" s="94">
        <v>0</v>
      </c>
      <c r="F923" s="94">
        <v>38</v>
      </c>
      <c r="G923" s="94">
        <v>2.2308801269531253</v>
      </c>
      <c r="H923" s="94">
        <v>1.0354641719225159</v>
      </c>
      <c r="I923" s="94">
        <v>0</v>
      </c>
      <c r="J923" s="94">
        <v>521.80016830909096</v>
      </c>
      <c r="K923" s="94">
        <v>1.5981786148155659</v>
      </c>
      <c r="L923" s="94">
        <v>0</v>
      </c>
      <c r="M923" s="94">
        <v>0</v>
      </c>
      <c r="N923" s="94">
        <v>0</v>
      </c>
      <c r="O923" s="94">
        <v>0</v>
      </c>
    </row>
    <row r="924" spans="1:15" x14ac:dyDescent="0.25">
      <c r="A924" s="89">
        <v>45022.833333333336</v>
      </c>
      <c r="B924" s="94">
        <v>356.81</v>
      </c>
      <c r="C924" s="94">
        <v>299.77999999999997</v>
      </c>
      <c r="D924" s="94">
        <v>3.3050118492469993</v>
      </c>
      <c r="E924" s="94">
        <v>0</v>
      </c>
      <c r="F924" s="94">
        <v>38.201667277018231</v>
      </c>
      <c r="G924" s="94">
        <v>2.2982379715900412</v>
      </c>
      <c r="H924" s="94">
        <v>1</v>
      </c>
      <c r="I924" s="94">
        <v>0</v>
      </c>
      <c r="J924" s="94">
        <v>522</v>
      </c>
      <c r="K924" s="94">
        <v>1.597</v>
      </c>
      <c r="L924" s="94">
        <v>0</v>
      </c>
      <c r="M924" s="94">
        <v>0</v>
      </c>
      <c r="N924" s="94">
        <v>0</v>
      </c>
      <c r="O924" s="94">
        <v>0</v>
      </c>
    </row>
    <row r="925" spans="1:15" x14ac:dyDescent="0.25">
      <c r="A925" s="89">
        <v>45023.333333333336</v>
      </c>
      <c r="B925" s="94">
        <v>356.81</v>
      </c>
      <c r="C925" s="94">
        <v>299.78278528406349</v>
      </c>
      <c r="D925" s="94">
        <v>3.154062158126</v>
      </c>
      <c r="E925" s="94">
        <v>0</v>
      </c>
      <c r="F925" s="94">
        <v>37.961886049188251</v>
      </c>
      <c r="G925" s="94">
        <v>2.2514043679884908</v>
      </c>
      <c r="H925" s="94">
        <v>1.0847010122599556</v>
      </c>
      <c r="I925" s="94">
        <v>0</v>
      </c>
      <c r="J925" s="94">
        <v>528.66935867852033</v>
      </c>
      <c r="K925" s="94">
        <v>1.6023367488301501</v>
      </c>
      <c r="L925" s="94">
        <v>0</v>
      </c>
      <c r="M925" s="94">
        <v>0</v>
      </c>
      <c r="N925" s="94">
        <v>0</v>
      </c>
      <c r="O925" s="94">
        <v>0</v>
      </c>
    </row>
    <row r="926" spans="1:15" x14ac:dyDescent="0.25">
      <c r="A926" s="89">
        <v>45023.833333333336</v>
      </c>
      <c r="B926" s="94">
        <v>356.81</v>
      </c>
      <c r="C926" s="94">
        <v>299.77999999999997</v>
      </c>
      <c r="D926" s="94">
        <v>3.1</v>
      </c>
      <c r="E926" s="94">
        <v>0</v>
      </c>
      <c r="F926" s="94">
        <v>37.799999999999997</v>
      </c>
      <c r="G926" s="94">
        <v>2.287437338669029</v>
      </c>
      <c r="H926" s="94">
        <v>1.1000000000000001</v>
      </c>
      <c r="I926" s="94">
        <v>0</v>
      </c>
      <c r="J926" s="94">
        <v>526.00855193137591</v>
      </c>
      <c r="K926" s="94">
        <v>1.6001172657819771</v>
      </c>
      <c r="L926" s="94">
        <v>0</v>
      </c>
      <c r="M926" s="94">
        <v>0</v>
      </c>
      <c r="N926" s="94">
        <v>0</v>
      </c>
      <c r="O926" s="94">
        <v>0</v>
      </c>
    </row>
    <row r="927" spans="1:15" x14ac:dyDescent="0.25">
      <c r="A927" s="89">
        <v>45024.333333333336</v>
      </c>
      <c r="B927" s="94">
        <v>356.81</v>
      </c>
      <c r="C927" s="94">
        <v>299.77999999999997</v>
      </c>
      <c r="D927" s="94">
        <v>3.0789268967200969</v>
      </c>
      <c r="E927" s="94">
        <v>0</v>
      </c>
      <c r="F927" s="94">
        <v>37.660853809187053</v>
      </c>
      <c r="G927" s="94">
        <v>2.2641717764998925</v>
      </c>
      <c r="H927" s="94">
        <v>1.1593404820965751</v>
      </c>
      <c r="I927" s="94">
        <v>0</v>
      </c>
      <c r="J927" s="94">
        <v>522.59410742187515</v>
      </c>
      <c r="K927" s="94">
        <v>1.5970152665566688</v>
      </c>
      <c r="L927" s="94">
        <v>0</v>
      </c>
      <c r="M927" s="94">
        <v>0</v>
      </c>
      <c r="N927" s="94">
        <v>0</v>
      </c>
      <c r="O927" s="94">
        <v>0</v>
      </c>
    </row>
    <row r="928" spans="1:15" x14ac:dyDescent="0.25">
      <c r="A928" s="89">
        <v>45024.833333333336</v>
      </c>
      <c r="B928" s="94">
        <v>356.81</v>
      </c>
      <c r="C928" s="94">
        <v>299.77999999999997</v>
      </c>
      <c r="D928" s="94">
        <v>3.0121657440109018</v>
      </c>
      <c r="E928" s="94">
        <v>0</v>
      </c>
      <c r="F928" s="94">
        <v>37.8539544829693</v>
      </c>
      <c r="G928" s="94">
        <v>2.2758426466465975</v>
      </c>
      <c r="H928" s="94">
        <v>1.1000000000000001</v>
      </c>
      <c r="I928" s="94">
        <v>0</v>
      </c>
      <c r="J928" s="94">
        <v>524.60153429492414</v>
      </c>
      <c r="K928" s="94">
        <v>1.5983053453823315</v>
      </c>
      <c r="L928" s="94">
        <v>0</v>
      </c>
      <c r="M928" s="94">
        <v>0</v>
      </c>
      <c r="N928" s="94">
        <v>0</v>
      </c>
      <c r="O928" s="94">
        <v>0</v>
      </c>
    </row>
    <row r="929" spans="1:15" x14ac:dyDescent="0.25">
      <c r="A929" s="89">
        <v>45025.333333333336</v>
      </c>
      <c r="B929" s="94">
        <v>356.81</v>
      </c>
      <c r="C929" s="94">
        <v>299.77999999999997</v>
      </c>
      <c r="D929" s="94">
        <v>2.8</v>
      </c>
      <c r="E929" s="94">
        <v>0</v>
      </c>
      <c r="F929" s="94">
        <v>37.444028214660186</v>
      </c>
      <c r="G929" s="94">
        <v>2.263641303933599</v>
      </c>
      <c r="H929" s="94">
        <v>1.2</v>
      </c>
      <c r="I929" s="94">
        <v>0</v>
      </c>
      <c r="J929" s="94">
        <v>525</v>
      </c>
      <c r="K929" s="94">
        <v>1.599</v>
      </c>
      <c r="L929" s="94">
        <v>0</v>
      </c>
      <c r="M929" s="94">
        <v>0</v>
      </c>
      <c r="N929" s="94">
        <v>0</v>
      </c>
      <c r="O929" s="94">
        <v>0</v>
      </c>
    </row>
    <row r="930" spans="1:15" x14ac:dyDescent="0.25">
      <c r="A930" s="89">
        <v>45025.833333333336</v>
      </c>
      <c r="B930" s="94">
        <v>356.81</v>
      </c>
      <c r="C930" s="94">
        <v>299.77999999999997</v>
      </c>
      <c r="D930" s="94">
        <v>2.873873529861005</v>
      </c>
      <c r="E930" s="94">
        <v>0</v>
      </c>
      <c r="F930" s="94">
        <v>37.798682587010845</v>
      </c>
      <c r="G930" s="94">
        <v>2.2627930349778524</v>
      </c>
      <c r="H930" s="94">
        <v>1.2</v>
      </c>
      <c r="I930" s="94">
        <v>0</v>
      </c>
      <c r="J930" s="94">
        <v>525</v>
      </c>
      <c r="K930" s="94">
        <v>1.5987658012753663</v>
      </c>
      <c r="L930" s="94">
        <v>0</v>
      </c>
      <c r="M930" s="94">
        <v>0</v>
      </c>
      <c r="N930" s="94">
        <v>0</v>
      </c>
      <c r="O930" s="94">
        <v>0</v>
      </c>
    </row>
    <row r="931" spans="1:15" x14ac:dyDescent="0.25">
      <c r="A931" s="89">
        <v>45026.333333333336</v>
      </c>
      <c r="B931" s="94">
        <v>356.81</v>
      </c>
      <c r="C931" s="94">
        <v>299.77999999999997</v>
      </c>
      <c r="D931" s="94">
        <v>2.5</v>
      </c>
      <c r="E931" s="94">
        <v>0</v>
      </c>
      <c r="F931" s="94">
        <v>37.261379636361553</v>
      </c>
      <c r="G931" s="94">
        <v>2.290782381120005</v>
      </c>
      <c r="H931" s="94">
        <v>1.2</v>
      </c>
      <c r="I931" s="94">
        <v>0</v>
      </c>
      <c r="J931" s="94">
        <v>524.59775148360097</v>
      </c>
      <c r="K931" s="94">
        <v>1.5976120280445734</v>
      </c>
      <c r="L931" s="94">
        <v>0</v>
      </c>
      <c r="M931" s="94">
        <v>0</v>
      </c>
      <c r="N931" s="94">
        <v>0</v>
      </c>
      <c r="O931" s="94">
        <v>0</v>
      </c>
    </row>
    <row r="932" spans="1:15" x14ac:dyDescent="0.25">
      <c r="A932" s="89">
        <v>45026.833333333336</v>
      </c>
      <c r="B932" s="94">
        <v>356.81</v>
      </c>
      <c r="C932" s="94">
        <v>299.77999999999997</v>
      </c>
      <c r="D932" s="94">
        <v>2.8</v>
      </c>
      <c r="E932" s="94">
        <v>0</v>
      </c>
      <c r="F932" s="94">
        <v>37.417496145590647</v>
      </c>
      <c r="G932" s="94">
        <v>2.2903902111353678</v>
      </c>
      <c r="H932" s="94">
        <v>1.2</v>
      </c>
      <c r="I932" s="94">
        <v>0</v>
      </c>
      <c r="J932" s="94">
        <v>523.39718114860977</v>
      </c>
      <c r="K932" s="94">
        <v>1.599</v>
      </c>
      <c r="L932" s="94">
        <v>0</v>
      </c>
      <c r="M932" s="94">
        <v>0</v>
      </c>
      <c r="N932" s="94">
        <v>0</v>
      </c>
      <c r="O932" s="94">
        <v>0</v>
      </c>
    </row>
    <row r="933" spans="1:15" x14ac:dyDescent="0.25">
      <c r="A933" s="89">
        <v>45027.333333333336</v>
      </c>
      <c r="B933" s="94">
        <v>357.00777853448159</v>
      </c>
      <c r="C933" s="94">
        <v>299.77999999999997</v>
      </c>
      <c r="D933" s="94">
        <v>2.5</v>
      </c>
      <c r="E933" s="94">
        <v>0</v>
      </c>
      <c r="F933" s="94">
        <v>37.018254204217627</v>
      </c>
      <c r="G933" s="94">
        <v>2.2999999999999998</v>
      </c>
      <c r="H933" s="94">
        <v>1.3</v>
      </c>
      <c r="I933" s="94">
        <v>0</v>
      </c>
      <c r="J933" s="94">
        <v>524.19268416651892</v>
      </c>
      <c r="K933" s="94">
        <v>1.598898247945288</v>
      </c>
      <c r="L933" s="94">
        <v>0</v>
      </c>
      <c r="M933" s="94">
        <v>0</v>
      </c>
      <c r="N933" s="94">
        <v>0</v>
      </c>
      <c r="O933" s="94">
        <v>0</v>
      </c>
    </row>
    <row r="934" spans="1:15" x14ac:dyDescent="0.25">
      <c r="A934" s="89">
        <v>45027.833333333336</v>
      </c>
      <c r="B934" s="94">
        <v>357.04</v>
      </c>
      <c r="C934" s="94">
        <v>299.77999999999997</v>
      </c>
      <c r="D934" s="94">
        <v>2.7938629749068378</v>
      </c>
      <c r="E934" s="94">
        <v>0</v>
      </c>
      <c r="F934" s="94">
        <v>37.446219641053709</v>
      </c>
      <c r="G934" s="94">
        <v>2.2605059847108149</v>
      </c>
      <c r="H934" s="94">
        <v>1.2</v>
      </c>
      <c r="I934" s="94">
        <v>0</v>
      </c>
      <c r="J934" s="94">
        <v>524.60158371206899</v>
      </c>
      <c r="K934" s="94">
        <v>1.5996944638397439</v>
      </c>
      <c r="L934" s="94">
        <v>0</v>
      </c>
      <c r="M934" s="94">
        <v>0</v>
      </c>
      <c r="N934" s="94">
        <v>0</v>
      </c>
      <c r="O934" s="94">
        <v>0</v>
      </c>
    </row>
    <row r="935" spans="1:15" x14ac:dyDescent="0.25">
      <c r="A935" s="89">
        <v>45028.333333333336</v>
      </c>
      <c r="B935" s="94">
        <v>357.07980096318204</v>
      </c>
      <c r="C935" s="94">
        <v>299.77999999999997</v>
      </c>
      <c r="D935" s="94">
        <v>2.517376949255854</v>
      </c>
      <c r="E935" s="94">
        <v>0</v>
      </c>
      <c r="F935" s="94">
        <v>37.100573629861351</v>
      </c>
      <c r="G935" s="94">
        <v>2.2832286895091509</v>
      </c>
      <c r="H935" s="94">
        <v>1.2739838059561144</v>
      </c>
      <c r="I935" s="94">
        <v>0</v>
      </c>
      <c r="J935" s="94">
        <v>525.40184222100481</v>
      </c>
      <c r="K935" s="94">
        <v>1.599</v>
      </c>
      <c r="L935" s="94">
        <v>0</v>
      </c>
      <c r="M935" s="94">
        <v>0</v>
      </c>
      <c r="N935" s="94">
        <v>0</v>
      </c>
      <c r="O935" s="94">
        <v>0</v>
      </c>
    </row>
    <row r="936" spans="1:15" x14ac:dyDescent="0.25">
      <c r="A936" s="89">
        <v>45028.833333333336</v>
      </c>
      <c r="B936" s="94">
        <v>357.08</v>
      </c>
      <c r="C936" s="94">
        <v>299.77999999999997</v>
      </c>
      <c r="D936" s="94">
        <v>2.6062742919367006</v>
      </c>
      <c r="E936" s="94">
        <v>0</v>
      </c>
      <c r="F936" s="94">
        <v>37.333161494119523</v>
      </c>
      <c r="G936" s="94">
        <v>2.3291998291015625</v>
      </c>
      <c r="H936" s="94">
        <v>1.2</v>
      </c>
      <c r="I936" s="94">
        <v>0</v>
      </c>
      <c r="J936" s="94">
        <v>522</v>
      </c>
      <c r="K936" s="94">
        <v>1.5970611457502428</v>
      </c>
      <c r="L936" s="94">
        <v>0</v>
      </c>
      <c r="M936" s="94">
        <v>0</v>
      </c>
      <c r="N936" s="94">
        <v>0</v>
      </c>
      <c r="O936" s="94">
        <v>0</v>
      </c>
    </row>
    <row r="937" spans="1:15" x14ac:dyDescent="0.25">
      <c r="A937" s="89">
        <v>45029.333333333336</v>
      </c>
      <c r="B937" s="94">
        <v>357.08</v>
      </c>
      <c r="C937" s="94">
        <v>299.77376994637535</v>
      </c>
      <c r="D937" s="94">
        <v>2.5</v>
      </c>
      <c r="E937" s="94">
        <v>0</v>
      </c>
      <c r="F937" s="94">
        <v>37.568471159040641</v>
      </c>
      <c r="G937" s="94">
        <v>2.2268224460900656</v>
      </c>
      <c r="H937" s="94">
        <v>1.2364609137055838</v>
      </c>
      <c r="I937" s="94">
        <v>0</v>
      </c>
      <c r="J937" s="94">
        <v>516.39476676672587</v>
      </c>
      <c r="K937" s="94">
        <v>1.5927427185874872</v>
      </c>
      <c r="L937" s="94">
        <v>0</v>
      </c>
      <c r="M937" s="94">
        <v>0</v>
      </c>
      <c r="N937" s="94">
        <v>0</v>
      </c>
      <c r="O937" s="94">
        <v>0</v>
      </c>
    </row>
    <row r="938" spans="1:15" x14ac:dyDescent="0.25">
      <c r="A938" s="89">
        <v>45029.833333333336</v>
      </c>
      <c r="B938" s="94">
        <v>357.1</v>
      </c>
      <c r="C938" s="94">
        <v>299.77654873368527</v>
      </c>
      <c r="D938" s="94">
        <v>1.8951814352034453</v>
      </c>
      <c r="E938" s="94">
        <v>0</v>
      </c>
      <c r="F938" s="94">
        <v>38.033606903275562</v>
      </c>
      <c r="G938" s="94">
        <v>2.2357718732207248</v>
      </c>
      <c r="H938" s="94">
        <v>1.2</v>
      </c>
      <c r="I938" s="94">
        <v>0</v>
      </c>
      <c r="J938" s="94">
        <v>521</v>
      </c>
      <c r="K938" s="94">
        <v>1.5960000000000001</v>
      </c>
      <c r="L938" s="94">
        <v>0</v>
      </c>
      <c r="M938" s="94">
        <v>0</v>
      </c>
      <c r="N938" s="94">
        <v>0</v>
      </c>
      <c r="O938" s="94">
        <v>0</v>
      </c>
    </row>
    <row r="939" spans="1:15" x14ac:dyDescent="0.25">
      <c r="A939" s="89">
        <v>45030.333333333336</v>
      </c>
      <c r="B939" s="94">
        <v>357.11</v>
      </c>
      <c r="C939" s="94">
        <v>299.77147506713862</v>
      </c>
      <c r="D939" s="94">
        <v>2.5995134192741047</v>
      </c>
      <c r="E939" s="94">
        <v>0</v>
      </c>
      <c r="F939" s="94">
        <v>38.652197845683865</v>
      </c>
      <c r="G939" s="94">
        <v>2.2568863260271468</v>
      </c>
      <c r="H939" s="94">
        <v>1.2286573773105842</v>
      </c>
      <c r="I939" s="94">
        <v>0</v>
      </c>
      <c r="J939" s="94">
        <v>520.70391421992076</v>
      </c>
      <c r="K939" s="94">
        <v>1.5957835003707745</v>
      </c>
      <c r="L939" s="94">
        <v>0</v>
      </c>
      <c r="M939" s="94">
        <v>0</v>
      </c>
      <c r="N939" s="94">
        <v>0</v>
      </c>
      <c r="O939" s="94">
        <v>0</v>
      </c>
    </row>
    <row r="940" spans="1:15" x14ac:dyDescent="0.25">
      <c r="A940" s="89">
        <v>45030.833333333336</v>
      </c>
      <c r="B940" s="94">
        <v>357.11</v>
      </c>
      <c r="C940" s="94">
        <v>299.77354003448244</v>
      </c>
      <c r="D940" s="94">
        <v>2.8940046904251453</v>
      </c>
      <c r="E940" s="94">
        <v>0</v>
      </c>
      <c r="F940" s="94">
        <v>39.000498594466855</v>
      </c>
      <c r="G940" s="94">
        <v>2.2492790701226499</v>
      </c>
      <c r="H940" s="94">
        <v>1.2</v>
      </c>
      <c r="I940" s="94">
        <v>0</v>
      </c>
      <c r="J940" s="94">
        <v>521</v>
      </c>
      <c r="K940" s="94">
        <v>1.5960000000000001</v>
      </c>
      <c r="L940" s="94">
        <v>0</v>
      </c>
      <c r="M940" s="94">
        <v>0</v>
      </c>
      <c r="N940" s="94">
        <v>0</v>
      </c>
      <c r="O940" s="94">
        <v>0</v>
      </c>
    </row>
    <row r="941" spans="1:15" x14ac:dyDescent="0.25">
      <c r="A941" s="89">
        <v>45031.333333333336</v>
      </c>
      <c r="B941" s="94">
        <v>357.11</v>
      </c>
      <c r="C941" s="94">
        <v>299.77975380182181</v>
      </c>
      <c r="D941" s="94">
        <v>2.6180002848307291</v>
      </c>
      <c r="E941" s="94">
        <v>0</v>
      </c>
      <c r="F941" s="94">
        <v>38.718920079802842</v>
      </c>
      <c r="G941" s="94">
        <v>2.2453402709960941</v>
      </c>
      <c r="H941" s="94">
        <v>1.2</v>
      </c>
      <c r="I941" s="94">
        <v>0</v>
      </c>
      <c r="J941" s="94">
        <v>521.80197529548843</v>
      </c>
      <c r="K941" s="94">
        <v>1.5960000000000001</v>
      </c>
      <c r="L941" s="94">
        <v>0</v>
      </c>
      <c r="M941" s="94">
        <v>0</v>
      </c>
      <c r="N941" s="94">
        <v>0</v>
      </c>
      <c r="O941" s="94">
        <v>0</v>
      </c>
    </row>
    <row r="942" spans="1:15" x14ac:dyDescent="0.25">
      <c r="A942" s="89">
        <v>45031.833333333336</v>
      </c>
      <c r="B942" s="94">
        <v>357.11</v>
      </c>
      <c r="C942" s="94">
        <v>300.02</v>
      </c>
      <c r="D942" s="94">
        <v>3.0007312297821045</v>
      </c>
      <c r="E942" s="94">
        <v>0</v>
      </c>
      <c r="F942" s="94">
        <v>67.076430851848357</v>
      </c>
      <c r="G942" s="94">
        <v>5.0426126470138994</v>
      </c>
      <c r="H942" s="94">
        <v>1.1096054367015649</v>
      </c>
      <c r="I942" s="94">
        <v>0</v>
      </c>
      <c r="J942" s="94">
        <v>888.18337221245849</v>
      </c>
      <c r="K942" s="94">
        <v>1.8382177248618954</v>
      </c>
      <c r="L942" s="94">
        <v>0</v>
      </c>
      <c r="M942" s="94">
        <v>0</v>
      </c>
      <c r="N942" s="94">
        <v>0</v>
      </c>
      <c r="O942" s="94">
        <v>0</v>
      </c>
    </row>
    <row r="943" spans="1:15" x14ac:dyDescent="0.25">
      <c r="A943" s="89">
        <v>45032.333333333336</v>
      </c>
      <c r="B943" s="94">
        <v>357.11</v>
      </c>
      <c r="C943" s="94">
        <v>300.02</v>
      </c>
      <c r="D943" s="94">
        <v>2.9917667606324305</v>
      </c>
      <c r="E943" s="94">
        <v>0</v>
      </c>
      <c r="F943" s="94">
        <v>65.900000000000006</v>
      </c>
      <c r="G943" s="94">
        <v>5.0627757818241204</v>
      </c>
      <c r="H943" s="94">
        <v>1.122140675307661</v>
      </c>
      <c r="I943" s="94">
        <v>0</v>
      </c>
      <c r="J943" s="94">
        <v>899.59664400091958</v>
      </c>
      <c r="K943" s="94">
        <v>1.842901883380704</v>
      </c>
      <c r="L943" s="94">
        <v>0</v>
      </c>
      <c r="M943" s="94">
        <v>0</v>
      </c>
      <c r="N943" s="94">
        <v>0</v>
      </c>
      <c r="O943" s="94">
        <v>0</v>
      </c>
    </row>
    <row r="944" spans="1:15" x14ac:dyDescent="0.25">
      <c r="A944" s="89">
        <v>45032.833333333336</v>
      </c>
      <c r="B944" s="94">
        <v>357.11</v>
      </c>
      <c r="C944" s="94">
        <v>300.06</v>
      </c>
      <c r="D944" s="94">
        <v>2.8388193064663052</v>
      </c>
      <c r="E944" s="94">
        <v>0</v>
      </c>
      <c r="F944" s="94">
        <v>71.26232694308294</v>
      </c>
      <c r="G944" s="94">
        <v>5.6162149810791018</v>
      </c>
      <c r="H944" s="94">
        <v>1.2</v>
      </c>
      <c r="I944" s="94">
        <v>0</v>
      </c>
      <c r="J944" s="94">
        <v>982</v>
      </c>
      <c r="K944" s="94">
        <v>1.8809014998127773</v>
      </c>
      <c r="L944" s="94">
        <v>0</v>
      </c>
      <c r="M944" s="94">
        <v>0</v>
      </c>
      <c r="N944" s="94">
        <v>0</v>
      </c>
      <c r="O944" s="94">
        <v>0</v>
      </c>
    </row>
    <row r="945" spans="1:15" x14ac:dyDescent="0.25">
      <c r="A945" s="89">
        <v>45033.333333333336</v>
      </c>
      <c r="B945" s="94">
        <v>357.11</v>
      </c>
      <c r="C945" s="94">
        <v>300.06</v>
      </c>
      <c r="D945" s="94">
        <v>2.6</v>
      </c>
      <c r="E945" s="94">
        <v>0</v>
      </c>
      <c r="F945" s="94">
        <v>70.49260696242176</v>
      </c>
      <c r="G945" s="94">
        <v>5.6388047407312625</v>
      </c>
      <c r="H945" s="94">
        <v>1.2063104693140794</v>
      </c>
      <c r="I945" s="94">
        <v>0</v>
      </c>
      <c r="J945" s="94">
        <v>982.60634354029264</v>
      </c>
      <c r="K945" s="94">
        <v>1.8809726534048128</v>
      </c>
      <c r="L945" s="94">
        <v>0</v>
      </c>
      <c r="M945" s="94">
        <v>0</v>
      </c>
      <c r="N945" s="94">
        <v>0</v>
      </c>
      <c r="O945" s="94">
        <v>0</v>
      </c>
    </row>
    <row r="946" spans="1:15" x14ac:dyDescent="0.25">
      <c r="A946" s="89">
        <v>45033.833333333336</v>
      </c>
      <c r="B946" s="94">
        <v>357.19</v>
      </c>
      <c r="C946" s="94">
        <v>299.77999999999997</v>
      </c>
      <c r="D946" s="94">
        <v>36.638487124317408</v>
      </c>
      <c r="E946" s="94">
        <v>2.2655291089892944</v>
      </c>
      <c r="F946" s="94">
        <v>1.2649899424714059</v>
      </c>
      <c r="G946" s="94">
        <v>0</v>
      </c>
      <c r="H946" s="94">
        <v>1.2</v>
      </c>
      <c r="I946" s="94">
        <v>0</v>
      </c>
      <c r="J946" s="94">
        <v>545</v>
      </c>
      <c r="K946" s="94">
        <v>1.6140000000000001</v>
      </c>
      <c r="L946" s="94">
        <v>0</v>
      </c>
      <c r="M946" s="94">
        <v>0</v>
      </c>
      <c r="N946" s="94">
        <v>0</v>
      </c>
      <c r="O946" s="94">
        <v>0</v>
      </c>
    </row>
    <row r="947" spans="1:15" x14ac:dyDescent="0.25">
      <c r="A947" s="89">
        <v>45034.333333333336</v>
      </c>
      <c r="B947" s="94">
        <v>357.19</v>
      </c>
      <c r="C947" s="94">
        <v>299.77999999999997</v>
      </c>
      <c r="D947" s="94">
        <v>38.476647326663318</v>
      </c>
      <c r="E947" s="94">
        <v>2.2681520098778982</v>
      </c>
      <c r="F947" s="94">
        <v>2.1757084093902064</v>
      </c>
      <c r="G947" s="94">
        <v>0</v>
      </c>
      <c r="H947" s="94">
        <v>1.2</v>
      </c>
      <c r="I947" s="94">
        <v>0</v>
      </c>
      <c r="J947" s="94">
        <v>521.78876283751515</v>
      </c>
      <c r="K947" s="94">
        <v>1.5967355378214678</v>
      </c>
      <c r="L947" s="94">
        <v>0</v>
      </c>
      <c r="M947" s="94">
        <v>0</v>
      </c>
      <c r="N947" s="94">
        <v>0</v>
      </c>
      <c r="O947" s="94">
        <v>0</v>
      </c>
    </row>
    <row r="948" spans="1:15" x14ac:dyDescent="0.25">
      <c r="A948" s="89">
        <v>45034.833333333336</v>
      </c>
      <c r="B948" s="94">
        <v>357.19</v>
      </c>
      <c r="C948" s="94">
        <v>299.77968285895008</v>
      </c>
      <c r="D948" s="94">
        <v>38.725614942177074</v>
      </c>
      <c r="E948" s="94">
        <v>2.2769127742527329</v>
      </c>
      <c r="F948" s="94">
        <v>2.4240924418508749</v>
      </c>
      <c r="G948" s="94">
        <v>0</v>
      </c>
      <c r="H948" s="94">
        <v>1.19535521682458</v>
      </c>
      <c r="I948" s="94">
        <v>0</v>
      </c>
      <c r="J948" s="94">
        <v>521.80083271812521</v>
      </c>
      <c r="K948" s="94">
        <v>1.597</v>
      </c>
      <c r="L948" s="94">
        <v>0</v>
      </c>
      <c r="M948" s="94">
        <v>0</v>
      </c>
      <c r="N948" s="94">
        <v>0</v>
      </c>
      <c r="O948" s="94">
        <v>0</v>
      </c>
    </row>
    <row r="949" spans="1:15" x14ac:dyDescent="0.25">
      <c r="A949" s="89">
        <v>45035.333333333336</v>
      </c>
      <c r="B949" s="94">
        <v>357.19</v>
      </c>
      <c r="C949" s="94">
        <v>299.77153015851673</v>
      </c>
      <c r="D949" s="94">
        <v>37.4</v>
      </c>
      <c r="E949" s="94">
        <v>2.2913260769584545</v>
      </c>
      <c r="F949" s="94">
        <v>2.2525364449534186</v>
      </c>
      <c r="G949" s="94">
        <v>0</v>
      </c>
      <c r="H949" s="94">
        <v>1.2</v>
      </c>
      <c r="I949" s="94">
        <v>0</v>
      </c>
      <c r="J949" s="94">
        <v>525</v>
      </c>
      <c r="K949" s="94">
        <v>1.597</v>
      </c>
      <c r="L949" s="94">
        <v>0</v>
      </c>
      <c r="M949" s="94">
        <v>0</v>
      </c>
      <c r="N949" s="94">
        <v>0</v>
      </c>
      <c r="O949" s="94">
        <v>0</v>
      </c>
    </row>
    <row r="950" spans="1:15" x14ac:dyDescent="0.25">
      <c r="A950" s="89">
        <v>45035.833333333336</v>
      </c>
      <c r="B950" s="94">
        <v>357.19</v>
      </c>
      <c r="C950" s="94">
        <v>299.7763950838156</v>
      </c>
      <c r="D950" s="94">
        <v>39.450910550690729</v>
      </c>
      <c r="E950" s="94">
        <v>2.2307161937912334</v>
      </c>
      <c r="F950" s="94">
        <v>2.5405682283146107</v>
      </c>
      <c r="G950" s="94">
        <v>0</v>
      </c>
      <c r="H950" s="94">
        <v>1.1556409631258566</v>
      </c>
      <c r="I950" s="94">
        <v>0</v>
      </c>
      <c r="J950" s="94">
        <v>522.59239297619445</v>
      </c>
      <c r="K950" s="94">
        <v>1.597</v>
      </c>
      <c r="L950" s="94">
        <v>0</v>
      </c>
      <c r="M950" s="94">
        <v>0</v>
      </c>
      <c r="N950" s="94">
        <v>0</v>
      </c>
      <c r="O950" s="94">
        <v>0</v>
      </c>
    </row>
    <row r="951" spans="1:15" x14ac:dyDescent="0.25">
      <c r="A951" s="89">
        <v>45036.333333333336</v>
      </c>
      <c r="B951" s="94">
        <v>357.19</v>
      </c>
      <c r="C951" s="94">
        <v>299.77999999999997</v>
      </c>
      <c r="D951" s="94">
        <v>37.6</v>
      </c>
      <c r="E951" s="94">
        <v>2.2748001951174897</v>
      </c>
      <c r="F951" s="94">
        <v>2.4537490795417893</v>
      </c>
      <c r="G951" s="94">
        <v>0</v>
      </c>
      <c r="H951" s="94">
        <v>1.2</v>
      </c>
      <c r="I951" s="94">
        <v>0</v>
      </c>
      <c r="J951" s="94">
        <v>523</v>
      </c>
      <c r="K951" s="94">
        <v>1.5984646725796128</v>
      </c>
      <c r="L951" s="94">
        <v>0</v>
      </c>
      <c r="M951" s="94">
        <v>0</v>
      </c>
      <c r="N951" s="94">
        <v>0</v>
      </c>
      <c r="O951" s="94">
        <v>0</v>
      </c>
    </row>
    <row r="952" spans="1:15" x14ac:dyDescent="0.25">
      <c r="A952" s="89">
        <v>45036.833333333336</v>
      </c>
      <c r="B952" s="94">
        <v>357.19</v>
      </c>
      <c r="C952" s="94">
        <v>299.77999999999997</v>
      </c>
      <c r="D952" s="94">
        <v>39.1</v>
      </c>
      <c r="E952" s="94">
        <v>2.3162791608288922</v>
      </c>
      <c r="F952" s="94">
        <v>2.6</v>
      </c>
      <c r="G952" s="94">
        <v>0</v>
      </c>
      <c r="H952" s="94">
        <v>1.1484481441881778</v>
      </c>
      <c r="I952" s="94">
        <v>0</v>
      </c>
      <c r="J952" s="94">
        <v>522</v>
      </c>
      <c r="K952" s="94">
        <v>1.5972397107060123</v>
      </c>
      <c r="L952" s="94">
        <v>0</v>
      </c>
      <c r="M952" s="94">
        <v>0</v>
      </c>
      <c r="N952" s="94">
        <v>0</v>
      </c>
      <c r="O952" s="94">
        <v>0</v>
      </c>
    </row>
    <row r="953" spans="1:15" x14ac:dyDescent="0.25">
      <c r="A953" s="89">
        <v>45037.333333333336</v>
      </c>
      <c r="B953" s="94">
        <v>357.19</v>
      </c>
      <c r="C953" s="94">
        <v>299.77961165320352</v>
      </c>
      <c r="D953" s="94">
        <v>37.4</v>
      </c>
      <c r="E953" s="94">
        <v>2.275187287173666</v>
      </c>
      <c r="F953" s="94">
        <v>2.4</v>
      </c>
      <c r="G953" s="94">
        <v>0</v>
      </c>
      <c r="H953" s="94">
        <v>1.2</v>
      </c>
      <c r="I953" s="94">
        <v>0</v>
      </c>
      <c r="J953" s="94">
        <v>370.58823368574861</v>
      </c>
      <c r="K953" s="94">
        <v>1.5963412388006752</v>
      </c>
      <c r="L953" s="94">
        <v>0</v>
      </c>
      <c r="M953" s="94">
        <v>0</v>
      </c>
      <c r="N953" s="94">
        <v>0</v>
      </c>
      <c r="O953" s="94">
        <v>0</v>
      </c>
    </row>
    <row r="954" spans="1:15" x14ac:dyDescent="0.25">
      <c r="A954" s="89">
        <v>45037.833333333336</v>
      </c>
      <c r="B954" s="94">
        <v>357.19</v>
      </c>
      <c r="C954" s="94">
        <v>299.77999999999997</v>
      </c>
      <c r="D954" s="94">
        <v>39</v>
      </c>
      <c r="E954" s="94">
        <v>2.2673399353027346</v>
      </c>
      <c r="F954" s="94">
        <v>2.6</v>
      </c>
      <c r="G954" s="94">
        <v>0</v>
      </c>
      <c r="H954" s="94">
        <v>1.2</v>
      </c>
      <c r="I954" s="94">
        <v>0</v>
      </c>
      <c r="J954" s="94">
        <v>522.19873961709357</v>
      </c>
      <c r="K954" s="94">
        <v>1.5974683950088899</v>
      </c>
      <c r="L954" s="94">
        <v>0</v>
      </c>
      <c r="M954" s="94">
        <v>0</v>
      </c>
      <c r="N954" s="94">
        <v>0</v>
      </c>
      <c r="O954" s="94">
        <v>0</v>
      </c>
    </row>
    <row r="955" spans="1:15" x14ac:dyDescent="0.25">
      <c r="A955" s="89">
        <v>45038.333333333336</v>
      </c>
      <c r="B955" s="94">
        <v>357.19</v>
      </c>
      <c r="C955" s="94">
        <v>299.77084328074437</v>
      </c>
      <c r="D955" s="94">
        <v>38.058033448603815</v>
      </c>
      <c r="E955" s="94">
        <v>2.3163992309570309</v>
      </c>
      <c r="F955" s="94">
        <v>2.4</v>
      </c>
      <c r="G955" s="94">
        <v>0</v>
      </c>
      <c r="H955" s="94">
        <v>1.2</v>
      </c>
      <c r="I955" s="94">
        <v>0</v>
      </c>
      <c r="J955" s="94">
        <v>525</v>
      </c>
      <c r="K955" s="94">
        <v>1.599</v>
      </c>
      <c r="L955" s="94">
        <v>0</v>
      </c>
      <c r="M955" s="94">
        <v>0</v>
      </c>
      <c r="N955" s="94">
        <v>0</v>
      </c>
      <c r="O955" s="94">
        <v>0</v>
      </c>
    </row>
    <row r="956" spans="1:15" x14ac:dyDescent="0.25">
      <c r="A956" s="89">
        <v>45038.833333333336</v>
      </c>
      <c r="B956" s="94">
        <v>357.19</v>
      </c>
      <c r="C956" s="94">
        <v>299.77999999999997</v>
      </c>
      <c r="D956" s="94">
        <v>38.944042526850701</v>
      </c>
      <c r="E956" s="94">
        <v>2.2999999999999998</v>
      </c>
      <c r="F956" s="94">
        <v>2.6</v>
      </c>
      <c r="G956" s="94">
        <v>0</v>
      </c>
      <c r="H956" s="94">
        <v>1.1314504413341215</v>
      </c>
      <c r="I956" s="94">
        <v>0</v>
      </c>
      <c r="J956" s="94">
        <v>525</v>
      </c>
      <c r="K956" s="94">
        <v>1.599</v>
      </c>
      <c r="L956" s="94">
        <v>0</v>
      </c>
      <c r="M956" s="94">
        <v>0</v>
      </c>
      <c r="N956" s="94">
        <v>0</v>
      </c>
      <c r="O956" s="94">
        <v>0</v>
      </c>
    </row>
    <row r="957" spans="1:15" x14ac:dyDescent="0.25">
      <c r="A957" s="89">
        <v>45039.333333333336</v>
      </c>
      <c r="B957" s="94">
        <v>357.19</v>
      </c>
      <c r="C957" s="94">
        <v>299.77999999999997</v>
      </c>
      <c r="D957" s="94">
        <v>37.964385594132594</v>
      </c>
      <c r="E957" s="94">
        <v>2.2605006796902445</v>
      </c>
      <c r="F957" s="94">
        <v>2.4</v>
      </c>
      <c r="G957" s="94">
        <v>0</v>
      </c>
      <c r="H957" s="94">
        <v>1.2</v>
      </c>
      <c r="I957" s="94">
        <v>0</v>
      </c>
      <c r="J957" s="94">
        <v>525</v>
      </c>
      <c r="K957" s="94">
        <v>1.5986456313168544</v>
      </c>
      <c r="L957" s="94">
        <v>0</v>
      </c>
      <c r="M957" s="94">
        <v>0</v>
      </c>
      <c r="N957" s="94">
        <v>0</v>
      </c>
      <c r="O957" s="94">
        <v>0</v>
      </c>
    </row>
    <row r="958" spans="1:15" x14ac:dyDescent="0.25">
      <c r="A958" s="89">
        <v>45039.833333333336</v>
      </c>
      <c r="B958" s="94">
        <v>357.19</v>
      </c>
      <c r="C958" s="94">
        <v>299.77999999999997</v>
      </c>
      <c r="D958" s="94">
        <v>38.469367710891447</v>
      </c>
      <c r="E958" s="94">
        <v>2.2830031722307798</v>
      </c>
      <c r="F958" s="94">
        <v>2.8</v>
      </c>
      <c r="G958" s="94">
        <v>0</v>
      </c>
      <c r="H958" s="94">
        <v>1.1779693870348007</v>
      </c>
      <c r="I958" s="94">
        <v>0</v>
      </c>
      <c r="J958" s="94">
        <v>524.59859223331796</v>
      </c>
      <c r="K958" s="94">
        <v>1.5991423708804957</v>
      </c>
      <c r="L958" s="94">
        <v>0</v>
      </c>
      <c r="M958" s="94">
        <v>0</v>
      </c>
      <c r="N958" s="94">
        <v>0</v>
      </c>
      <c r="O958" s="94">
        <v>0</v>
      </c>
    </row>
    <row r="959" spans="1:15" x14ac:dyDescent="0.25">
      <c r="A959" s="89">
        <v>45040.333333333336</v>
      </c>
      <c r="B959" s="94">
        <v>357.30746961203812</v>
      </c>
      <c r="C959" s="94">
        <v>299.77999999999997</v>
      </c>
      <c r="D959" s="94">
        <v>38.647578908509203</v>
      </c>
      <c r="E959" s="94">
        <v>2.2673683397683395</v>
      </c>
      <c r="F959" s="94">
        <v>2.5263166023166024</v>
      </c>
      <c r="G959" s="94">
        <v>0</v>
      </c>
      <c r="H959" s="94">
        <v>1.1870572568758713</v>
      </c>
      <c r="I959" s="94">
        <v>0</v>
      </c>
      <c r="J959" s="94">
        <v>525</v>
      </c>
      <c r="K959" s="94">
        <v>1.5977050916823781</v>
      </c>
      <c r="L959" s="94">
        <v>0</v>
      </c>
      <c r="M959" s="94">
        <v>0</v>
      </c>
      <c r="N959" s="94">
        <v>0</v>
      </c>
      <c r="O959" s="94">
        <v>0</v>
      </c>
    </row>
    <row r="960" spans="1:15" x14ac:dyDescent="0.25">
      <c r="A960" s="89">
        <v>45040.833333333336</v>
      </c>
      <c r="B960" s="94">
        <v>357.34</v>
      </c>
      <c r="C960" s="94">
        <v>299.77999999999997</v>
      </c>
      <c r="D960" s="94">
        <v>38.328029203769603</v>
      </c>
      <c r="E960" s="94">
        <v>2.2687883184921569</v>
      </c>
      <c r="F960" s="94">
        <v>2.8625270545292953</v>
      </c>
      <c r="G960" s="94">
        <v>0</v>
      </c>
      <c r="H960" s="94">
        <v>1.177409933520563</v>
      </c>
      <c r="I960" s="94">
        <v>0</v>
      </c>
      <c r="J960" s="94">
        <v>523.39748965669764</v>
      </c>
      <c r="K960" s="94">
        <v>1.5989484394761504</v>
      </c>
      <c r="L960" s="94">
        <v>0</v>
      </c>
      <c r="M960" s="94">
        <v>0</v>
      </c>
      <c r="N960" s="94">
        <v>0</v>
      </c>
      <c r="O960" s="94">
        <v>0</v>
      </c>
    </row>
    <row r="961" spans="1:15" x14ac:dyDescent="0.25">
      <c r="A961" s="89">
        <v>45041.333333333336</v>
      </c>
      <c r="B961" s="94">
        <v>357.34</v>
      </c>
      <c r="C961" s="94">
        <v>299.77999999999997</v>
      </c>
      <c r="D961" s="94">
        <v>38.200000000000003</v>
      </c>
      <c r="E961" s="94">
        <v>2.2753361698220052</v>
      </c>
      <c r="F961" s="94">
        <v>2.4345418544051949</v>
      </c>
      <c r="G961" s="94">
        <v>0</v>
      </c>
      <c r="H961" s="94">
        <v>1.1420740700125969</v>
      </c>
      <c r="I961" s="94">
        <v>0</v>
      </c>
      <c r="J961" s="94">
        <v>523.39438393657792</v>
      </c>
      <c r="K961" s="94">
        <v>1.597</v>
      </c>
      <c r="L961" s="94">
        <v>0</v>
      </c>
      <c r="M961" s="94">
        <v>0</v>
      </c>
      <c r="N961" s="94">
        <v>0</v>
      </c>
      <c r="O961" s="94">
        <v>0</v>
      </c>
    </row>
    <row r="962" spans="1:15" x14ac:dyDescent="0.25">
      <c r="A962" s="89">
        <v>45041.833333333336</v>
      </c>
      <c r="B962" s="94">
        <v>357.34</v>
      </c>
      <c r="C962" s="94">
        <v>299.77999999999997</v>
      </c>
      <c r="D962" s="94">
        <v>39.219044928118187</v>
      </c>
      <c r="E962" s="94">
        <v>2.2875922865013774</v>
      </c>
      <c r="F962" s="94">
        <v>2.9</v>
      </c>
      <c r="G962" s="94">
        <v>0</v>
      </c>
      <c r="H962" s="94">
        <v>1.1000000000000001</v>
      </c>
      <c r="I962" s="94">
        <v>0</v>
      </c>
      <c r="J962" s="94">
        <v>522.59608520122072</v>
      </c>
      <c r="K962" s="94">
        <v>1.598492255118575</v>
      </c>
      <c r="L962" s="94">
        <v>0</v>
      </c>
      <c r="M962" s="94">
        <v>0</v>
      </c>
      <c r="N962" s="94">
        <v>0</v>
      </c>
      <c r="O962" s="94">
        <v>0</v>
      </c>
    </row>
    <row r="963" spans="1:15" x14ac:dyDescent="0.25">
      <c r="A963" s="89">
        <v>45042.333333333336</v>
      </c>
      <c r="B963" s="94">
        <v>357.37205480092348</v>
      </c>
      <c r="C963" s="94">
        <v>299.77999999999997</v>
      </c>
      <c r="D963" s="94">
        <v>35.976733814798287</v>
      </c>
      <c r="E963" s="94">
        <v>2.287688167096062</v>
      </c>
      <c r="F963" s="94">
        <v>2.4613849722140064</v>
      </c>
      <c r="G963" s="94">
        <v>0</v>
      </c>
      <c r="H963" s="94">
        <v>1.2</v>
      </c>
      <c r="I963" s="94">
        <v>0</v>
      </c>
      <c r="J963" s="94">
        <v>522.99908826531259</v>
      </c>
      <c r="K963" s="94">
        <v>1.5979475715096956</v>
      </c>
      <c r="L963" s="94">
        <v>0</v>
      </c>
      <c r="M963" s="94">
        <v>0</v>
      </c>
      <c r="N963" s="94">
        <v>0</v>
      </c>
      <c r="O963" s="94">
        <v>0</v>
      </c>
    </row>
    <row r="964" spans="1:15" x14ac:dyDescent="0.25">
      <c r="A964" s="89">
        <v>45042.833333333336</v>
      </c>
      <c r="B964" s="94">
        <v>357.38</v>
      </c>
      <c r="C964" s="94">
        <v>299.77999999999997</v>
      </c>
      <c r="D964" s="94">
        <v>37.595012165282021</v>
      </c>
      <c r="E964" s="94">
        <v>2.2595194745685045</v>
      </c>
      <c r="F964" s="94">
        <v>2.9</v>
      </c>
      <c r="G964" s="94">
        <v>0</v>
      </c>
      <c r="H964" s="94">
        <v>1.1610119333982611</v>
      </c>
      <c r="I964" s="94">
        <v>0</v>
      </c>
      <c r="J964" s="94">
        <v>524.4030079587634</v>
      </c>
      <c r="K964" s="94">
        <v>1.5979264418777133</v>
      </c>
      <c r="L964" s="94">
        <v>0</v>
      </c>
      <c r="M964" s="94">
        <v>0</v>
      </c>
      <c r="N964" s="94">
        <v>0</v>
      </c>
      <c r="O964" s="94">
        <v>0</v>
      </c>
    </row>
    <row r="965" spans="1:15" x14ac:dyDescent="0.25">
      <c r="A965" s="89">
        <v>45043.333333333336</v>
      </c>
      <c r="B965" s="94">
        <v>357.38816884594507</v>
      </c>
      <c r="C965" s="94">
        <v>299.77999999999997</v>
      </c>
      <c r="D965" s="94">
        <v>38.827979025793056</v>
      </c>
      <c r="E965" s="94">
        <v>2.2783342482464164</v>
      </c>
      <c r="F965" s="94">
        <v>2.5692209944189734</v>
      </c>
      <c r="G965" s="94">
        <v>0</v>
      </c>
      <c r="H965" s="94">
        <v>1.2</v>
      </c>
      <c r="I965" s="94">
        <v>0</v>
      </c>
      <c r="J965" s="94">
        <v>526.19050895980104</v>
      </c>
      <c r="K965" s="94">
        <v>1.60028773820893</v>
      </c>
      <c r="L965" s="94">
        <v>0</v>
      </c>
      <c r="M965" s="94">
        <v>0</v>
      </c>
      <c r="N965" s="94">
        <v>0</v>
      </c>
      <c r="O965" s="94">
        <v>0</v>
      </c>
    </row>
    <row r="966" spans="1:15" x14ac:dyDescent="0.25">
      <c r="A966" s="89">
        <v>45043.833333333336</v>
      </c>
      <c r="B966" s="94">
        <v>357.39</v>
      </c>
      <c r="C966" s="94">
        <v>299.77999999999997</v>
      </c>
      <c r="D966" s="94">
        <v>37.200000000000003</v>
      </c>
      <c r="E966" s="94">
        <v>2.2528971677692753</v>
      </c>
      <c r="F966" s="94">
        <v>2.8502000075120191</v>
      </c>
      <c r="G966" s="94">
        <v>0</v>
      </c>
      <c r="H966" s="94">
        <v>1.1419466412498929</v>
      </c>
      <c r="I966" s="94">
        <v>0</v>
      </c>
      <c r="J966" s="94">
        <v>522</v>
      </c>
      <c r="K966" s="94">
        <v>1.597</v>
      </c>
      <c r="L966" s="94">
        <v>0</v>
      </c>
      <c r="M966" s="94">
        <v>0</v>
      </c>
      <c r="N966" s="94">
        <v>0</v>
      </c>
      <c r="O966" s="94">
        <v>0</v>
      </c>
    </row>
    <row r="967" spans="1:15" x14ac:dyDescent="0.25">
      <c r="A967" s="89">
        <v>45044.333333333336</v>
      </c>
      <c r="B967" s="94">
        <v>357.39</v>
      </c>
      <c r="C967" s="94">
        <v>299.77999999999997</v>
      </c>
      <c r="D967" s="94">
        <v>37.651548733270332</v>
      </c>
      <c r="E967" s="94">
        <v>2.2796174569792607</v>
      </c>
      <c r="F967" s="94">
        <v>2.5964084705180457</v>
      </c>
      <c r="G967" s="94">
        <v>0</v>
      </c>
      <c r="H967" s="94">
        <v>1.2</v>
      </c>
      <c r="I967" s="94">
        <v>0</v>
      </c>
      <c r="J967" s="94">
        <v>521.20159881426139</v>
      </c>
      <c r="K967" s="94">
        <v>1.5973837876727466</v>
      </c>
      <c r="L967" s="94">
        <v>0</v>
      </c>
      <c r="M967" s="94">
        <v>0</v>
      </c>
      <c r="N967" s="94">
        <v>0</v>
      </c>
      <c r="O967" s="94">
        <v>0</v>
      </c>
    </row>
    <row r="968" spans="1:15" x14ac:dyDescent="0.25">
      <c r="A968" s="89">
        <v>45044.833333333336</v>
      </c>
      <c r="B968" s="94">
        <v>357.39</v>
      </c>
      <c r="C968" s="94">
        <v>299.77999999999997</v>
      </c>
      <c r="D968" s="94">
        <v>39.418412426963087</v>
      </c>
      <c r="E968" s="94">
        <v>2.2589599609375002</v>
      </c>
      <c r="F968" s="94">
        <v>2.6447998046875001</v>
      </c>
      <c r="G968" s="94">
        <v>0</v>
      </c>
      <c r="H968" s="94">
        <v>1.2</v>
      </c>
      <c r="I968" s="94">
        <v>0</v>
      </c>
      <c r="J968" s="94">
        <v>523.87569013830364</v>
      </c>
      <c r="K968" s="94">
        <v>1.5981977541911334</v>
      </c>
      <c r="L968" s="94">
        <v>0</v>
      </c>
      <c r="M968" s="94">
        <v>0</v>
      </c>
      <c r="N968" s="94">
        <v>0</v>
      </c>
      <c r="O968" s="94">
        <v>0</v>
      </c>
    </row>
    <row r="969" spans="1:15" x14ac:dyDescent="0.25">
      <c r="A969" s="89">
        <v>45045.333333333336</v>
      </c>
      <c r="B969" s="94">
        <v>357.39</v>
      </c>
      <c r="C969" s="94">
        <v>299.77999999999997</v>
      </c>
      <c r="D969" s="94">
        <v>36.9</v>
      </c>
      <c r="E969" s="94">
        <v>2.27</v>
      </c>
      <c r="F969" s="94">
        <v>2.6</v>
      </c>
      <c r="G969" s="94">
        <v>0</v>
      </c>
      <c r="H969" s="94">
        <v>1.174386864824017</v>
      </c>
      <c r="I969" s="94">
        <v>0</v>
      </c>
      <c r="J969" s="94">
        <v>522</v>
      </c>
      <c r="K969" s="94">
        <v>1.5984696631912232</v>
      </c>
      <c r="L969" s="94">
        <v>0</v>
      </c>
      <c r="M969" s="94">
        <v>0</v>
      </c>
      <c r="N969" s="94">
        <v>0</v>
      </c>
      <c r="O969" s="94">
        <v>0</v>
      </c>
    </row>
    <row r="970" spans="1:15" x14ac:dyDescent="0.25">
      <c r="A970" s="89">
        <v>45045.833333333336</v>
      </c>
      <c r="B970" s="94">
        <v>357.39</v>
      </c>
      <c r="C970" s="94">
        <v>299.77999999999997</v>
      </c>
      <c r="D970" s="94">
        <v>37.799999999999997</v>
      </c>
      <c r="E970" s="94">
        <v>2.262266758494031</v>
      </c>
      <c r="F970" s="94">
        <v>2.5935834014908727</v>
      </c>
      <c r="G970" s="94">
        <v>0</v>
      </c>
      <c r="H970" s="94">
        <v>1.1685627092349147</v>
      </c>
      <c r="I970" s="94">
        <v>0</v>
      </c>
      <c r="J970" s="94">
        <v>523.3941562332493</v>
      </c>
      <c r="K970" s="94">
        <v>1.6006071291662429</v>
      </c>
      <c r="L970" s="94">
        <v>0</v>
      </c>
      <c r="M970" s="94">
        <v>0</v>
      </c>
      <c r="N970" s="94">
        <v>0</v>
      </c>
      <c r="O970" s="94">
        <v>0</v>
      </c>
    </row>
    <row r="971" spans="1:15" x14ac:dyDescent="0.25">
      <c r="A971" s="89">
        <v>45046.333333333336</v>
      </c>
      <c r="B971" s="94">
        <v>357.39</v>
      </c>
      <c r="C971" s="94">
        <v>299.77999999999997</v>
      </c>
      <c r="D971" s="94">
        <v>39.576862045248284</v>
      </c>
      <c r="E971" s="94">
        <v>2.2610193286790037</v>
      </c>
      <c r="F971" s="94">
        <v>2.4551743654845914</v>
      </c>
      <c r="G971" s="94">
        <v>0</v>
      </c>
      <c r="H971" s="94">
        <v>1.2</v>
      </c>
      <c r="I971" s="94">
        <v>0</v>
      </c>
      <c r="J971" s="94">
        <v>529.38083846606901</v>
      </c>
      <c r="K971" s="94">
        <v>1.6039464170217059</v>
      </c>
      <c r="L971" s="94">
        <v>0</v>
      </c>
      <c r="M971" s="94">
        <v>0</v>
      </c>
      <c r="N971" s="94">
        <v>0</v>
      </c>
      <c r="O971" s="94">
        <v>0</v>
      </c>
    </row>
    <row r="972" spans="1:15" x14ac:dyDescent="0.25">
      <c r="A972" s="89">
        <v>45046.833333333336</v>
      </c>
      <c r="B972" s="94">
        <v>357.39</v>
      </c>
      <c r="C972" s="94">
        <v>299.77999999999997</v>
      </c>
      <c r="D972" s="94">
        <v>37.639426420191612</v>
      </c>
      <c r="E972" s="94">
        <v>2.2792207435862255</v>
      </c>
      <c r="F972" s="94">
        <v>2.4</v>
      </c>
      <c r="G972" s="94">
        <v>0</v>
      </c>
      <c r="H972" s="94">
        <v>1.2</v>
      </c>
      <c r="I972" s="94">
        <v>0</v>
      </c>
      <c r="J972" s="94">
        <v>488.82823462797694</v>
      </c>
      <c r="K972" s="94">
        <v>1.6020000000000001</v>
      </c>
      <c r="L972" s="94">
        <v>0</v>
      </c>
      <c r="M972" s="94">
        <v>0</v>
      </c>
      <c r="N972" s="94">
        <v>0</v>
      </c>
      <c r="O972" s="94">
        <v>0</v>
      </c>
    </row>
    <row r="973" spans="1:15" x14ac:dyDescent="0.25">
      <c r="A973" s="89">
        <v>45047.333333333336</v>
      </c>
      <c r="B973" s="94">
        <v>357.71</v>
      </c>
      <c r="C973" s="94">
        <v>299.78385276355016</v>
      </c>
      <c r="D973" s="94">
        <v>36.696598815917973</v>
      </c>
      <c r="E973" s="94">
        <v>2.2706995266876522</v>
      </c>
      <c r="F973" s="94">
        <v>2.2638330733163317</v>
      </c>
      <c r="G973" s="94">
        <v>0</v>
      </c>
      <c r="H973" s="94">
        <v>1.2</v>
      </c>
      <c r="I973" s="94">
        <v>0</v>
      </c>
      <c r="J973" s="94">
        <v>523.79008481120945</v>
      </c>
      <c r="K973" s="94">
        <v>1.5984670215431946</v>
      </c>
      <c r="L973" s="94">
        <v>0</v>
      </c>
      <c r="M973" s="94">
        <v>0</v>
      </c>
      <c r="N973" s="94">
        <v>0</v>
      </c>
      <c r="O973" s="94">
        <v>0</v>
      </c>
    </row>
    <row r="974" spans="1:15" x14ac:dyDescent="0.25">
      <c r="A974" s="89">
        <v>45047.833333333336</v>
      </c>
      <c r="B974" s="94">
        <v>357.71</v>
      </c>
      <c r="C974" s="94">
        <v>299.77472860025108</v>
      </c>
      <c r="D974" s="94">
        <v>2.6799298245614036</v>
      </c>
      <c r="E974" s="94">
        <v>0</v>
      </c>
      <c r="F974" s="94">
        <v>38.6</v>
      </c>
      <c r="G974" s="94">
        <v>2.2872959242275646</v>
      </c>
      <c r="H974" s="94">
        <v>1.2</v>
      </c>
      <c r="I974" s="94">
        <v>0</v>
      </c>
      <c r="J974" s="94">
        <v>525</v>
      </c>
      <c r="K974" s="94">
        <v>1.5991707331779335</v>
      </c>
      <c r="L974" s="94">
        <v>0</v>
      </c>
      <c r="M974" s="94">
        <v>0</v>
      </c>
      <c r="N974" s="94">
        <v>0</v>
      </c>
      <c r="O974" s="94">
        <v>0</v>
      </c>
    </row>
    <row r="975" spans="1:15" x14ac:dyDescent="0.25">
      <c r="A975" s="89">
        <v>45048.333333333336</v>
      </c>
      <c r="B975" s="94">
        <v>357.71739480971655</v>
      </c>
      <c r="C975" s="94">
        <v>299.77428075103904</v>
      </c>
      <c r="D975" s="94">
        <v>2.5</v>
      </c>
      <c r="E975" s="94">
        <v>0</v>
      </c>
      <c r="F975" s="94">
        <v>38.499755647060816</v>
      </c>
      <c r="G975" s="94">
        <v>2.3191013888042882</v>
      </c>
      <c r="H975" s="94">
        <v>1.2639569963727679</v>
      </c>
      <c r="I975" s="94">
        <v>0</v>
      </c>
      <c r="J975" s="94">
        <v>525.39940286981175</v>
      </c>
      <c r="K975" s="94">
        <v>1.6002231927589803</v>
      </c>
      <c r="L975" s="94">
        <v>0</v>
      </c>
      <c r="M975" s="94">
        <v>0</v>
      </c>
      <c r="N975" s="94">
        <v>0</v>
      </c>
      <c r="O975" s="94">
        <v>0</v>
      </c>
    </row>
    <row r="976" spans="1:15" x14ac:dyDescent="0.25">
      <c r="A976" s="89">
        <v>45048.833333333336</v>
      </c>
      <c r="B976" s="94">
        <v>357.91</v>
      </c>
      <c r="C976" s="94">
        <v>299.77999999999997</v>
      </c>
      <c r="D976" s="94">
        <v>2.7835549333500711</v>
      </c>
      <c r="E976" s="94">
        <v>0</v>
      </c>
      <c r="F976" s="94">
        <v>38.772100772494142</v>
      </c>
      <c r="G976" s="94">
        <v>2.2920216112706879</v>
      </c>
      <c r="H976" s="94">
        <v>1.2</v>
      </c>
      <c r="I976" s="94">
        <v>0</v>
      </c>
      <c r="J976" s="94">
        <v>522.19823563271041</v>
      </c>
      <c r="K976" s="94">
        <v>1.5987923509273125</v>
      </c>
      <c r="L976" s="94">
        <v>0</v>
      </c>
      <c r="M976" s="94">
        <v>0</v>
      </c>
      <c r="N976" s="94">
        <v>0</v>
      </c>
      <c r="O976" s="94">
        <v>0</v>
      </c>
    </row>
    <row r="977" spans="1:15" x14ac:dyDescent="0.25">
      <c r="A977" s="89">
        <v>45049.333333333336</v>
      </c>
      <c r="B977" s="94">
        <v>357.91664267234944</v>
      </c>
      <c r="C977" s="94">
        <v>299.77041092278569</v>
      </c>
      <c r="D977" s="94">
        <v>2.655245752272263</v>
      </c>
      <c r="E977" s="94">
        <v>0</v>
      </c>
      <c r="F977" s="94">
        <v>38.663181838999741</v>
      </c>
      <c r="G977" s="94">
        <v>2.2930618186260037</v>
      </c>
      <c r="H977" s="94">
        <v>1.2237984245621485</v>
      </c>
      <c r="I977" s="94">
        <v>0</v>
      </c>
      <c r="J977" s="94">
        <v>526.80222954197347</v>
      </c>
      <c r="K977" s="94">
        <v>1.599</v>
      </c>
      <c r="L977" s="94">
        <v>0</v>
      </c>
      <c r="M977" s="94">
        <v>0</v>
      </c>
      <c r="N977" s="94">
        <v>0</v>
      </c>
      <c r="O977" s="94">
        <v>0</v>
      </c>
    </row>
    <row r="978" spans="1:15" x14ac:dyDescent="0.25">
      <c r="A978" s="89">
        <v>45049.833333333336</v>
      </c>
      <c r="B978" s="94">
        <v>358.01</v>
      </c>
      <c r="C978" s="94">
        <v>299.77511348843097</v>
      </c>
      <c r="D978" s="94">
        <v>2.8</v>
      </c>
      <c r="E978" s="94">
        <v>0</v>
      </c>
      <c r="F978" s="94">
        <v>38.4</v>
      </c>
      <c r="G978" s="94">
        <v>2.2452200317382811</v>
      </c>
      <c r="H978" s="94">
        <v>1.2</v>
      </c>
      <c r="I978" s="94">
        <v>0</v>
      </c>
      <c r="J978" s="94">
        <v>520.70434222705524</v>
      </c>
      <c r="K978" s="94">
        <v>1.5960000000000001</v>
      </c>
      <c r="L978" s="94">
        <v>0</v>
      </c>
      <c r="M978" s="94">
        <v>0</v>
      </c>
      <c r="N978" s="94">
        <v>0</v>
      </c>
      <c r="O978" s="94">
        <v>0</v>
      </c>
    </row>
    <row r="979" spans="1:15" x14ac:dyDescent="0.25">
      <c r="A979" s="89">
        <v>45050.333333333336</v>
      </c>
      <c r="B979" s="94">
        <v>358.01872369670059</v>
      </c>
      <c r="C979" s="94">
        <v>299.77438986591051</v>
      </c>
      <c r="D979" s="94">
        <v>2.5</v>
      </c>
      <c r="E979" s="94">
        <v>0</v>
      </c>
      <c r="F979" s="94">
        <v>38.40759228678133</v>
      </c>
      <c r="G979" s="94">
        <v>2.2654400634765621</v>
      </c>
      <c r="H979" s="94">
        <v>1.3</v>
      </c>
      <c r="I979" s="94">
        <v>0</v>
      </c>
      <c r="J979" s="94">
        <v>517.59945135466751</v>
      </c>
      <c r="K979" s="94">
        <v>1.5947430450042912</v>
      </c>
      <c r="L979" s="94">
        <v>0</v>
      </c>
      <c r="M979" s="94">
        <v>0</v>
      </c>
      <c r="N979" s="94">
        <v>0</v>
      </c>
      <c r="O979" s="94">
        <v>0</v>
      </c>
    </row>
    <row r="980" spans="1:15" x14ac:dyDescent="0.25">
      <c r="A980" s="89">
        <v>45050.833333333336</v>
      </c>
      <c r="B980" s="94">
        <v>358.13</v>
      </c>
      <c r="C980" s="94">
        <v>299.83999999999997</v>
      </c>
      <c r="D980" s="94">
        <v>2.7839899020745533</v>
      </c>
      <c r="E980" s="94">
        <v>0</v>
      </c>
      <c r="F980" s="94">
        <v>43.8</v>
      </c>
      <c r="G980" s="94">
        <v>2.8748599243164064</v>
      </c>
      <c r="H980" s="94">
        <v>0.46492989684436137</v>
      </c>
      <c r="I980" s="94">
        <v>0</v>
      </c>
      <c r="J980" s="94">
        <v>604</v>
      </c>
      <c r="K980" s="94">
        <v>1.6555224727435154</v>
      </c>
      <c r="L980" s="94">
        <v>0</v>
      </c>
      <c r="M980" s="94">
        <v>0</v>
      </c>
      <c r="N980" s="94">
        <v>0</v>
      </c>
      <c r="O980" s="94">
        <v>0</v>
      </c>
    </row>
    <row r="981" spans="1:15" x14ac:dyDescent="0.25">
      <c r="A981" s="89">
        <v>45051.333333333336</v>
      </c>
      <c r="B981" s="94">
        <v>358.13</v>
      </c>
      <c r="C981" s="94">
        <v>299.83918227065396</v>
      </c>
      <c r="D981" s="94">
        <v>2.5</v>
      </c>
      <c r="E981" s="94">
        <v>0</v>
      </c>
      <c r="F981" s="94">
        <v>48.848399353027339</v>
      </c>
      <c r="G981" s="94">
        <v>2.8814332071940103</v>
      </c>
      <c r="H981" s="94">
        <v>1.2461668185961714</v>
      </c>
      <c r="I981" s="94">
        <v>0</v>
      </c>
      <c r="J981" s="94">
        <v>604</v>
      </c>
      <c r="K981" s="94">
        <v>1.657</v>
      </c>
      <c r="L981" s="94">
        <v>0</v>
      </c>
      <c r="M981" s="94">
        <v>0</v>
      </c>
      <c r="N981" s="94">
        <v>0</v>
      </c>
      <c r="O981" s="94">
        <v>0</v>
      </c>
    </row>
    <row r="982" spans="1:15" x14ac:dyDescent="0.25">
      <c r="A982" s="89">
        <v>45051.833333333336</v>
      </c>
      <c r="B982" s="94">
        <v>358.13</v>
      </c>
      <c r="C982" s="94">
        <v>299.94</v>
      </c>
      <c r="D982" s="94">
        <v>2.7</v>
      </c>
      <c r="E982" s="94">
        <v>0</v>
      </c>
      <c r="F982" s="94">
        <v>58.009341449353997</v>
      </c>
      <c r="G982" s="94">
        <v>4.0513470997609149</v>
      </c>
      <c r="H982" s="94">
        <v>1.2516853586039203</v>
      </c>
      <c r="I982" s="94">
        <v>0</v>
      </c>
      <c r="J982" s="94">
        <v>746.39532562705904</v>
      </c>
      <c r="K982" s="94">
        <v>1.7555241871321121</v>
      </c>
      <c r="L982" s="94">
        <v>0</v>
      </c>
      <c r="M982" s="94">
        <v>0</v>
      </c>
      <c r="N982" s="94">
        <v>0</v>
      </c>
      <c r="O982" s="94">
        <v>0</v>
      </c>
    </row>
    <row r="983" spans="1:15" x14ac:dyDescent="0.25">
      <c r="A983" s="89">
        <v>45052.333333333336</v>
      </c>
      <c r="B983" s="94">
        <v>358.13</v>
      </c>
      <c r="C983" s="94">
        <v>299.94</v>
      </c>
      <c r="D983" s="94">
        <v>2.595184185579531</v>
      </c>
      <c r="E983" s="94">
        <v>0</v>
      </c>
      <c r="F983" s="94">
        <v>57.562477384128272</v>
      </c>
      <c r="G983" s="94">
        <v>4.0048449742385905</v>
      </c>
      <c r="H983" s="94">
        <v>1.2968944875618023</v>
      </c>
      <c r="I983" s="94">
        <v>0</v>
      </c>
      <c r="J983" s="94">
        <v>752.40585526243888</v>
      </c>
      <c r="K983" s="94">
        <v>1.7588730676144513</v>
      </c>
      <c r="L983" s="94">
        <v>0</v>
      </c>
      <c r="M983" s="94">
        <v>0</v>
      </c>
      <c r="N983" s="94">
        <v>0</v>
      </c>
      <c r="O983" s="94">
        <v>0</v>
      </c>
    </row>
    <row r="984" spans="1:15" x14ac:dyDescent="0.25">
      <c r="A984" s="89">
        <v>45052.833333333336</v>
      </c>
      <c r="B984" s="94">
        <v>358.13</v>
      </c>
      <c r="C984" s="94">
        <v>299.94</v>
      </c>
      <c r="D984" s="94">
        <v>2.7184248054435076</v>
      </c>
      <c r="E984" s="94">
        <v>0</v>
      </c>
      <c r="F984" s="94">
        <v>57.434306203158663</v>
      </c>
      <c r="G984" s="94">
        <v>3.9754039827788175</v>
      </c>
      <c r="H984" s="94">
        <v>1.2049355794916299</v>
      </c>
      <c r="I984" s="94">
        <v>0</v>
      </c>
      <c r="J984" s="94">
        <v>750</v>
      </c>
      <c r="K984" s="94">
        <v>1.7580603513001736</v>
      </c>
      <c r="L984" s="94">
        <v>0</v>
      </c>
      <c r="M984" s="94">
        <v>0</v>
      </c>
      <c r="N984" s="94">
        <v>0</v>
      </c>
      <c r="O984" s="94">
        <v>0</v>
      </c>
    </row>
    <row r="985" spans="1:15" x14ac:dyDescent="0.25">
      <c r="A985" s="89">
        <v>45053.333333333336</v>
      </c>
      <c r="B985" s="94">
        <v>358.13</v>
      </c>
      <c r="C985" s="94">
        <v>299.94</v>
      </c>
      <c r="D985" s="94">
        <v>2.6</v>
      </c>
      <c r="E985" s="94">
        <v>0</v>
      </c>
      <c r="F985" s="94">
        <v>57.79859928157849</v>
      </c>
      <c r="G985" s="94">
        <v>3.9415066983372924</v>
      </c>
      <c r="H985" s="94">
        <v>1.2055007934570312</v>
      </c>
      <c r="I985" s="94">
        <v>0</v>
      </c>
      <c r="J985" s="94">
        <v>47</v>
      </c>
      <c r="K985" s="94">
        <v>0</v>
      </c>
      <c r="L985" s="94">
        <v>0</v>
      </c>
      <c r="M985" s="94">
        <v>0</v>
      </c>
      <c r="N985" s="94">
        <v>0</v>
      </c>
      <c r="O985" s="94">
        <v>0</v>
      </c>
    </row>
    <row r="986" spans="1:15" x14ac:dyDescent="0.25">
      <c r="A986" s="89">
        <v>45053.833333333336</v>
      </c>
      <c r="B986" s="94">
        <v>358.13</v>
      </c>
      <c r="C986" s="94">
        <v>299.94</v>
      </c>
      <c r="D986" s="94">
        <v>2.5107936817770078</v>
      </c>
      <c r="E986" s="94">
        <v>0</v>
      </c>
      <c r="F986" s="94">
        <v>57.362693157238169</v>
      </c>
      <c r="G986" s="94">
        <v>3.9353954947076386</v>
      </c>
      <c r="H986" s="94">
        <v>1.2294136726806784</v>
      </c>
      <c r="I986" s="94">
        <v>0</v>
      </c>
      <c r="J986" s="94">
        <v>47</v>
      </c>
      <c r="K986" s="94">
        <v>0</v>
      </c>
      <c r="L986" s="94">
        <v>0</v>
      </c>
      <c r="M986" s="94">
        <v>0</v>
      </c>
      <c r="N986" s="94">
        <v>0</v>
      </c>
      <c r="O986" s="94">
        <v>0</v>
      </c>
    </row>
    <row r="987" spans="1:15" x14ac:dyDescent="0.25">
      <c r="A987" s="89">
        <v>45054.333333333336</v>
      </c>
      <c r="B987" s="94">
        <v>358.35</v>
      </c>
      <c r="C987" s="94">
        <v>299.94</v>
      </c>
      <c r="D987" s="94">
        <v>2.2693009599922029</v>
      </c>
      <c r="E987" s="94">
        <v>0</v>
      </c>
      <c r="F987" s="94">
        <v>55.062002824083287</v>
      </c>
      <c r="G987" s="94">
        <v>3.9670035929974774</v>
      </c>
      <c r="H987" s="94">
        <v>1.3881633634318871</v>
      </c>
      <c r="I987" s="94">
        <v>0</v>
      </c>
      <c r="J987" s="94">
        <v>47</v>
      </c>
      <c r="K987" s="94">
        <v>0</v>
      </c>
      <c r="L987" s="94">
        <v>0</v>
      </c>
      <c r="M987" s="94">
        <v>0</v>
      </c>
      <c r="N987" s="94">
        <v>0</v>
      </c>
      <c r="O987" s="94">
        <v>0</v>
      </c>
    </row>
    <row r="988" spans="1:15" x14ac:dyDescent="0.25">
      <c r="A988" s="89">
        <v>45054.833333333336</v>
      </c>
      <c r="B988" s="94">
        <v>358.35</v>
      </c>
      <c r="C988" s="94">
        <v>299.94204774763421</v>
      </c>
      <c r="D988" s="94">
        <v>2.5184000651041667</v>
      </c>
      <c r="E988" s="94">
        <v>0</v>
      </c>
      <c r="F988" s="94">
        <v>57.744838256735932</v>
      </c>
      <c r="G988" s="94">
        <v>4.1020640869140621</v>
      </c>
      <c r="H988" s="94">
        <v>1.2014719754286551</v>
      </c>
      <c r="I988" s="94">
        <v>0</v>
      </c>
      <c r="J988" s="94">
        <v>47</v>
      </c>
      <c r="K988" s="94">
        <v>0</v>
      </c>
      <c r="L988" s="94">
        <v>0</v>
      </c>
      <c r="M988" s="94">
        <v>0</v>
      </c>
      <c r="N988" s="94">
        <v>0</v>
      </c>
      <c r="O988" s="94">
        <v>0</v>
      </c>
    </row>
    <row r="989" spans="1:15" x14ac:dyDescent="0.25">
      <c r="A989" s="89">
        <v>45055.333333333336</v>
      </c>
      <c r="B989" s="94">
        <v>358.41128810798904</v>
      </c>
      <c r="C989" s="94">
        <v>299.94</v>
      </c>
      <c r="D989" s="94">
        <v>2.3248368857421355</v>
      </c>
      <c r="E989" s="94">
        <v>0</v>
      </c>
      <c r="F989" s="94">
        <v>57.04629546224642</v>
      </c>
      <c r="G989" s="94">
        <v>4.1271849265566631</v>
      </c>
      <c r="H989" s="94">
        <v>1.3</v>
      </c>
      <c r="I989" s="94">
        <v>0</v>
      </c>
      <c r="J989" s="94">
        <v>75.897346065606726</v>
      </c>
      <c r="K989" s="94">
        <v>0.10002267788253073</v>
      </c>
      <c r="L989" s="94">
        <v>0</v>
      </c>
      <c r="M989" s="94">
        <v>0</v>
      </c>
      <c r="N989" s="94">
        <v>0</v>
      </c>
      <c r="O989" s="94">
        <v>0</v>
      </c>
    </row>
    <row r="990" spans="1:15" x14ac:dyDescent="0.25">
      <c r="A990" s="89">
        <v>45055.833333333336</v>
      </c>
      <c r="B990" s="94">
        <v>358.43</v>
      </c>
      <c r="C990" s="94">
        <v>300.41000000000003</v>
      </c>
      <c r="D990" s="94">
        <v>2.6622656286193118</v>
      </c>
      <c r="E990" s="94">
        <v>0</v>
      </c>
      <c r="F990" s="94">
        <v>0.89838939928048867</v>
      </c>
      <c r="G990" s="94">
        <v>0</v>
      </c>
      <c r="H990" s="94">
        <v>71.444403983277567</v>
      </c>
      <c r="I990" s="94">
        <v>12.907281494140625</v>
      </c>
      <c r="J990" s="94">
        <v>2338</v>
      </c>
      <c r="K990" s="94">
        <v>2.3239999999999998</v>
      </c>
      <c r="L990" s="94">
        <v>0</v>
      </c>
      <c r="M990" s="94">
        <v>0</v>
      </c>
      <c r="N990" s="94">
        <v>0</v>
      </c>
      <c r="O990" s="94">
        <v>0</v>
      </c>
    </row>
    <row r="991" spans="1:15" x14ac:dyDescent="0.25">
      <c r="A991" s="89">
        <v>45056.333333333336</v>
      </c>
      <c r="B991" s="94">
        <v>358.46134789624568</v>
      </c>
      <c r="C991" s="94">
        <v>300.41019502923535</v>
      </c>
      <c r="D991" s="94">
        <v>2.7</v>
      </c>
      <c r="E991" s="94">
        <v>0</v>
      </c>
      <c r="F991" s="94">
        <v>2.3562434621276385</v>
      </c>
      <c r="G991" s="94">
        <v>0</v>
      </c>
      <c r="H991" s="94">
        <v>71.431427118843445</v>
      </c>
      <c r="I991" s="94">
        <v>13.077503006450202</v>
      </c>
      <c r="J991" s="94">
        <v>2349</v>
      </c>
      <c r="K991" s="94">
        <v>2.327</v>
      </c>
      <c r="L991" s="94">
        <v>0</v>
      </c>
      <c r="M991" s="94">
        <v>0</v>
      </c>
      <c r="N991" s="94">
        <v>0</v>
      </c>
      <c r="O991" s="94">
        <v>0</v>
      </c>
    </row>
    <row r="992" spans="1:15" x14ac:dyDescent="0.25">
      <c r="A992" s="89">
        <v>45056.833333333336</v>
      </c>
      <c r="B992" s="94">
        <v>358.47</v>
      </c>
      <c r="C992" s="94">
        <v>300.41000000000003</v>
      </c>
      <c r="D992" s="94">
        <v>2.8</v>
      </c>
      <c r="E992" s="94">
        <v>0</v>
      </c>
      <c r="F992" s="94">
        <v>2.4</v>
      </c>
      <c r="G992" s="94">
        <v>0</v>
      </c>
      <c r="H992" s="94">
        <v>70.740605243883635</v>
      </c>
      <c r="I992" s="94">
        <v>12.963743794962657</v>
      </c>
      <c r="J992" s="94">
        <v>2354.5785021829538</v>
      </c>
      <c r="K992" s="94">
        <v>2.3283362469439925</v>
      </c>
      <c r="L992" s="94">
        <v>0</v>
      </c>
      <c r="M992" s="94">
        <v>0</v>
      </c>
      <c r="N992" s="94">
        <v>0</v>
      </c>
      <c r="O992" s="94">
        <v>0</v>
      </c>
    </row>
    <row r="993" spans="1:15" x14ac:dyDescent="0.25">
      <c r="A993" s="89">
        <v>45057.333333333336</v>
      </c>
      <c r="B993" s="94">
        <v>358.49381801020184</v>
      </c>
      <c r="C993" s="94">
        <v>300.41000000000003</v>
      </c>
      <c r="D993" s="94">
        <v>2.7238211944067108</v>
      </c>
      <c r="E993" s="94">
        <v>0</v>
      </c>
      <c r="F993" s="94">
        <v>2.4</v>
      </c>
      <c r="G993" s="94">
        <v>0</v>
      </c>
      <c r="H993" s="94">
        <v>70.649822743841227</v>
      </c>
      <c r="I993" s="94">
        <v>12.792589462079102</v>
      </c>
      <c r="J993" s="94">
        <v>2335.6168678671802</v>
      </c>
      <c r="K993" s="94">
        <v>2.3233417480461598</v>
      </c>
      <c r="L993" s="94">
        <v>0</v>
      </c>
      <c r="M993" s="94">
        <v>0</v>
      </c>
      <c r="N993" s="94">
        <v>0</v>
      </c>
      <c r="O993" s="94">
        <v>0</v>
      </c>
    </row>
    <row r="994" spans="1:15" x14ac:dyDescent="0.25">
      <c r="A994" s="89">
        <v>45057.833333333336</v>
      </c>
      <c r="B994" s="94">
        <v>358.5</v>
      </c>
      <c r="C994" s="94">
        <v>300.23</v>
      </c>
      <c r="D994" s="94">
        <v>2.8119385543351805</v>
      </c>
      <c r="E994" s="94">
        <v>0</v>
      </c>
      <c r="F994" s="94">
        <v>2.4666939477562968</v>
      </c>
      <c r="G994" s="94">
        <v>0</v>
      </c>
      <c r="H994" s="94">
        <v>53.426903347628986</v>
      </c>
      <c r="I994" s="94">
        <v>8.4054237132493608</v>
      </c>
      <c r="J994" s="94">
        <v>1668.4050177017727</v>
      </c>
      <c r="K994" s="94">
        <v>2.1330616753329719</v>
      </c>
      <c r="L994" s="94">
        <v>0</v>
      </c>
      <c r="M994" s="94">
        <v>0</v>
      </c>
      <c r="N994" s="94">
        <v>0</v>
      </c>
      <c r="O994" s="94">
        <v>0</v>
      </c>
    </row>
    <row r="995" spans="1:15" x14ac:dyDescent="0.25">
      <c r="A995" s="89">
        <v>45058.333333333336</v>
      </c>
      <c r="B995" s="94">
        <v>358.51621231997569</v>
      </c>
      <c r="C995" s="94">
        <v>300.23542772660471</v>
      </c>
      <c r="D995" s="94">
        <v>2.7832194190565178</v>
      </c>
      <c r="E995" s="94">
        <v>0</v>
      </c>
      <c r="F995" s="94">
        <v>2.4</v>
      </c>
      <c r="G995" s="94">
        <v>0</v>
      </c>
      <c r="H995" s="94">
        <v>54.401425010279603</v>
      </c>
      <c r="I995" s="94">
        <v>8.7919750034127624</v>
      </c>
      <c r="J995" s="94">
        <v>1664</v>
      </c>
      <c r="K995" s="94">
        <v>2.1323890827570526</v>
      </c>
      <c r="L995" s="94">
        <v>0</v>
      </c>
      <c r="M995" s="94">
        <v>0</v>
      </c>
      <c r="N995" s="94">
        <v>0</v>
      </c>
      <c r="O995" s="94">
        <v>0</v>
      </c>
    </row>
    <row r="996" spans="1:15" x14ac:dyDescent="0.25">
      <c r="A996" s="89">
        <v>45058.833333333336</v>
      </c>
      <c r="B996" s="94">
        <v>358.52</v>
      </c>
      <c r="C996" s="94">
        <v>300.23</v>
      </c>
      <c r="D996" s="94">
        <v>2.8</v>
      </c>
      <c r="E996" s="94">
        <v>0</v>
      </c>
      <c r="F996" s="94">
        <v>2.4921476942652321</v>
      </c>
      <c r="G996" s="94">
        <v>0</v>
      </c>
      <c r="H996" s="94">
        <v>54.586533618407742</v>
      </c>
      <c r="I996" s="94">
        <v>8.6506234812925413</v>
      </c>
      <c r="J996" s="94">
        <v>1666.406468207545</v>
      </c>
      <c r="K996" s="94">
        <v>2.1322637785582357</v>
      </c>
      <c r="L996" s="94">
        <v>0</v>
      </c>
      <c r="M996" s="94">
        <v>0</v>
      </c>
      <c r="N996" s="94">
        <v>0</v>
      </c>
      <c r="O996" s="94">
        <v>0</v>
      </c>
    </row>
    <row r="997" spans="1:15" x14ac:dyDescent="0.25">
      <c r="A997" s="89">
        <v>45059.333333333336</v>
      </c>
      <c r="B997" s="94">
        <v>358.52</v>
      </c>
      <c r="C997" s="94">
        <v>300.23</v>
      </c>
      <c r="D997" s="94">
        <v>2.8</v>
      </c>
      <c r="E997" s="94">
        <v>0</v>
      </c>
      <c r="F997" s="94">
        <v>2.4117507699302156</v>
      </c>
      <c r="G997" s="94">
        <v>0</v>
      </c>
      <c r="H997" s="94">
        <v>54.28903685647542</v>
      </c>
      <c r="I997" s="94">
        <v>8.4424211583223041</v>
      </c>
      <c r="J997" s="94">
        <v>1667</v>
      </c>
      <c r="K997" s="94">
        <v>2.1349999999999998</v>
      </c>
      <c r="L997" s="94">
        <v>0</v>
      </c>
      <c r="M997" s="94">
        <v>0</v>
      </c>
      <c r="N997" s="94">
        <v>0</v>
      </c>
      <c r="O997" s="94">
        <v>0</v>
      </c>
    </row>
    <row r="998" spans="1:15" x14ac:dyDescent="0.25">
      <c r="A998" s="89">
        <v>45059.833333333336</v>
      </c>
      <c r="B998" s="94">
        <v>358.52</v>
      </c>
      <c r="C998" s="94">
        <v>299.77</v>
      </c>
      <c r="D998" s="94">
        <v>2.8</v>
      </c>
      <c r="E998" s="94">
        <v>0</v>
      </c>
      <c r="F998" s="94">
        <v>2.5</v>
      </c>
      <c r="G998" s="94">
        <v>0</v>
      </c>
      <c r="H998" s="94">
        <v>0.2</v>
      </c>
      <c r="I998" s="94">
        <v>0</v>
      </c>
      <c r="J998" s="94">
        <v>527</v>
      </c>
      <c r="K998" s="94">
        <v>1.599</v>
      </c>
      <c r="L998" s="94">
        <v>0</v>
      </c>
      <c r="M998" s="94">
        <v>0</v>
      </c>
      <c r="N998" s="94">
        <v>0</v>
      </c>
      <c r="O998" s="94">
        <v>16.279095205116541</v>
      </c>
    </row>
    <row r="999" spans="1:15" x14ac:dyDescent="0.25">
      <c r="A999" s="89">
        <v>45060.333333333336</v>
      </c>
      <c r="B999" s="94">
        <v>358.52</v>
      </c>
      <c r="C999" s="94">
        <v>299.77</v>
      </c>
      <c r="D999" s="94">
        <v>2.7175452892207215</v>
      </c>
      <c r="E999" s="94">
        <v>0</v>
      </c>
      <c r="F999" s="94">
        <v>2.4568986734558966</v>
      </c>
      <c r="G999" s="94">
        <v>0</v>
      </c>
      <c r="H999" s="94">
        <v>1.2</v>
      </c>
      <c r="I999" s="94">
        <v>0</v>
      </c>
      <c r="J999" s="94">
        <v>527</v>
      </c>
      <c r="K999" s="94">
        <v>1.6012436432051937</v>
      </c>
      <c r="L999" s="94">
        <v>0</v>
      </c>
      <c r="M999" s="94">
        <v>0</v>
      </c>
      <c r="N999" s="94">
        <v>0</v>
      </c>
      <c r="O999" s="94">
        <v>16</v>
      </c>
    </row>
    <row r="1000" spans="1:15" x14ac:dyDescent="0.25">
      <c r="A1000" s="89">
        <v>45060.833333333336</v>
      </c>
      <c r="B1000" s="94">
        <v>358.52</v>
      </c>
      <c r="C1000" s="94">
        <v>299.77</v>
      </c>
      <c r="D1000" s="94">
        <v>2.8</v>
      </c>
      <c r="E1000" s="94">
        <v>0</v>
      </c>
      <c r="F1000" s="94">
        <v>2.4503269727355041</v>
      </c>
      <c r="G1000" s="94">
        <v>0</v>
      </c>
      <c r="H1000" s="94">
        <v>1.2</v>
      </c>
      <c r="I1000" s="94">
        <v>0</v>
      </c>
      <c r="J1000" s="94">
        <v>527.3999894014413</v>
      </c>
      <c r="K1000" s="94">
        <v>1.6012906780223664</v>
      </c>
      <c r="L1000" s="94">
        <v>0</v>
      </c>
      <c r="M1000" s="94">
        <v>0</v>
      </c>
      <c r="N1000" s="94">
        <v>0</v>
      </c>
      <c r="O1000" s="94">
        <v>17</v>
      </c>
    </row>
    <row r="1001" spans="1:15" x14ac:dyDescent="0.25">
      <c r="A1001" s="89">
        <v>45061.333333333336</v>
      </c>
      <c r="B1001" s="94">
        <v>358.54391915665946</v>
      </c>
      <c r="C1001" s="94">
        <v>299.77</v>
      </c>
      <c r="D1001" s="94">
        <v>2.8</v>
      </c>
      <c r="E1001" s="94">
        <v>0</v>
      </c>
      <c r="F1001" s="94">
        <v>2.412971714564732</v>
      </c>
      <c r="G1001" s="94">
        <v>0</v>
      </c>
      <c r="H1001" s="94">
        <v>1.2825574214695952</v>
      </c>
      <c r="I1001" s="94">
        <v>0</v>
      </c>
      <c r="J1001" s="94">
        <v>529.80266113234097</v>
      </c>
      <c r="K1001" s="94">
        <v>1.6040000000000001</v>
      </c>
      <c r="L1001" s="94">
        <v>0</v>
      </c>
      <c r="M1001" s="94">
        <v>0</v>
      </c>
      <c r="N1001" s="94">
        <v>0</v>
      </c>
      <c r="O1001" s="94">
        <v>17</v>
      </c>
    </row>
    <row r="1002" spans="1:15" x14ac:dyDescent="0.25">
      <c r="A1002" s="89">
        <v>45061.833333333336</v>
      </c>
      <c r="B1002" s="94">
        <v>358.62</v>
      </c>
      <c r="C1002" s="94">
        <v>299.75</v>
      </c>
      <c r="D1002" s="94">
        <v>2.750615265796045</v>
      </c>
      <c r="E1002" s="94">
        <v>0</v>
      </c>
      <c r="F1002" s="94">
        <v>35.411820839729174</v>
      </c>
      <c r="G1002" s="94">
        <v>2.1818301391601564</v>
      </c>
      <c r="H1002" s="94">
        <v>1.2028203349791582</v>
      </c>
      <c r="I1002" s="94">
        <v>0</v>
      </c>
      <c r="J1002" s="94">
        <v>508</v>
      </c>
      <c r="K1002" s="94">
        <v>1.5860000000000001</v>
      </c>
      <c r="L1002" s="94">
        <v>0</v>
      </c>
      <c r="M1002" s="94">
        <v>0</v>
      </c>
      <c r="N1002" s="94">
        <v>0</v>
      </c>
      <c r="O1002" s="94">
        <v>0</v>
      </c>
    </row>
    <row r="1003" spans="1:15" x14ac:dyDescent="0.25">
      <c r="A1003" s="89">
        <v>45062.333333333336</v>
      </c>
      <c r="B1003" s="94">
        <v>358.62799592187463</v>
      </c>
      <c r="C1003" s="94">
        <v>299.75385817664153</v>
      </c>
      <c r="D1003" s="94">
        <v>2.6</v>
      </c>
      <c r="E1003" s="94">
        <v>0</v>
      </c>
      <c r="F1003" s="94">
        <v>35.143755245032672</v>
      </c>
      <c r="G1003" s="94">
        <v>2.1687799072265626</v>
      </c>
      <c r="H1003" s="94">
        <v>1.3921180104434359</v>
      </c>
      <c r="I1003" s="94">
        <v>0</v>
      </c>
      <c r="J1003" s="94">
        <v>511</v>
      </c>
      <c r="K1003" s="94">
        <v>1.5860732784826916</v>
      </c>
      <c r="L1003" s="94">
        <v>0</v>
      </c>
      <c r="M1003" s="94">
        <v>0</v>
      </c>
      <c r="N1003" s="94">
        <v>0</v>
      </c>
      <c r="O1003" s="94">
        <v>0</v>
      </c>
    </row>
    <row r="1004" spans="1:15" x14ac:dyDescent="0.25">
      <c r="A1004" s="89">
        <v>45062.833333333336</v>
      </c>
      <c r="B1004" s="94">
        <v>358.65</v>
      </c>
      <c r="C1004" s="94">
        <v>299.72000000000003</v>
      </c>
      <c r="D1004" s="94">
        <v>2.8</v>
      </c>
      <c r="E1004" s="94">
        <v>0</v>
      </c>
      <c r="F1004" s="94">
        <v>29.894137193173755</v>
      </c>
      <c r="G1004" s="94">
        <v>1.8820403938167096</v>
      </c>
      <c r="H1004" s="94">
        <v>1.3</v>
      </c>
      <c r="I1004" s="94">
        <v>0</v>
      </c>
      <c r="J1004" s="94">
        <v>463</v>
      </c>
      <c r="K1004" s="94">
        <v>1.550093596219579</v>
      </c>
      <c r="L1004" s="94">
        <v>0</v>
      </c>
      <c r="M1004" s="94">
        <v>0</v>
      </c>
      <c r="N1004" s="94">
        <v>0</v>
      </c>
      <c r="O1004" s="94">
        <v>0</v>
      </c>
    </row>
    <row r="1005" spans="1:15" x14ac:dyDescent="0.25">
      <c r="A1005" s="89">
        <v>45063.333333333336</v>
      </c>
      <c r="B1005" s="94">
        <v>358.65560055012583</v>
      </c>
      <c r="C1005" s="94">
        <v>299.71674211648798</v>
      </c>
      <c r="D1005" s="94">
        <v>2.7521765184448275</v>
      </c>
      <c r="E1005" s="94">
        <v>0</v>
      </c>
      <c r="F1005" s="94">
        <v>29.623578458948764</v>
      </c>
      <c r="G1005" s="94">
        <v>1.8832301330566406</v>
      </c>
      <c r="H1005" s="94">
        <v>1.3504460266764748</v>
      </c>
      <c r="I1005" s="94">
        <v>0</v>
      </c>
      <c r="J1005" s="94">
        <v>462.60510887915291</v>
      </c>
      <c r="K1005" s="94">
        <v>1.5485874274445595</v>
      </c>
      <c r="L1005" s="94">
        <v>0</v>
      </c>
      <c r="M1005" s="94">
        <v>0</v>
      </c>
      <c r="N1005" s="94">
        <v>0</v>
      </c>
      <c r="O1005" s="94">
        <v>0</v>
      </c>
    </row>
    <row r="1006" spans="1:15" x14ac:dyDescent="0.25">
      <c r="A1006" s="89">
        <v>45063.833333333336</v>
      </c>
      <c r="B1006" s="94">
        <v>358.67</v>
      </c>
      <c r="C1006" s="94">
        <v>299.71271624102934</v>
      </c>
      <c r="D1006" s="94">
        <v>2.7158827997084116</v>
      </c>
      <c r="E1006" s="94">
        <v>0</v>
      </c>
      <c r="F1006" s="94">
        <v>29.786387658469529</v>
      </c>
      <c r="G1006" s="94">
        <v>1.8727890263411775</v>
      </c>
      <c r="H1006" s="94">
        <v>1.356986807328515</v>
      </c>
      <c r="I1006" s="94">
        <v>0</v>
      </c>
      <c r="J1006" s="94">
        <v>463</v>
      </c>
      <c r="K1006" s="94">
        <v>1.55</v>
      </c>
      <c r="L1006" s="94">
        <v>0</v>
      </c>
      <c r="M1006" s="94">
        <v>0</v>
      </c>
      <c r="N1006" s="94">
        <v>0</v>
      </c>
      <c r="O1006" s="94">
        <v>0</v>
      </c>
    </row>
    <row r="1007" spans="1:15" x14ac:dyDescent="0.25">
      <c r="A1007" s="89">
        <v>45064.333333333336</v>
      </c>
      <c r="B1007" s="94">
        <v>358.67872440561428</v>
      </c>
      <c r="C1007" s="94">
        <v>299.71343064625</v>
      </c>
      <c r="D1007" s="94">
        <v>2.4217221596585592</v>
      </c>
      <c r="E1007" s="94">
        <v>0</v>
      </c>
      <c r="F1007" s="94">
        <v>29.242606458035446</v>
      </c>
      <c r="G1007" s="94">
        <v>1.86</v>
      </c>
      <c r="H1007" s="94">
        <v>1.4</v>
      </c>
      <c r="I1007" s="94">
        <v>0</v>
      </c>
      <c r="J1007" s="94">
        <v>466.39699316293741</v>
      </c>
      <c r="K1007" s="94">
        <v>1.552</v>
      </c>
      <c r="L1007" s="94">
        <v>0</v>
      </c>
      <c r="M1007" s="94">
        <v>0</v>
      </c>
      <c r="N1007" s="94">
        <v>0</v>
      </c>
      <c r="O1007" s="94">
        <v>0</v>
      </c>
    </row>
    <row r="1008" spans="1:15" x14ac:dyDescent="0.25">
      <c r="A1008" s="89">
        <v>45064.833333333336</v>
      </c>
      <c r="B1008" s="94">
        <v>358.7</v>
      </c>
      <c r="C1008" s="94">
        <v>299.71044062084349</v>
      </c>
      <c r="D1008" s="94">
        <v>2.5562464104062017</v>
      </c>
      <c r="E1008" s="94">
        <v>0</v>
      </c>
      <c r="F1008" s="94">
        <v>29.5</v>
      </c>
      <c r="G1008" s="94">
        <v>1.8621922683325443</v>
      </c>
      <c r="H1008" s="94">
        <v>1.4</v>
      </c>
      <c r="I1008" s="94">
        <v>0</v>
      </c>
      <c r="J1008" s="94">
        <v>382.94732454264488</v>
      </c>
      <c r="K1008" s="94">
        <v>1.2310851562025567</v>
      </c>
      <c r="L1008" s="94">
        <v>0</v>
      </c>
      <c r="M1008" s="94">
        <v>0</v>
      </c>
      <c r="N1008" s="94">
        <v>0</v>
      </c>
      <c r="O1008" s="94">
        <v>0</v>
      </c>
    </row>
    <row r="1009" spans="1:15" x14ac:dyDescent="0.25">
      <c r="A1009" s="89">
        <v>45065.333333333336</v>
      </c>
      <c r="B1009" s="94">
        <v>358.7</v>
      </c>
      <c r="C1009" s="94">
        <v>299.71755302711574</v>
      </c>
      <c r="D1009" s="94">
        <v>2.2240264130279437</v>
      </c>
      <c r="E1009" s="94">
        <v>0</v>
      </c>
      <c r="F1009" s="94">
        <v>29.1</v>
      </c>
      <c r="G1009" s="94">
        <v>1.8770267297999084</v>
      </c>
      <c r="H1009" s="94">
        <v>1.4079986572265624</v>
      </c>
      <c r="I1009" s="94">
        <v>0</v>
      </c>
      <c r="J1009" s="94">
        <v>466</v>
      </c>
      <c r="K1009" s="94">
        <v>1.5509999999999999</v>
      </c>
      <c r="L1009" s="94">
        <v>0</v>
      </c>
      <c r="M1009" s="94">
        <v>0</v>
      </c>
      <c r="N1009" s="94">
        <v>0</v>
      </c>
      <c r="O1009" s="94">
        <v>0</v>
      </c>
    </row>
    <row r="1010" spans="1:15" x14ac:dyDescent="0.25">
      <c r="A1010" s="89">
        <v>45065.833333333336</v>
      </c>
      <c r="B1010" s="94">
        <v>358.7</v>
      </c>
      <c r="C1010" s="94">
        <v>299.71714330037435</v>
      </c>
      <c r="D1010" s="94">
        <v>2.5</v>
      </c>
      <c r="E1010" s="94">
        <v>0</v>
      </c>
      <c r="F1010" s="94">
        <v>29.488794024746479</v>
      </c>
      <c r="G1010" s="94">
        <v>1.8440882195550801</v>
      </c>
      <c r="H1010" s="94">
        <v>1.4</v>
      </c>
      <c r="I1010" s="94">
        <v>0</v>
      </c>
      <c r="J1010" s="94">
        <v>465.80254042064877</v>
      </c>
      <c r="K1010" s="94">
        <v>1.5523159329536744</v>
      </c>
      <c r="L1010" s="94">
        <v>0</v>
      </c>
      <c r="M1010" s="94">
        <v>0</v>
      </c>
      <c r="N1010" s="94">
        <v>0</v>
      </c>
      <c r="O1010" s="94">
        <v>0</v>
      </c>
    </row>
    <row r="1011" spans="1:15" x14ac:dyDescent="0.25">
      <c r="A1011" s="89">
        <v>45066.333333333336</v>
      </c>
      <c r="B1011" s="94">
        <v>358.7</v>
      </c>
      <c r="C1011" s="94">
        <v>299.71595384082497</v>
      </c>
      <c r="D1011" s="94">
        <v>2.2000000000000002</v>
      </c>
      <c r="E1011" s="94">
        <v>0</v>
      </c>
      <c r="F1011" s="94">
        <v>28.918786531942381</v>
      </c>
      <c r="G1011" s="94">
        <v>1.8507998657226563</v>
      </c>
      <c r="H1011" s="94">
        <v>1.5470950913032118</v>
      </c>
      <c r="I1011" s="94">
        <v>0</v>
      </c>
      <c r="J1011" s="94">
        <v>466.00200155810876</v>
      </c>
      <c r="K1011" s="94">
        <v>1.5522558956020991</v>
      </c>
      <c r="L1011" s="94">
        <v>0</v>
      </c>
      <c r="M1011" s="94">
        <v>0</v>
      </c>
      <c r="N1011" s="94">
        <v>0</v>
      </c>
      <c r="O1011" s="94">
        <v>0</v>
      </c>
    </row>
    <row r="1012" spans="1:15" x14ac:dyDescent="0.25">
      <c r="A1012" s="89">
        <v>45066.833333333336</v>
      </c>
      <c r="B1012" s="94">
        <v>358.7</v>
      </c>
      <c r="C1012" s="94">
        <v>299.72000000000003</v>
      </c>
      <c r="D1012" s="94">
        <v>2.5</v>
      </c>
      <c r="E1012" s="94">
        <v>0</v>
      </c>
      <c r="F1012" s="94">
        <v>29.3</v>
      </c>
      <c r="G1012" s="94">
        <v>1.8264561350005084</v>
      </c>
      <c r="H1012" s="94">
        <v>1.4816557920331137</v>
      </c>
      <c r="I1012" s="94">
        <v>0</v>
      </c>
      <c r="J1012" s="94">
        <v>466</v>
      </c>
      <c r="K1012" s="94">
        <v>1.5518899871415492</v>
      </c>
      <c r="L1012" s="94">
        <v>0</v>
      </c>
      <c r="M1012" s="94">
        <v>0</v>
      </c>
      <c r="N1012" s="94">
        <v>0</v>
      </c>
      <c r="O1012" s="94">
        <v>0</v>
      </c>
    </row>
    <row r="1013" spans="1:15" x14ac:dyDescent="0.25">
      <c r="A1013" s="89">
        <v>45067.333333333336</v>
      </c>
      <c r="B1013" s="94">
        <v>358.7</v>
      </c>
      <c r="C1013" s="94">
        <v>299.72000000000003</v>
      </c>
      <c r="D1013" s="94">
        <v>2.4</v>
      </c>
      <c r="E1013" s="94">
        <v>0</v>
      </c>
      <c r="F1013" s="94">
        <v>29.112150101380429</v>
      </c>
      <c r="G1013" s="94">
        <v>1.88</v>
      </c>
      <c r="H1013" s="94">
        <v>1.4</v>
      </c>
      <c r="I1013" s="94">
        <v>0</v>
      </c>
      <c r="J1013" s="94">
        <v>465.60362772403732</v>
      </c>
      <c r="K1013" s="94">
        <v>1.5537911847020975</v>
      </c>
      <c r="L1013" s="94">
        <v>0</v>
      </c>
      <c r="M1013" s="94">
        <v>0</v>
      </c>
      <c r="N1013" s="94">
        <v>0</v>
      </c>
      <c r="O1013" s="94">
        <v>0</v>
      </c>
    </row>
    <row r="1014" spans="1:15" x14ac:dyDescent="0.25">
      <c r="A1014" s="89">
        <v>45067.833333333336</v>
      </c>
      <c r="B1014" s="94">
        <v>358.7</v>
      </c>
      <c r="C1014" s="94">
        <v>299.71504042274165</v>
      </c>
      <c r="D1014" s="94">
        <v>2.5</v>
      </c>
      <c r="E1014" s="94">
        <v>0</v>
      </c>
      <c r="F1014" s="94">
        <v>29.314111865200093</v>
      </c>
      <c r="G1014" s="94">
        <v>1.8693587646204419</v>
      </c>
      <c r="H1014" s="94">
        <v>1.4</v>
      </c>
      <c r="I1014" s="94">
        <v>0</v>
      </c>
      <c r="J1014" s="94">
        <v>454.19911294630845</v>
      </c>
      <c r="K1014" s="94">
        <v>1.5412101135345511</v>
      </c>
      <c r="L1014" s="94">
        <v>0</v>
      </c>
      <c r="M1014" s="94">
        <v>0</v>
      </c>
      <c r="N1014" s="94">
        <v>0</v>
      </c>
      <c r="O1014" s="94">
        <v>0</v>
      </c>
    </row>
    <row r="1015" spans="1:15" x14ac:dyDescent="0.25">
      <c r="A1015" s="89">
        <v>45068.333333333336</v>
      </c>
      <c r="B1015" s="94">
        <v>358.72931494855578</v>
      </c>
      <c r="C1015" s="94">
        <v>299.7092732655363</v>
      </c>
      <c r="D1015" s="94">
        <v>2.1206334431966147</v>
      </c>
      <c r="E1015" s="94">
        <v>0</v>
      </c>
      <c r="F1015" s="94">
        <v>0.27682755985533697</v>
      </c>
      <c r="G1015" s="94">
        <v>0</v>
      </c>
      <c r="H1015" s="94">
        <v>1.5866989135742189</v>
      </c>
      <c r="I1015" s="94">
        <v>0</v>
      </c>
      <c r="J1015" s="94">
        <v>454</v>
      </c>
      <c r="K1015" s="94">
        <v>1.542149387846828</v>
      </c>
      <c r="L1015" s="94">
        <v>0</v>
      </c>
      <c r="M1015" s="94">
        <v>0</v>
      </c>
      <c r="N1015" s="94">
        <v>0</v>
      </c>
      <c r="O1015" s="94">
        <v>10.563855640479204</v>
      </c>
    </row>
    <row r="1016" spans="1:15" x14ac:dyDescent="0.25">
      <c r="A1016" s="89">
        <v>45068.833333333336</v>
      </c>
      <c r="B1016" s="94">
        <v>358.8</v>
      </c>
      <c r="C1016" s="94">
        <v>299.76037579988179</v>
      </c>
      <c r="D1016" s="94">
        <v>2.4</v>
      </c>
      <c r="E1016" s="94">
        <v>0</v>
      </c>
      <c r="F1016" s="94">
        <v>0.7</v>
      </c>
      <c r="G1016" s="94">
        <v>0</v>
      </c>
      <c r="H1016" s="94">
        <v>1.4</v>
      </c>
      <c r="I1016" s="94">
        <v>0</v>
      </c>
      <c r="J1016" s="94">
        <v>518.59662535650648</v>
      </c>
      <c r="K1016" s="94">
        <v>1.5955333963708869</v>
      </c>
      <c r="L1016" s="94">
        <v>0</v>
      </c>
      <c r="M1016" s="94">
        <v>0</v>
      </c>
      <c r="N1016" s="94">
        <v>0</v>
      </c>
      <c r="O1016" s="94">
        <v>16.26925132244952</v>
      </c>
    </row>
    <row r="1017" spans="1:15" x14ac:dyDescent="0.25">
      <c r="A1017" s="89">
        <v>45069.333333333336</v>
      </c>
      <c r="B1017" s="94">
        <v>358.80595411634624</v>
      </c>
      <c r="C1017" s="94">
        <v>299.77</v>
      </c>
      <c r="D1017" s="94">
        <v>2.2999999999999998</v>
      </c>
      <c r="E1017" s="94">
        <v>0</v>
      </c>
      <c r="F1017" s="94">
        <v>0.7</v>
      </c>
      <c r="G1017" s="94">
        <v>0</v>
      </c>
      <c r="H1017" s="94">
        <v>1.4</v>
      </c>
      <c r="I1017" s="94">
        <v>0</v>
      </c>
      <c r="J1017" s="94">
        <v>521.79856179846331</v>
      </c>
      <c r="K1017" s="94">
        <v>1.5967068532588593</v>
      </c>
      <c r="L1017" s="94">
        <v>0</v>
      </c>
      <c r="M1017" s="94">
        <v>0</v>
      </c>
      <c r="N1017" s="94">
        <v>0</v>
      </c>
      <c r="O1017" s="94">
        <v>16</v>
      </c>
    </row>
    <row r="1018" spans="1:15" x14ac:dyDescent="0.25">
      <c r="A1018" s="89">
        <v>45069.833333333336</v>
      </c>
      <c r="B1018" s="94">
        <v>358.82</v>
      </c>
      <c r="C1018" s="94">
        <v>299.7642790372293</v>
      </c>
      <c r="D1018" s="94">
        <v>2.2999999999999998</v>
      </c>
      <c r="E1018" s="94">
        <v>0</v>
      </c>
      <c r="F1018" s="94">
        <v>1.9</v>
      </c>
      <c r="G1018" s="94">
        <v>0</v>
      </c>
      <c r="H1018" s="94">
        <v>1.4441889626770372</v>
      </c>
      <c r="I1018" s="94">
        <v>0</v>
      </c>
      <c r="J1018" s="94">
        <v>516.8002385868599</v>
      </c>
      <c r="K1018" s="94">
        <v>1.5935321434374925</v>
      </c>
      <c r="L1018" s="94">
        <v>0</v>
      </c>
      <c r="M1018" s="94">
        <v>0</v>
      </c>
      <c r="N1018" s="94">
        <v>0</v>
      </c>
      <c r="O1018" s="94">
        <v>16</v>
      </c>
    </row>
    <row r="1019" spans="1:15" x14ac:dyDescent="0.25">
      <c r="A1019" s="89">
        <v>45070.333333333336</v>
      </c>
      <c r="B1019" s="94">
        <v>358.82303028066559</v>
      </c>
      <c r="C1019" s="94">
        <v>299.76700574832392</v>
      </c>
      <c r="D1019" s="94">
        <v>2.1107874132330018</v>
      </c>
      <c r="E1019" s="94">
        <v>0</v>
      </c>
      <c r="F1019" s="94">
        <v>1.656567423320956</v>
      </c>
      <c r="G1019" s="94">
        <v>0</v>
      </c>
      <c r="H1019" s="94">
        <v>1.5</v>
      </c>
      <c r="I1019" s="94">
        <v>1.4091034139003652E-3</v>
      </c>
      <c r="J1019" s="94">
        <v>516.39534595504733</v>
      </c>
      <c r="K1019" s="94">
        <v>1.592115776837844</v>
      </c>
      <c r="L1019" s="94">
        <v>0</v>
      </c>
      <c r="M1019" s="94">
        <v>0</v>
      </c>
      <c r="N1019" s="94">
        <v>0</v>
      </c>
      <c r="O1019" s="94">
        <v>16</v>
      </c>
    </row>
    <row r="1020" spans="1:15" x14ac:dyDescent="0.25">
      <c r="A1020" s="89">
        <v>45070.833333333336</v>
      </c>
      <c r="B1020" s="94">
        <v>358.83</v>
      </c>
      <c r="C1020" s="94">
        <v>299.72000000000003</v>
      </c>
      <c r="D1020" s="94">
        <v>2.294169029822716</v>
      </c>
      <c r="E1020" s="94">
        <v>0</v>
      </c>
      <c r="F1020" s="94">
        <v>1.8355508691593185</v>
      </c>
      <c r="G1020" s="94">
        <v>0</v>
      </c>
      <c r="H1020" s="94">
        <v>1.4699378704202586</v>
      </c>
      <c r="I1020" s="94">
        <v>0</v>
      </c>
      <c r="J1020" s="94">
        <v>466</v>
      </c>
      <c r="K1020" s="94">
        <v>1.552</v>
      </c>
      <c r="L1020" s="94">
        <v>0</v>
      </c>
      <c r="M1020" s="94">
        <v>0</v>
      </c>
      <c r="N1020" s="94">
        <v>0</v>
      </c>
      <c r="O1020" s="94">
        <v>15</v>
      </c>
    </row>
    <row r="1021" spans="1:15" x14ac:dyDescent="0.25">
      <c r="A1021" s="89">
        <v>45071.333333333336</v>
      </c>
      <c r="B1021" s="94">
        <v>358.83615883701003</v>
      </c>
      <c r="C1021" s="94">
        <v>299.70999999999998</v>
      </c>
      <c r="D1021" s="94">
        <v>2.2000000000000002</v>
      </c>
      <c r="E1021" s="94">
        <v>0</v>
      </c>
      <c r="F1021" s="94">
        <v>1.7243086820077931</v>
      </c>
      <c r="G1021" s="94">
        <v>0</v>
      </c>
      <c r="H1021" s="94">
        <v>1.4535229718243634</v>
      </c>
      <c r="I1021" s="94">
        <v>0</v>
      </c>
      <c r="J1021" s="94">
        <v>458</v>
      </c>
      <c r="K1021" s="94">
        <v>1.5454404090177885</v>
      </c>
      <c r="L1021" s="94">
        <v>0</v>
      </c>
      <c r="M1021" s="94">
        <v>0</v>
      </c>
      <c r="N1021" s="94">
        <v>0</v>
      </c>
      <c r="O1021" s="94">
        <v>14</v>
      </c>
    </row>
    <row r="1022" spans="1:15" x14ac:dyDescent="0.25">
      <c r="A1022" s="89">
        <v>45071.833333333336</v>
      </c>
      <c r="B1022" s="94">
        <v>358.85</v>
      </c>
      <c r="C1022" s="94">
        <v>299.70999999999998</v>
      </c>
      <c r="D1022" s="94">
        <v>2.2569418099492138</v>
      </c>
      <c r="E1022" s="94">
        <v>0</v>
      </c>
      <c r="F1022" s="94">
        <v>1.8080090204057904</v>
      </c>
      <c r="G1022" s="94">
        <v>0</v>
      </c>
      <c r="H1022" s="94">
        <v>1.4459545409902996</v>
      </c>
      <c r="I1022" s="94">
        <v>0</v>
      </c>
      <c r="J1022" s="94">
        <v>446</v>
      </c>
      <c r="K1022" s="94">
        <v>1.5349999999999999</v>
      </c>
      <c r="L1022" s="94">
        <v>0</v>
      </c>
      <c r="M1022" s="94">
        <v>0</v>
      </c>
      <c r="N1022" s="94">
        <v>0</v>
      </c>
      <c r="O1022" s="94">
        <v>14</v>
      </c>
    </row>
    <row r="1023" spans="1:15" x14ac:dyDescent="0.25">
      <c r="A1023" s="89">
        <v>45072.333333333336</v>
      </c>
      <c r="B1023" s="94">
        <v>358.85945267978985</v>
      </c>
      <c r="C1023" s="94">
        <v>299.70999999999998</v>
      </c>
      <c r="D1023" s="94">
        <v>2.2694120408753391</v>
      </c>
      <c r="E1023" s="94">
        <v>0</v>
      </c>
      <c r="F1023" s="94">
        <v>1.828249740600586</v>
      </c>
      <c r="G1023" s="94">
        <v>0</v>
      </c>
      <c r="H1023" s="94">
        <v>1.49174586269048</v>
      </c>
      <c r="I1023" s="94">
        <v>0</v>
      </c>
      <c r="J1023" s="94">
        <v>444.79201310477714</v>
      </c>
      <c r="K1023" s="94">
        <v>1.5346740899493296</v>
      </c>
      <c r="L1023" s="94">
        <v>0</v>
      </c>
      <c r="M1023" s="94">
        <v>0</v>
      </c>
      <c r="N1023" s="94">
        <v>0</v>
      </c>
      <c r="O1023" s="94">
        <v>14</v>
      </c>
    </row>
    <row r="1024" spans="1:15" x14ac:dyDescent="0.25">
      <c r="A1024" s="89">
        <v>45072.833333333336</v>
      </c>
      <c r="B1024" s="94">
        <v>358.88</v>
      </c>
      <c r="C1024" s="94">
        <v>299.71402452504071</v>
      </c>
      <c r="D1024" s="94">
        <v>2.3918008351059639</v>
      </c>
      <c r="E1024" s="94">
        <v>0</v>
      </c>
      <c r="F1024" s="94">
        <v>1.8065221716284645</v>
      </c>
      <c r="G1024" s="94">
        <v>0</v>
      </c>
      <c r="H1024" s="94">
        <v>1.4550305697423369</v>
      </c>
      <c r="I1024" s="94">
        <v>0</v>
      </c>
      <c r="J1024" s="94">
        <v>452</v>
      </c>
      <c r="K1024" s="94">
        <v>1.540157113219659</v>
      </c>
      <c r="L1024" s="94">
        <v>0</v>
      </c>
      <c r="M1024" s="94">
        <v>0</v>
      </c>
      <c r="N1024" s="94">
        <v>0</v>
      </c>
      <c r="O1024" s="94">
        <v>15</v>
      </c>
    </row>
    <row r="1025" spans="1:15" x14ac:dyDescent="0.25">
      <c r="A1025" s="89">
        <v>45073.333333333336</v>
      </c>
      <c r="B1025" s="94">
        <v>358.88</v>
      </c>
      <c r="C1025" s="94">
        <v>299.70999999999998</v>
      </c>
      <c r="D1025" s="94">
        <v>2.147009852826121</v>
      </c>
      <c r="E1025" s="94">
        <v>0</v>
      </c>
      <c r="F1025" s="94">
        <v>1.6066009521484377</v>
      </c>
      <c r="G1025" s="94">
        <v>0</v>
      </c>
      <c r="H1025" s="94">
        <v>1.5289701613094628</v>
      </c>
      <c r="I1025" s="94">
        <v>0</v>
      </c>
      <c r="J1025" s="94">
        <v>448.90100380359786</v>
      </c>
      <c r="K1025" s="94">
        <v>1.5376912432659677</v>
      </c>
      <c r="L1025" s="94">
        <v>0</v>
      </c>
      <c r="M1025" s="94">
        <v>0</v>
      </c>
      <c r="N1025" s="94">
        <v>0</v>
      </c>
      <c r="O1025" s="94">
        <v>14</v>
      </c>
    </row>
    <row r="1026" spans="1:15" x14ac:dyDescent="0.25">
      <c r="A1026" s="89">
        <v>45073.833333333336</v>
      </c>
      <c r="B1026" s="94">
        <v>358.88</v>
      </c>
      <c r="C1026" s="94">
        <v>299.7652627849115</v>
      </c>
      <c r="D1026" s="94">
        <v>2.2000000000000002</v>
      </c>
      <c r="E1026" s="94">
        <v>0</v>
      </c>
      <c r="F1026" s="94">
        <v>1.7007829066685267</v>
      </c>
      <c r="G1026" s="94">
        <v>0</v>
      </c>
      <c r="H1026" s="94">
        <v>1.4619112193834078</v>
      </c>
      <c r="I1026" s="94">
        <v>0</v>
      </c>
      <c r="J1026" s="94">
        <v>512.40237947862829</v>
      </c>
      <c r="K1026" s="94">
        <v>1.5905153891238868</v>
      </c>
      <c r="L1026" s="94">
        <v>0</v>
      </c>
      <c r="M1026" s="94">
        <v>0</v>
      </c>
      <c r="N1026" s="94">
        <v>0</v>
      </c>
      <c r="O1026" s="94">
        <v>16</v>
      </c>
    </row>
    <row r="1027" spans="1:15" x14ac:dyDescent="0.25">
      <c r="A1027" s="89">
        <v>45074.333333333336</v>
      </c>
      <c r="B1027" s="94">
        <v>358.88</v>
      </c>
      <c r="C1027" s="94">
        <v>299.75</v>
      </c>
      <c r="D1027" s="94">
        <v>2.1685016414587088</v>
      </c>
      <c r="E1027" s="94">
        <v>0</v>
      </c>
      <c r="F1027" s="94">
        <v>1.7</v>
      </c>
      <c r="G1027" s="94">
        <v>0</v>
      </c>
      <c r="H1027" s="94">
        <v>1.5499183553384734</v>
      </c>
      <c r="I1027" s="94">
        <v>0</v>
      </c>
      <c r="J1027" s="94">
        <v>496</v>
      </c>
      <c r="K1027" s="94">
        <v>1.5760000000000001</v>
      </c>
      <c r="L1027" s="94">
        <v>0</v>
      </c>
      <c r="M1027" s="94">
        <v>0</v>
      </c>
      <c r="N1027" s="94">
        <v>0</v>
      </c>
      <c r="O1027" s="94">
        <v>16</v>
      </c>
    </row>
    <row r="1028" spans="1:15" x14ac:dyDescent="0.25">
      <c r="A1028" s="89">
        <v>45074.833333333336</v>
      </c>
      <c r="B1028" s="94">
        <v>358.88</v>
      </c>
      <c r="C1028" s="94">
        <v>299.77</v>
      </c>
      <c r="D1028" s="94">
        <v>2.2000000000000002</v>
      </c>
      <c r="E1028" s="94">
        <v>0</v>
      </c>
      <c r="F1028" s="94">
        <v>1.8</v>
      </c>
      <c r="G1028" s="94">
        <v>0</v>
      </c>
      <c r="H1028" s="94">
        <v>1.4097909906396759</v>
      </c>
      <c r="I1028" s="94">
        <v>0</v>
      </c>
      <c r="J1028" s="94">
        <v>525</v>
      </c>
      <c r="K1028" s="94">
        <v>1.599</v>
      </c>
      <c r="L1028" s="94">
        <v>0</v>
      </c>
      <c r="M1028" s="94">
        <v>0</v>
      </c>
      <c r="N1028" s="94">
        <v>15</v>
      </c>
      <c r="O1028" s="94">
        <v>0</v>
      </c>
    </row>
    <row r="1029" spans="1:15" x14ac:dyDescent="0.25">
      <c r="A1029" s="89">
        <v>45075.333333333336</v>
      </c>
      <c r="B1029" s="94">
        <v>358.88</v>
      </c>
      <c r="C1029" s="94">
        <v>299.74</v>
      </c>
      <c r="D1029" s="94">
        <v>2.2000000000000002</v>
      </c>
      <c r="E1029" s="94">
        <v>0</v>
      </c>
      <c r="F1029" s="94">
        <v>1.7336901737217758</v>
      </c>
      <c r="G1029" s="94">
        <v>0</v>
      </c>
      <c r="H1029" s="94">
        <v>1.4943316110025135</v>
      </c>
      <c r="I1029" s="94">
        <v>0</v>
      </c>
      <c r="J1029" s="94">
        <v>514.99207060864808</v>
      </c>
      <c r="K1029" s="94">
        <v>1.5911412885705125</v>
      </c>
      <c r="L1029" s="94">
        <v>0</v>
      </c>
      <c r="M1029" s="94">
        <v>0</v>
      </c>
      <c r="N1029" s="94">
        <v>13.050759092022483</v>
      </c>
      <c r="O1029" s="94">
        <v>0</v>
      </c>
    </row>
    <row r="1030" spans="1:15" x14ac:dyDescent="0.25">
      <c r="A1030" s="89">
        <v>45075.833333333336</v>
      </c>
      <c r="B1030" s="94">
        <v>358.92</v>
      </c>
      <c r="C1030" s="94">
        <v>299.7342110459756</v>
      </c>
      <c r="D1030" s="94">
        <v>2.2000000000000002</v>
      </c>
      <c r="E1030" s="94">
        <v>0</v>
      </c>
      <c r="F1030" s="94">
        <v>1.7969021977443742</v>
      </c>
      <c r="G1030" s="94">
        <v>0</v>
      </c>
      <c r="H1030" s="94">
        <v>1.5</v>
      </c>
      <c r="I1030" s="94">
        <v>0</v>
      </c>
      <c r="J1030" s="94">
        <v>480.21121029409971</v>
      </c>
      <c r="K1030" s="94">
        <v>1.5635740651587611</v>
      </c>
      <c r="L1030" s="94">
        <v>0</v>
      </c>
      <c r="M1030" s="94">
        <v>0</v>
      </c>
      <c r="N1030" s="94">
        <v>13</v>
      </c>
      <c r="O1030" s="94">
        <v>0</v>
      </c>
    </row>
    <row r="1031" spans="1:15" x14ac:dyDescent="0.25">
      <c r="A1031" s="89">
        <v>45076.333333333336</v>
      </c>
      <c r="B1031" s="94">
        <v>358.94124345302811</v>
      </c>
      <c r="C1031" s="94">
        <v>299.74</v>
      </c>
      <c r="D1031" s="94">
        <v>2.2000000000000002</v>
      </c>
      <c r="E1031" s="94">
        <v>0</v>
      </c>
      <c r="F1031" s="94">
        <v>1.7</v>
      </c>
      <c r="G1031" s="94">
        <v>0</v>
      </c>
      <c r="H1031" s="94">
        <v>1.5</v>
      </c>
      <c r="I1031" s="94">
        <v>0</v>
      </c>
      <c r="J1031" s="94">
        <v>477.59400843555039</v>
      </c>
      <c r="K1031" s="94">
        <v>1.5629999999999999</v>
      </c>
      <c r="L1031" s="94">
        <v>0</v>
      </c>
      <c r="M1031" s="94">
        <v>0</v>
      </c>
      <c r="N1031" s="94">
        <v>13</v>
      </c>
      <c r="O1031" s="94">
        <v>0</v>
      </c>
    </row>
    <row r="1032" spans="1:15" x14ac:dyDescent="0.25">
      <c r="A1032" s="89">
        <v>45076.833333333336</v>
      </c>
      <c r="B1032" s="94">
        <v>358.95</v>
      </c>
      <c r="C1032" s="94">
        <v>299.74</v>
      </c>
      <c r="D1032" s="94">
        <v>2.2000000000000002</v>
      </c>
      <c r="E1032" s="94">
        <v>0</v>
      </c>
      <c r="F1032" s="94">
        <v>1.7197494866529774</v>
      </c>
      <c r="G1032" s="94">
        <v>0</v>
      </c>
      <c r="H1032" s="94">
        <v>1.4</v>
      </c>
      <c r="I1032" s="94">
        <v>0</v>
      </c>
      <c r="J1032" s="94">
        <v>480</v>
      </c>
      <c r="K1032" s="94">
        <v>1.5628698091078339</v>
      </c>
      <c r="L1032" s="94">
        <v>0</v>
      </c>
      <c r="M1032" s="94">
        <v>0</v>
      </c>
      <c r="N1032" s="94">
        <v>13</v>
      </c>
      <c r="O1032" s="94">
        <v>0</v>
      </c>
    </row>
    <row r="1033" spans="1:15" x14ac:dyDescent="0.25">
      <c r="A1033" s="89">
        <v>45077.333333333336</v>
      </c>
      <c r="B1033" s="94">
        <v>358.96430489553723</v>
      </c>
      <c r="C1033" s="94">
        <v>299.74</v>
      </c>
      <c r="D1033" s="94">
        <v>2.2000000000000002</v>
      </c>
      <c r="E1033" s="94">
        <v>0</v>
      </c>
      <c r="F1033" s="94">
        <v>1.7186138544512153</v>
      </c>
      <c r="G1033" s="94">
        <v>0</v>
      </c>
      <c r="H1033" s="94">
        <v>1.4285952778539728</v>
      </c>
      <c r="I1033" s="94">
        <v>0</v>
      </c>
      <c r="J1033" s="94">
        <v>477</v>
      </c>
      <c r="K1033" s="94">
        <v>1.5609999999999999</v>
      </c>
      <c r="L1033" s="94">
        <v>0</v>
      </c>
      <c r="M1033" s="94">
        <v>0</v>
      </c>
      <c r="N1033" s="94">
        <v>13</v>
      </c>
      <c r="O1033" s="94">
        <v>0</v>
      </c>
    </row>
    <row r="1034" spans="1:15" x14ac:dyDescent="0.25">
      <c r="A1034" s="89">
        <v>45077.833333333336</v>
      </c>
      <c r="B1034" s="94">
        <v>358.97</v>
      </c>
      <c r="C1034" s="94">
        <v>299.74</v>
      </c>
      <c r="D1034" s="94">
        <v>2.2999999999999998</v>
      </c>
      <c r="E1034" s="94">
        <v>0</v>
      </c>
      <c r="F1034" s="94">
        <v>1.8209093178593827</v>
      </c>
      <c r="G1034" s="94">
        <v>0</v>
      </c>
      <c r="H1034" s="94">
        <v>1.4</v>
      </c>
      <c r="I1034" s="94">
        <v>0</v>
      </c>
      <c r="J1034" s="94">
        <v>477.59976661382024</v>
      </c>
      <c r="K1034" s="94">
        <v>1.5609999999999999</v>
      </c>
      <c r="L1034" s="94">
        <v>0</v>
      </c>
      <c r="M1034" s="94">
        <v>0</v>
      </c>
      <c r="N1034" s="94">
        <v>13</v>
      </c>
      <c r="O1034" s="94">
        <v>0</v>
      </c>
    </row>
    <row r="1035" spans="1:15" x14ac:dyDescent="0.25">
      <c r="A1035" s="89">
        <v>45078.333333333336</v>
      </c>
      <c r="B1035" s="94">
        <v>358.98438051274672</v>
      </c>
      <c r="C1035" s="94">
        <v>299.74</v>
      </c>
      <c r="D1035" s="94">
        <v>2.2968886967430842</v>
      </c>
      <c r="E1035" s="94">
        <v>0</v>
      </c>
      <c r="F1035" s="94">
        <v>1.8786259425466312</v>
      </c>
      <c r="G1035" s="94">
        <v>0</v>
      </c>
      <c r="H1035" s="94">
        <v>1.4</v>
      </c>
      <c r="I1035" s="94">
        <v>0</v>
      </c>
      <c r="J1035" s="94">
        <v>480</v>
      </c>
      <c r="K1035" s="94">
        <v>1.5610628977667547</v>
      </c>
      <c r="L1035" s="94">
        <v>0</v>
      </c>
      <c r="M1035" s="94">
        <v>0</v>
      </c>
      <c r="N1035" s="94">
        <v>13</v>
      </c>
      <c r="O1035" s="94">
        <v>0</v>
      </c>
    </row>
    <row r="1036" spans="1:15" x14ac:dyDescent="0.25">
      <c r="A1036" s="89">
        <v>45078.833333333336</v>
      </c>
      <c r="B1036" s="94">
        <v>358.99</v>
      </c>
      <c r="C1036" s="94">
        <v>299.74</v>
      </c>
      <c r="D1036" s="94">
        <v>2.4158343173596322</v>
      </c>
      <c r="E1036" s="94">
        <v>0</v>
      </c>
      <c r="F1036" s="94">
        <v>1.9</v>
      </c>
      <c r="G1036" s="94">
        <v>0</v>
      </c>
      <c r="H1036" s="94">
        <v>1.4</v>
      </c>
      <c r="I1036" s="94">
        <v>0</v>
      </c>
      <c r="J1036" s="94">
        <v>477.30046135945975</v>
      </c>
      <c r="K1036" s="94">
        <v>1.5616837510519133</v>
      </c>
      <c r="L1036" s="94">
        <v>0</v>
      </c>
      <c r="M1036" s="94">
        <v>0</v>
      </c>
      <c r="N1036" s="94">
        <v>13</v>
      </c>
      <c r="O1036" s="94">
        <v>0</v>
      </c>
    </row>
    <row r="1037" spans="1:15" x14ac:dyDescent="0.25">
      <c r="A1037" s="89">
        <v>45079.333333333336</v>
      </c>
      <c r="B1037" s="94">
        <v>358.99</v>
      </c>
      <c r="C1037" s="94">
        <v>299.74</v>
      </c>
      <c r="D1037" s="94">
        <v>2.3359807277023998</v>
      </c>
      <c r="E1037" s="94">
        <v>0</v>
      </c>
      <c r="F1037" s="94">
        <v>1.8772151155291863</v>
      </c>
      <c r="G1037" s="94">
        <v>0</v>
      </c>
      <c r="H1037" s="94">
        <v>1.4</v>
      </c>
      <c r="I1037" s="94">
        <v>0</v>
      </c>
      <c r="J1037" s="94">
        <v>480</v>
      </c>
      <c r="K1037" s="94">
        <v>1.5629999999999999</v>
      </c>
      <c r="L1037" s="94">
        <v>0</v>
      </c>
      <c r="M1037" s="94">
        <v>0</v>
      </c>
      <c r="N1037" s="94">
        <v>13</v>
      </c>
      <c r="O1037" s="94">
        <v>0</v>
      </c>
    </row>
    <row r="1038" spans="1:15" x14ac:dyDescent="0.25">
      <c r="A1038" s="89">
        <v>45079.833333333336</v>
      </c>
      <c r="B1038" s="94">
        <v>358.99</v>
      </c>
      <c r="C1038" s="94">
        <v>299.74</v>
      </c>
      <c r="D1038" s="94">
        <v>2.4681079773788963</v>
      </c>
      <c r="E1038" s="94">
        <v>0</v>
      </c>
      <c r="F1038" s="94">
        <v>1.9</v>
      </c>
      <c r="G1038" s="94">
        <v>0</v>
      </c>
      <c r="H1038" s="94">
        <v>1.472144445063321</v>
      </c>
      <c r="I1038" s="94">
        <v>0</v>
      </c>
      <c r="J1038" s="94">
        <v>480</v>
      </c>
      <c r="K1038" s="94">
        <v>1.5619114297083747</v>
      </c>
      <c r="L1038" s="94">
        <v>0</v>
      </c>
      <c r="M1038" s="94">
        <v>0</v>
      </c>
      <c r="N1038" s="94">
        <v>13</v>
      </c>
      <c r="O1038" s="94">
        <v>0</v>
      </c>
    </row>
    <row r="1039" spans="1:15" x14ac:dyDescent="0.25">
      <c r="A1039" s="89">
        <v>45080.333333333336</v>
      </c>
      <c r="B1039" s="94">
        <v>358.99</v>
      </c>
      <c r="C1039" s="94">
        <v>299.74</v>
      </c>
      <c r="D1039" s="94">
        <v>2.4195882191367457</v>
      </c>
      <c r="E1039" s="94">
        <v>0</v>
      </c>
      <c r="F1039" s="94">
        <v>1.9800119544556962</v>
      </c>
      <c r="G1039" s="94">
        <v>0</v>
      </c>
      <c r="H1039" s="94">
        <v>1.4</v>
      </c>
      <c r="I1039" s="94">
        <v>0</v>
      </c>
      <c r="J1039" s="94">
        <v>477.59049728771868</v>
      </c>
      <c r="K1039" s="94">
        <v>1.5613173714412167</v>
      </c>
      <c r="L1039" s="94">
        <v>0</v>
      </c>
      <c r="M1039" s="94">
        <v>0</v>
      </c>
      <c r="N1039" s="94">
        <v>13</v>
      </c>
      <c r="O1039" s="94">
        <v>0</v>
      </c>
    </row>
    <row r="1040" spans="1:15" x14ac:dyDescent="0.25">
      <c r="A1040" s="89">
        <v>45080.833333333336</v>
      </c>
      <c r="B1040" s="94">
        <v>358.99</v>
      </c>
      <c r="C1040" s="94">
        <v>299.74</v>
      </c>
      <c r="D1040" s="94">
        <v>2.5</v>
      </c>
      <c r="E1040" s="94">
        <v>0</v>
      </c>
      <c r="F1040" s="94">
        <v>1.9</v>
      </c>
      <c r="G1040" s="94">
        <v>0</v>
      </c>
      <c r="H1040" s="94">
        <v>1.4</v>
      </c>
      <c r="I1040" s="94">
        <v>0</v>
      </c>
      <c r="J1040" s="94">
        <v>480</v>
      </c>
      <c r="K1040" s="94">
        <v>1.56169149646904</v>
      </c>
      <c r="L1040" s="94">
        <v>0</v>
      </c>
      <c r="M1040" s="94">
        <v>0</v>
      </c>
      <c r="N1040" s="94">
        <v>13</v>
      </c>
      <c r="O1040" s="94">
        <v>0</v>
      </c>
    </row>
    <row r="1041" spans="1:15" x14ac:dyDescent="0.25">
      <c r="A1041" s="89">
        <v>45081.333333333336</v>
      </c>
      <c r="B1041" s="94">
        <v>358.99</v>
      </c>
      <c r="C1041" s="94">
        <v>299.74</v>
      </c>
      <c r="D1041" s="94">
        <v>2.4774899953571388</v>
      </c>
      <c r="E1041" s="94">
        <v>0</v>
      </c>
      <c r="F1041" s="94">
        <v>1.9126776704429116</v>
      </c>
      <c r="G1041" s="94">
        <v>0</v>
      </c>
      <c r="H1041" s="94">
        <v>1.4</v>
      </c>
      <c r="I1041" s="94">
        <v>0</v>
      </c>
      <c r="J1041" s="94">
        <v>477.88754551505002</v>
      </c>
      <c r="K1041" s="94">
        <v>1.5619048713753827</v>
      </c>
      <c r="L1041" s="94">
        <v>0</v>
      </c>
      <c r="M1041" s="94">
        <v>0</v>
      </c>
      <c r="N1041" s="94">
        <v>13</v>
      </c>
      <c r="O1041" s="94">
        <v>0</v>
      </c>
    </row>
    <row r="1042" spans="1:15" x14ac:dyDescent="0.25">
      <c r="A1042" s="89">
        <v>45081.833333333336</v>
      </c>
      <c r="B1042" s="94">
        <v>358.99</v>
      </c>
      <c r="C1042" s="94">
        <v>299.74</v>
      </c>
      <c r="D1042" s="94">
        <v>2.5</v>
      </c>
      <c r="E1042" s="94">
        <v>0</v>
      </c>
      <c r="F1042" s="94">
        <v>2.007278502254795</v>
      </c>
      <c r="G1042" s="94">
        <v>0</v>
      </c>
      <c r="H1042" s="94">
        <v>1.4</v>
      </c>
      <c r="I1042" s="94">
        <v>0</v>
      </c>
      <c r="J1042" s="94">
        <v>413.82765136707997</v>
      </c>
      <c r="K1042" s="94">
        <v>1.5627940474767164</v>
      </c>
      <c r="L1042" s="94">
        <v>0</v>
      </c>
      <c r="M1042" s="94">
        <v>0</v>
      </c>
      <c r="N1042" s="94">
        <v>13</v>
      </c>
      <c r="O1042" s="94">
        <v>0</v>
      </c>
    </row>
    <row r="1043" spans="1:15" x14ac:dyDescent="0.25">
      <c r="A1043" s="89">
        <v>45082.333333333336</v>
      </c>
      <c r="B1043" s="94">
        <v>359.08</v>
      </c>
      <c r="C1043" s="94">
        <v>299.74</v>
      </c>
      <c r="D1043" s="94">
        <v>2.5</v>
      </c>
      <c r="E1043" s="94">
        <v>0</v>
      </c>
      <c r="F1043" s="94">
        <v>2.0727682811975798</v>
      </c>
      <c r="G1043" s="94">
        <v>0</v>
      </c>
      <c r="H1043" s="94">
        <v>1.4</v>
      </c>
      <c r="I1043" s="94">
        <v>0</v>
      </c>
      <c r="J1043" s="94">
        <v>477</v>
      </c>
      <c r="K1043" s="94">
        <v>1.5609999999999999</v>
      </c>
      <c r="L1043" s="94">
        <v>0</v>
      </c>
      <c r="M1043" s="94">
        <v>0</v>
      </c>
      <c r="N1043" s="94">
        <v>13</v>
      </c>
      <c r="O1043" s="94">
        <v>0</v>
      </c>
    </row>
    <row r="1044" spans="1:15" x14ac:dyDescent="0.25">
      <c r="A1044" s="89">
        <v>45082.833333333336</v>
      </c>
      <c r="B1044" s="94">
        <v>359.08</v>
      </c>
      <c r="C1044" s="94">
        <v>299.74</v>
      </c>
      <c r="D1044" s="94">
        <v>1.4</v>
      </c>
      <c r="E1044" s="94">
        <v>0</v>
      </c>
      <c r="F1044" s="94">
        <v>2.1413991292317709</v>
      </c>
      <c r="G1044" s="94">
        <v>0</v>
      </c>
      <c r="H1044" s="94">
        <v>1.4</v>
      </c>
      <c r="I1044" s="94">
        <v>0</v>
      </c>
      <c r="J1044" s="94">
        <v>479.70494853327921</v>
      </c>
      <c r="K1044" s="94">
        <v>1.5612684166722162</v>
      </c>
      <c r="L1044" s="94">
        <v>0</v>
      </c>
      <c r="M1044" s="94">
        <v>0</v>
      </c>
      <c r="N1044" s="94">
        <v>13</v>
      </c>
      <c r="O1044" s="94">
        <v>0</v>
      </c>
    </row>
    <row r="1045" spans="1:15" x14ac:dyDescent="0.25">
      <c r="A1045" s="89">
        <v>45083.333333333336</v>
      </c>
      <c r="B1045" s="94">
        <v>359.09</v>
      </c>
      <c r="C1045" s="94">
        <v>299.74</v>
      </c>
      <c r="D1045" s="94">
        <v>2.4272741370850675</v>
      </c>
      <c r="E1045" s="94">
        <v>0</v>
      </c>
      <c r="F1045" s="94">
        <v>2.1068992614746094</v>
      </c>
      <c r="G1045" s="94">
        <v>0</v>
      </c>
      <c r="H1045" s="94">
        <v>1.4</v>
      </c>
      <c r="I1045" s="94">
        <v>0</v>
      </c>
      <c r="J1045" s="94">
        <v>481.39854954298079</v>
      </c>
      <c r="K1045" s="94">
        <v>1.5653154569453944</v>
      </c>
      <c r="L1045" s="94">
        <v>0</v>
      </c>
      <c r="M1045" s="94">
        <v>0</v>
      </c>
      <c r="N1045" s="94">
        <v>13</v>
      </c>
      <c r="O1045" s="94">
        <v>0</v>
      </c>
    </row>
    <row r="1046" spans="1:15" x14ac:dyDescent="0.25">
      <c r="A1046" s="89">
        <v>45083.833333333336</v>
      </c>
      <c r="B1046" s="94">
        <v>359.09</v>
      </c>
      <c r="C1046" s="94">
        <v>299.74</v>
      </c>
      <c r="D1046" s="94">
        <v>2.4349716799583181</v>
      </c>
      <c r="E1046" s="94">
        <v>0</v>
      </c>
      <c r="F1046" s="94">
        <v>2.1969518014793605</v>
      </c>
      <c r="G1046" s="94">
        <v>0</v>
      </c>
      <c r="H1046" s="94">
        <v>1.4</v>
      </c>
      <c r="I1046" s="94">
        <v>0</v>
      </c>
      <c r="J1046" s="94">
        <v>481</v>
      </c>
      <c r="K1046" s="94">
        <v>1.5636752813242407</v>
      </c>
      <c r="L1046" s="94">
        <v>0</v>
      </c>
      <c r="M1046" s="94">
        <v>0</v>
      </c>
      <c r="N1046" s="94">
        <v>13</v>
      </c>
      <c r="O1046" s="94">
        <v>0</v>
      </c>
    </row>
    <row r="1047" spans="1:15" x14ac:dyDescent="0.25">
      <c r="A1047" s="89">
        <v>45084.333333333336</v>
      </c>
      <c r="B1047" s="94">
        <v>359.12</v>
      </c>
      <c r="C1047" s="94">
        <v>299.74</v>
      </c>
      <c r="D1047" s="94">
        <v>2.4314681021479365</v>
      </c>
      <c r="E1047" s="94">
        <v>0</v>
      </c>
      <c r="F1047" s="94">
        <v>2.1015358109195912</v>
      </c>
      <c r="G1047" s="94">
        <v>0</v>
      </c>
      <c r="H1047" s="94">
        <v>1.3009654344798871</v>
      </c>
      <c r="I1047" s="94">
        <v>0</v>
      </c>
      <c r="J1047" s="94">
        <v>481.80141978366646</v>
      </c>
      <c r="K1047" s="94">
        <v>1.5632934081312793</v>
      </c>
      <c r="L1047" s="94">
        <v>0</v>
      </c>
      <c r="M1047" s="94">
        <v>0</v>
      </c>
      <c r="N1047" s="94">
        <v>13</v>
      </c>
      <c r="O1047" s="94">
        <v>0</v>
      </c>
    </row>
    <row r="1048" spans="1:15" x14ac:dyDescent="0.25">
      <c r="A1048" s="89">
        <v>45084.833333333336</v>
      </c>
      <c r="B1048" s="94">
        <v>359.12</v>
      </c>
      <c r="C1048" s="94">
        <v>299.95732564336868</v>
      </c>
      <c r="D1048" s="94">
        <v>1.4939880679210646</v>
      </c>
      <c r="E1048" s="94">
        <v>0</v>
      </c>
      <c r="F1048" s="94">
        <v>2.1</v>
      </c>
      <c r="G1048" s="94">
        <v>0</v>
      </c>
      <c r="H1048" s="94">
        <v>1.3273064313509206</v>
      </c>
      <c r="I1048" s="94">
        <v>0</v>
      </c>
      <c r="J1048" s="94">
        <v>770.60031475646429</v>
      </c>
      <c r="K1048" s="94">
        <v>1.7726017026465972</v>
      </c>
      <c r="L1048" s="94">
        <v>0</v>
      </c>
      <c r="M1048" s="94">
        <v>30</v>
      </c>
      <c r="N1048" s="94">
        <v>0</v>
      </c>
      <c r="O1048" s="94">
        <v>0</v>
      </c>
    </row>
    <row r="1049" spans="1:15" x14ac:dyDescent="0.25">
      <c r="A1049" s="89">
        <v>45085.333333333336</v>
      </c>
      <c r="B1049" s="94">
        <v>359.15</v>
      </c>
      <c r="C1049" s="94">
        <v>299.99</v>
      </c>
      <c r="D1049" s="94">
        <v>1.5</v>
      </c>
      <c r="E1049" s="94">
        <v>0</v>
      </c>
      <c r="F1049" s="94">
        <v>2.1041051348055819</v>
      </c>
      <c r="G1049" s="94">
        <v>0</v>
      </c>
      <c r="H1049" s="94">
        <v>1.4</v>
      </c>
      <c r="I1049" s="94">
        <v>0</v>
      </c>
      <c r="J1049" s="94">
        <v>793</v>
      </c>
      <c r="K1049" s="94">
        <v>1.7910410914309216</v>
      </c>
      <c r="L1049" s="94">
        <v>0</v>
      </c>
      <c r="M1049" s="94">
        <v>32</v>
      </c>
      <c r="N1049" s="94">
        <v>0</v>
      </c>
      <c r="O1049" s="94">
        <v>0</v>
      </c>
    </row>
    <row r="1050" spans="1:15" x14ac:dyDescent="0.25">
      <c r="A1050" s="89">
        <v>45085.833333333336</v>
      </c>
      <c r="B1050" s="94">
        <v>359.15</v>
      </c>
      <c r="C1050" s="94">
        <v>299.95999999999998</v>
      </c>
      <c r="D1050" s="94">
        <v>59.073028136382945</v>
      </c>
      <c r="E1050" s="94">
        <v>4.4174845940650345</v>
      </c>
      <c r="F1050" s="94">
        <v>2.1793846090994515</v>
      </c>
      <c r="G1050" s="94">
        <v>0</v>
      </c>
      <c r="H1050" s="94">
        <v>1.4</v>
      </c>
      <c r="I1050" s="94">
        <v>0</v>
      </c>
      <c r="J1050" s="94">
        <v>775.21166647462178</v>
      </c>
      <c r="K1050" s="94">
        <v>1.7767612450372892</v>
      </c>
      <c r="L1050" s="94">
        <v>0</v>
      </c>
      <c r="M1050" s="94">
        <v>0</v>
      </c>
      <c r="N1050" s="94">
        <v>0</v>
      </c>
      <c r="O1050" s="94">
        <v>0</v>
      </c>
    </row>
    <row r="1051" spans="1:15" x14ac:dyDescent="0.25">
      <c r="A1051" s="89">
        <v>45086.333333333336</v>
      </c>
      <c r="B1051" s="94">
        <v>359.15</v>
      </c>
      <c r="C1051" s="94">
        <v>299.95999999999998</v>
      </c>
      <c r="D1051" s="94">
        <v>59.1</v>
      </c>
      <c r="E1051" s="94">
        <v>4.3508783711757806</v>
      </c>
      <c r="F1051" s="94">
        <v>2.0994134050373132</v>
      </c>
      <c r="G1051" s="94">
        <v>0</v>
      </c>
      <c r="H1051" s="94">
        <v>1.4</v>
      </c>
      <c r="I1051" s="94">
        <v>0</v>
      </c>
      <c r="J1051" s="94">
        <v>771.59991415440481</v>
      </c>
      <c r="K1051" s="94">
        <v>1.772657436404397</v>
      </c>
      <c r="L1051" s="94">
        <v>0</v>
      </c>
      <c r="M1051" s="94">
        <v>0</v>
      </c>
      <c r="N1051" s="94">
        <v>0</v>
      </c>
      <c r="O1051" s="94">
        <v>0</v>
      </c>
    </row>
    <row r="1052" spans="1:15" x14ac:dyDescent="0.25">
      <c r="A1052" s="89">
        <v>45086.833333333336</v>
      </c>
      <c r="B1052" s="94">
        <v>359.15</v>
      </c>
      <c r="C1052" s="94">
        <v>299.7648558623215</v>
      </c>
      <c r="D1052" s="94">
        <v>33.8195328679911</v>
      </c>
      <c r="E1052" s="94">
        <v>2.3158874435890628</v>
      </c>
      <c r="F1052" s="94">
        <v>2.0527670573247478</v>
      </c>
      <c r="G1052" s="94">
        <v>0</v>
      </c>
      <c r="H1052" s="94">
        <v>1.4</v>
      </c>
      <c r="I1052" s="94">
        <v>0</v>
      </c>
      <c r="J1052" s="94">
        <v>508</v>
      </c>
      <c r="K1052" s="94">
        <v>1.5860000000000001</v>
      </c>
      <c r="L1052" s="94">
        <v>0</v>
      </c>
      <c r="M1052" s="94">
        <v>0</v>
      </c>
      <c r="N1052" s="94">
        <v>0</v>
      </c>
      <c r="O1052" s="94">
        <v>0</v>
      </c>
    </row>
    <row r="1053" spans="1:15" x14ac:dyDescent="0.25">
      <c r="A1053" s="89">
        <v>45087.333333333336</v>
      </c>
      <c r="B1053" s="94">
        <v>359.15</v>
      </c>
      <c r="C1053" s="94">
        <v>299.76</v>
      </c>
      <c r="D1053" s="94">
        <v>36.5</v>
      </c>
      <c r="E1053" s="94">
        <v>2.2932800292968749</v>
      </c>
      <c r="F1053" s="94">
        <v>1.7</v>
      </c>
      <c r="G1053" s="94">
        <v>0</v>
      </c>
      <c r="H1053" s="94">
        <v>1.4862412183736011</v>
      </c>
      <c r="I1053" s="94">
        <v>0</v>
      </c>
      <c r="J1053" s="94">
        <v>505.20016858417915</v>
      </c>
      <c r="K1053" s="94">
        <v>1.5847307968140352</v>
      </c>
      <c r="L1053" s="94">
        <v>0</v>
      </c>
      <c r="M1053" s="94">
        <v>0</v>
      </c>
      <c r="N1053" s="94">
        <v>0</v>
      </c>
      <c r="O1053" s="94">
        <v>0</v>
      </c>
    </row>
    <row r="1054" spans="1:15" x14ac:dyDescent="0.25">
      <c r="A1054" s="89">
        <v>45087.833333333336</v>
      </c>
      <c r="B1054" s="94">
        <v>359.15</v>
      </c>
      <c r="C1054" s="94">
        <v>299.97187594461326</v>
      </c>
      <c r="D1054" s="94">
        <v>61.7</v>
      </c>
      <c r="E1054" s="94">
        <v>4.5942382310839482</v>
      </c>
      <c r="F1054" s="94">
        <v>1.9208570009884822</v>
      </c>
      <c r="G1054" s="94">
        <v>0</v>
      </c>
      <c r="H1054" s="94">
        <v>1.4</v>
      </c>
      <c r="I1054" s="94">
        <v>0</v>
      </c>
      <c r="J1054" s="94">
        <v>789</v>
      </c>
      <c r="K1054" s="94">
        <v>1.7868136758315314</v>
      </c>
      <c r="L1054" s="94">
        <v>0</v>
      </c>
      <c r="M1054" s="94">
        <v>0</v>
      </c>
      <c r="N1054" s="94">
        <v>0</v>
      </c>
      <c r="O1054" s="94">
        <v>0</v>
      </c>
    </row>
    <row r="1055" spans="1:15" x14ac:dyDescent="0.25">
      <c r="A1055" s="89">
        <v>45088.333333333336</v>
      </c>
      <c r="B1055" s="94">
        <v>359.15</v>
      </c>
      <c r="C1055" s="94">
        <v>299.98</v>
      </c>
      <c r="D1055" s="94">
        <v>61.542428842273388</v>
      </c>
      <c r="E1055" s="94">
        <v>4.5793884300874543</v>
      </c>
      <c r="F1055" s="94">
        <v>1.62431658720363</v>
      </c>
      <c r="G1055" s="94">
        <v>0</v>
      </c>
      <c r="H1055" s="94">
        <v>1.5137062566277837</v>
      </c>
      <c r="I1055" s="94">
        <v>0</v>
      </c>
      <c r="J1055" s="94">
        <v>789</v>
      </c>
      <c r="K1055" s="94">
        <v>1.7859682568489983</v>
      </c>
      <c r="L1055" s="94">
        <v>0</v>
      </c>
      <c r="M1055" s="94">
        <v>0</v>
      </c>
      <c r="N1055" s="94">
        <v>0</v>
      </c>
      <c r="O1055" s="94">
        <v>0</v>
      </c>
    </row>
    <row r="1056" spans="1:15" x14ac:dyDescent="0.25">
      <c r="A1056" s="89">
        <v>45088.833333333336</v>
      </c>
      <c r="B1056" s="94">
        <v>359.15</v>
      </c>
      <c r="C1056" s="94">
        <v>300.12455295488849</v>
      </c>
      <c r="D1056" s="94">
        <v>82.4</v>
      </c>
      <c r="E1056" s="94">
        <v>6.9556016809122623</v>
      </c>
      <c r="F1056" s="94">
        <v>1.8</v>
      </c>
      <c r="G1056" s="94">
        <v>0</v>
      </c>
      <c r="H1056" s="94">
        <v>1.5</v>
      </c>
      <c r="I1056" s="94">
        <v>0</v>
      </c>
      <c r="J1056" s="94">
        <v>1162.3999011079507</v>
      </c>
      <c r="K1056" s="94">
        <v>1.9542078526187086</v>
      </c>
      <c r="L1056" s="94">
        <v>0</v>
      </c>
      <c r="M1056" s="94">
        <v>0</v>
      </c>
      <c r="N1056" s="94">
        <v>0</v>
      </c>
      <c r="O1056" s="94">
        <v>0</v>
      </c>
    </row>
    <row r="1057" spans="1:15" x14ac:dyDescent="0.25">
      <c r="A1057" s="89">
        <v>45089.333333333336</v>
      </c>
      <c r="B1057" s="94">
        <v>359.15</v>
      </c>
      <c r="C1057" s="94">
        <v>300.12246491184726</v>
      </c>
      <c r="D1057" s="94">
        <v>82.580571673065663</v>
      </c>
      <c r="E1057" s="94">
        <v>6.9281466248757742</v>
      </c>
      <c r="F1057" s="94">
        <v>1.7</v>
      </c>
      <c r="G1057" s="94">
        <v>0</v>
      </c>
      <c r="H1057" s="94">
        <v>1.5443579715158702</v>
      </c>
      <c r="I1057" s="94">
        <v>0</v>
      </c>
      <c r="J1057" s="94">
        <v>1159</v>
      </c>
      <c r="K1057" s="94">
        <v>1.954</v>
      </c>
      <c r="L1057" s="94">
        <v>0</v>
      </c>
      <c r="M1057" s="94">
        <v>0</v>
      </c>
      <c r="N1057" s="94">
        <v>0</v>
      </c>
      <c r="O1057" s="94">
        <v>0</v>
      </c>
    </row>
    <row r="1058" spans="1:15" x14ac:dyDescent="0.25">
      <c r="A1058" s="89">
        <v>45089.833333333336</v>
      </c>
      <c r="B1058" s="94">
        <v>359.15</v>
      </c>
      <c r="C1058" s="94">
        <v>299.99</v>
      </c>
      <c r="D1058" s="94">
        <v>58.5</v>
      </c>
      <c r="E1058" s="94">
        <v>4.6747004468220918</v>
      </c>
      <c r="F1058" s="94">
        <v>1.8099252625930793</v>
      </c>
      <c r="G1058" s="94">
        <v>0</v>
      </c>
      <c r="H1058" s="94">
        <v>1.5096348183037054</v>
      </c>
      <c r="I1058" s="94">
        <v>0</v>
      </c>
      <c r="J1058" s="94">
        <v>796.19753365767667</v>
      </c>
      <c r="K1058" s="94">
        <v>1.7901714424630184</v>
      </c>
      <c r="L1058" s="94">
        <v>0</v>
      </c>
      <c r="M1058" s="94">
        <v>0</v>
      </c>
      <c r="N1058" s="94">
        <v>0</v>
      </c>
      <c r="O1058" s="94">
        <v>0</v>
      </c>
    </row>
    <row r="1059" spans="1:15" x14ac:dyDescent="0.25">
      <c r="A1059" s="89">
        <v>45090.333333333336</v>
      </c>
      <c r="B1059" s="94">
        <v>359.27</v>
      </c>
      <c r="C1059" s="94">
        <v>299.99</v>
      </c>
      <c r="D1059" s="94">
        <v>58.131849264349825</v>
      </c>
      <c r="E1059" s="94">
        <v>4.646345710314491</v>
      </c>
      <c r="F1059" s="94">
        <v>1.8</v>
      </c>
      <c r="G1059" s="94">
        <v>0</v>
      </c>
      <c r="H1059" s="94">
        <v>1.4713440537921123</v>
      </c>
      <c r="I1059" s="94">
        <v>0</v>
      </c>
      <c r="J1059" s="94">
        <v>646.8409452811153</v>
      </c>
      <c r="K1059" s="94">
        <v>1.3927578739061868</v>
      </c>
      <c r="L1059" s="94">
        <v>0</v>
      </c>
      <c r="M1059" s="94">
        <v>0</v>
      </c>
      <c r="N1059" s="94">
        <v>0</v>
      </c>
      <c r="O1059" s="94">
        <v>0</v>
      </c>
    </row>
    <row r="1060" spans="1:15" x14ac:dyDescent="0.25">
      <c r="A1060" s="89">
        <v>45090.833333333336</v>
      </c>
      <c r="B1060" s="94">
        <v>359.27</v>
      </c>
      <c r="C1060" s="94">
        <v>299.9804540641141</v>
      </c>
      <c r="D1060" s="94">
        <v>58.1</v>
      </c>
      <c r="E1060" s="94">
        <v>4.7125379688929545</v>
      </c>
      <c r="F1060" s="94">
        <v>1.8269563652819654</v>
      </c>
      <c r="G1060" s="94">
        <v>0</v>
      </c>
      <c r="H1060" s="94">
        <v>1.4187918579085483</v>
      </c>
      <c r="I1060" s="94">
        <v>0</v>
      </c>
      <c r="J1060" s="94">
        <v>796.40411030799999</v>
      </c>
      <c r="K1060" s="94">
        <v>1.7909999999999999</v>
      </c>
      <c r="L1060" s="94">
        <v>0</v>
      </c>
      <c r="M1060" s="94">
        <v>0</v>
      </c>
      <c r="N1060" s="94">
        <v>0</v>
      </c>
      <c r="O1060" s="94">
        <v>0</v>
      </c>
    </row>
    <row r="1061" spans="1:15" x14ac:dyDescent="0.25">
      <c r="A1061" s="89">
        <v>45091.333333333336</v>
      </c>
      <c r="B1061" s="94">
        <v>359.29</v>
      </c>
      <c r="C1061" s="94">
        <v>299.98328679003691</v>
      </c>
      <c r="D1061" s="94">
        <v>59.7</v>
      </c>
      <c r="E1061" s="94">
        <v>4.6643771475043208</v>
      </c>
      <c r="F1061" s="94">
        <v>1.7159366546095627</v>
      </c>
      <c r="G1061" s="94">
        <v>0</v>
      </c>
      <c r="H1061" s="94">
        <v>1.5</v>
      </c>
      <c r="I1061" s="94">
        <v>0</v>
      </c>
      <c r="J1061" s="94">
        <v>796.40051623106751</v>
      </c>
      <c r="K1061" s="94">
        <v>1.7925923161131212</v>
      </c>
      <c r="L1061" s="94">
        <v>0</v>
      </c>
      <c r="M1061" s="94">
        <v>0</v>
      </c>
      <c r="N1061" s="94">
        <v>0</v>
      </c>
      <c r="O1061" s="94">
        <v>0</v>
      </c>
    </row>
    <row r="1062" spans="1:15" x14ac:dyDescent="0.25">
      <c r="A1062" s="89">
        <v>45091.833333333336</v>
      </c>
      <c r="B1062" s="94">
        <v>359.29</v>
      </c>
      <c r="C1062" s="94">
        <v>299.9878083387357</v>
      </c>
      <c r="D1062" s="94">
        <v>58.473211548455559</v>
      </c>
      <c r="E1062" s="94">
        <v>4.7060473451055191</v>
      </c>
      <c r="F1062" s="94">
        <v>1.87916321317445</v>
      </c>
      <c r="G1062" s="94">
        <v>0</v>
      </c>
      <c r="H1062" s="94">
        <v>1.4533372450286286</v>
      </c>
      <c r="I1062" s="94">
        <v>0</v>
      </c>
      <c r="J1062" s="94">
        <v>794</v>
      </c>
      <c r="K1062" s="94">
        <v>1.79239100868344</v>
      </c>
      <c r="L1062" s="94">
        <v>0</v>
      </c>
      <c r="M1062" s="94">
        <v>0</v>
      </c>
      <c r="N1062" s="94">
        <v>0</v>
      </c>
      <c r="O1062" s="94">
        <v>0</v>
      </c>
    </row>
    <row r="1063" spans="1:15" x14ac:dyDescent="0.25">
      <c r="A1063" s="89">
        <v>45092.333333333336</v>
      </c>
      <c r="B1063" s="94">
        <v>359.3</v>
      </c>
      <c r="C1063" s="94">
        <v>299.98292888439505</v>
      </c>
      <c r="D1063" s="94">
        <v>57.385566544692246</v>
      </c>
      <c r="E1063" s="94">
        <v>4.7261726776622668</v>
      </c>
      <c r="F1063" s="94">
        <v>1.8</v>
      </c>
      <c r="G1063" s="94">
        <v>0</v>
      </c>
      <c r="H1063" s="94">
        <v>1.4953122039803524</v>
      </c>
      <c r="I1063" s="94">
        <v>0</v>
      </c>
      <c r="J1063" s="94">
        <v>794.39434386295977</v>
      </c>
      <c r="K1063" s="94">
        <v>1.7909999999999999</v>
      </c>
      <c r="L1063" s="94">
        <v>0</v>
      </c>
      <c r="M1063" s="94">
        <v>0</v>
      </c>
      <c r="N1063" s="94">
        <v>0</v>
      </c>
      <c r="O1063" s="94">
        <v>0</v>
      </c>
    </row>
    <row r="1064" spans="1:15" x14ac:dyDescent="0.25">
      <c r="A1064" s="89">
        <v>45092.833333333336</v>
      </c>
      <c r="B1064" s="94">
        <v>359.3</v>
      </c>
      <c r="C1064" s="94">
        <v>300</v>
      </c>
      <c r="D1064" s="94">
        <v>64.465696357514545</v>
      </c>
      <c r="E1064" s="94">
        <v>5.0167417529625276</v>
      </c>
      <c r="F1064" s="94">
        <v>1.9163913518302136</v>
      </c>
      <c r="G1064" s="94">
        <v>0</v>
      </c>
      <c r="H1064" s="94">
        <v>1.4</v>
      </c>
      <c r="I1064" s="94">
        <v>0</v>
      </c>
      <c r="J1064" s="94">
        <v>854</v>
      </c>
      <c r="K1064" s="94">
        <v>1.821601586393814</v>
      </c>
      <c r="L1064" s="94">
        <v>0</v>
      </c>
      <c r="M1064" s="94">
        <v>0</v>
      </c>
      <c r="N1064" s="94">
        <v>0</v>
      </c>
      <c r="O1064" s="94">
        <v>0</v>
      </c>
    </row>
    <row r="1065" spans="1:15" x14ac:dyDescent="0.25">
      <c r="A1065" s="89">
        <v>45093.333333333336</v>
      </c>
      <c r="B1065" s="94">
        <v>359.3010307556882</v>
      </c>
      <c r="C1065" s="94">
        <v>300</v>
      </c>
      <c r="D1065" s="94">
        <v>63.080669123319147</v>
      </c>
      <c r="E1065" s="94">
        <v>5.013573245089928</v>
      </c>
      <c r="F1065" s="94">
        <v>1.6135977288254766</v>
      </c>
      <c r="G1065" s="94">
        <v>0</v>
      </c>
      <c r="H1065" s="94">
        <v>1.5</v>
      </c>
      <c r="I1065" s="94">
        <v>0</v>
      </c>
      <c r="J1065" s="94">
        <v>849.19371850792834</v>
      </c>
      <c r="K1065" s="94">
        <v>1.8206516628854201</v>
      </c>
      <c r="L1065" s="94">
        <v>0</v>
      </c>
      <c r="M1065" s="94">
        <v>0</v>
      </c>
      <c r="N1065" s="94">
        <v>0</v>
      </c>
      <c r="O1065" s="94">
        <v>0</v>
      </c>
    </row>
    <row r="1066" spans="1:15" x14ac:dyDescent="0.25">
      <c r="A1066" s="89">
        <v>45093.833333333336</v>
      </c>
      <c r="B1066" s="94">
        <v>359.32</v>
      </c>
      <c r="C1066" s="94">
        <v>299.95</v>
      </c>
      <c r="D1066" s="94">
        <v>54.033633211650958</v>
      </c>
      <c r="E1066" s="94">
        <v>4.2053605143229165</v>
      </c>
      <c r="F1066" s="94">
        <v>1.8176903614558104</v>
      </c>
      <c r="G1066" s="94">
        <v>0</v>
      </c>
      <c r="H1066" s="94">
        <v>1.5</v>
      </c>
      <c r="I1066" s="94">
        <v>0</v>
      </c>
      <c r="J1066" s="94">
        <v>759</v>
      </c>
      <c r="K1066" s="94">
        <v>1.7637301086018573</v>
      </c>
      <c r="L1066" s="94">
        <v>0</v>
      </c>
      <c r="M1066" s="94">
        <v>0</v>
      </c>
      <c r="N1066" s="94">
        <v>0</v>
      </c>
      <c r="O1066" s="94">
        <v>0</v>
      </c>
    </row>
    <row r="1067" spans="1:15" x14ac:dyDescent="0.25">
      <c r="A1067" s="89">
        <v>45094.333333333336</v>
      </c>
      <c r="B1067" s="94">
        <v>359.32</v>
      </c>
      <c r="C1067" s="94">
        <v>299.94721855185111</v>
      </c>
      <c r="D1067" s="94">
        <v>53.68413457119221</v>
      </c>
      <c r="E1067" s="94">
        <v>4.2085859012241453</v>
      </c>
      <c r="F1067" s="94">
        <v>1.695261520330348</v>
      </c>
      <c r="G1067" s="94">
        <v>0</v>
      </c>
      <c r="H1067" s="94">
        <v>1.5</v>
      </c>
      <c r="I1067" s="94">
        <v>0</v>
      </c>
      <c r="J1067" s="94">
        <v>760.60255300291192</v>
      </c>
      <c r="K1067" s="94">
        <v>1.764</v>
      </c>
      <c r="L1067" s="94">
        <v>0</v>
      </c>
      <c r="M1067" s="94">
        <v>0</v>
      </c>
      <c r="N1067" s="94">
        <v>0</v>
      </c>
      <c r="O1067" s="94">
        <v>0</v>
      </c>
    </row>
    <row r="1068" spans="1:15" x14ac:dyDescent="0.25">
      <c r="A1068" s="89">
        <v>45094.833333333336</v>
      </c>
      <c r="B1068" s="94">
        <v>359.32</v>
      </c>
      <c r="C1068" s="94">
        <v>299.94427335103353</v>
      </c>
      <c r="D1068" s="94">
        <v>54.918789409895751</v>
      </c>
      <c r="E1068" s="94">
        <v>4.2102294146731074</v>
      </c>
      <c r="F1068" s="94">
        <v>1.7660995483398438</v>
      </c>
      <c r="G1068" s="94">
        <v>0</v>
      </c>
      <c r="H1068" s="94">
        <v>1.5</v>
      </c>
      <c r="I1068" s="94">
        <v>0</v>
      </c>
      <c r="J1068" s="94">
        <v>757.39582964987267</v>
      </c>
      <c r="K1068" s="94">
        <v>1.764</v>
      </c>
      <c r="L1068" s="94">
        <v>0</v>
      </c>
      <c r="M1068" s="94">
        <v>0</v>
      </c>
      <c r="N1068" s="94">
        <v>0</v>
      </c>
      <c r="O1068" s="94">
        <v>0</v>
      </c>
    </row>
    <row r="1069" spans="1:15" x14ac:dyDescent="0.25">
      <c r="A1069" s="89">
        <v>45095.333333333336</v>
      </c>
      <c r="B1069" s="94">
        <v>359.32</v>
      </c>
      <c r="C1069" s="94">
        <v>299.94686004638669</v>
      </c>
      <c r="D1069" s="94">
        <v>54.278027508572563</v>
      </c>
      <c r="E1069" s="94">
        <v>4.1880494689941408</v>
      </c>
      <c r="F1069" s="94">
        <v>1.6</v>
      </c>
      <c r="G1069" s="94">
        <v>0</v>
      </c>
      <c r="H1069" s="94">
        <v>1.6</v>
      </c>
      <c r="I1069" s="94">
        <v>0</v>
      </c>
      <c r="J1069" s="94">
        <v>759</v>
      </c>
      <c r="K1069" s="94">
        <v>1.762</v>
      </c>
      <c r="L1069" s="94">
        <v>0</v>
      </c>
      <c r="M1069" s="94">
        <v>0</v>
      </c>
      <c r="N1069" s="94">
        <v>0</v>
      </c>
      <c r="O1069" s="94">
        <v>0</v>
      </c>
    </row>
    <row r="1070" spans="1:15" x14ac:dyDescent="0.25">
      <c r="A1070" s="89">
        <v>45095.833333333336</v>
      </c>
      <c r="B1070" s="94">
        <v>359.32</v>
      </c>
      <c r="C1070" s="94">
        <v>300.12423753240608</v>
      </c>
      <c r="D1070" s="94">
        <v>81.269322743623533</v>
      </c>
      <c r="E1070" s="94">
        <v>6.96</v>
      </c>
      <c r="F1070" s="94">
        <v>1.6331444167565772</v>
      </c>
      <c r="G1070" s="94">
        <v>0</v>
      </c>
      <c r="H1070" s="94">
        <v>1.5675003051757812</v>
      </c>
      <c r="I1070" s="94">
        <v>0</v>
      </c>
      <c r="J1070" s="94">
        <v>1169</v>
      </c>
      <c r="K1070" s="94">
        <v>1.958</v>
      </c>
      <c r="L1070" s="94">
        <v>0</v>
      </c>
      <c r="M1070" s="94">
        <v>0</v>
      </c>
      <c r="N1070" s="94">
        <v>0</v>
      </c>
      <c r="O1070" s="94">
        <v>0</v>
      </c>
    </row>
    <row r="1071" spans="1:15" x14ac:dyDescent="0.25">
      <c r="A1071" s="89">
        <v>45096.333333333336</v>
      </c>
      <c r="B1071" s="94">
        <v>359.32381688242361</v>
      </c>
      <c r="C1071" s="94">
        <v>300.12246387282136</v>
      </c>
      <c r="D1071" s="94">
        <v>80.900000000000006</v>
      </c>
      <c r="E1071" s="94">
        <v>6.9554079969219247</v>
      </c>
      <c r="F1071" s="94">
        <v>1.534566019328679</v>
      </c>
      <c r="G1071" s="94">
        <v>0</v>
      </c>
      <c r="H1071" s="94">
        <v>1.6</v>
      </c>
      <c r="I1071" s="94">
        <v>0</v>
      </c>
      <c r="J1071" s="94">
        <v>1169</v>
      </c>
      <c r="K1071" s="94">
        <v>1.958</v>
      </c>
      <c r="L1071" s="94">
        <v>0</v>
      </c>
      <c r="M1071" s="94">
        <v>0</v>
      </c>
      <c r="N1071" s="94">
        <v>0</v>
      </c>
      <c r="O1071" s="94">
        <v>0</v>
      </c>
    </row>
    <row r="1072" spans="1:15" x14ac:dyDescent="0.25">
      <c r="A1072" s="89">
        <v>45096.833333333336</v>
      </c>
      <c r="B1072" s="94">
        <v>359.38</v>
      </c>
      <c r="C1072" s="94">
        <v>299.87798354915725</v>
      </c>
      <c r="D1072" s="94">
        <v>46.6</v>
      </c>
      <c r="E1072" s="94">
        <v>3.3836820625276012</v>
      </c>
      <c r="F1072" s="94">
        <v>1.6</v>
      </c>
      <c r="G1072" s="94">
        <v>0</v>
      </c>
      <c r="H1072" s="94">
        <v>1.5896570303991442</v>
      </c>
      <c r="I1072" s="94">
        <v>0</v>
      </c>
      <c r="J1072" s="94">
        <v>663.40930668582678</v>
      </c>
      <c r="K1072" s="94">
        <v>1.6970434460280936</v>
      </c>
      <c r="L1072" s="94">
        <v>0</v>
      </c>
      <c r="M1072" s="94">
        <v>0</v>
      </c>
      <c r="N1072" s="94">
        <v>0</v>
      </c>
      <c r="O1072" s="94">
        <v>0</v>
      </c>
    </row>
    <row r="1073" spans="1:15" x14ac:dyDescent="0.25">
      <c r="A1073" s="89">
        <v>45097.333333333336</v>
      </c>
      <c r="B1073" s="94">
        <v>359.38220332885578</v>
      </c>
      <c r="C1073" s="94">
        <v>299.87622243116732</v>
      </c>
      <c r="D1073" s="94">
        <v>49.155370009633991</v>
      </c>
      <c r="E1073" s="94">
        <v>3.4339333374002958</v>
      </c>
      <c r="F1073" s="94">
        <v>1.587475157095716</v>
      </c>
      <c r="G1073" s="94">
        <v>0</v>
      </c>
      <c r="H1073" s="94">
        <v>1.6</v>
      </c>
      <c r="I1073" s="94">
        <v>0</v>
      </c>
      <c r="J1073" s="94">
        <v>662.00511117616225</v>
      </c>
      <c r="K1073" s="94">
        <v>1.6962148934802246</v>
      </c>
      <c r="L1073" s="94">
        <v>0</v>
      </c>
      <c r="M1073" s="94">
        <v>0</v>
      </c>
      <c r="N1073" s="94">
        <v>0</v>
      </c>
      <c r="O1073" s="94">
        <v>0</v>
      </c>
    </row>
    <row r="1074" spans="1:15" x14ac:dyDescent="0.25">
      <c r="A1074" s="89">
        <v>45097.833333333336</v>
      </c>
      <c r="B1074" s="94">
        <v>359.41</v>
      </c>
      <c r="C1074" s="94">
        <v>300.03497004380557</v>
      </c>
      <c r="D1074" s="94">
        <v>67.589373064449262</v>
      </c>
      <c r="E1074" s="94">
        <v>5.4735418296337679</v>
      </c>
      <c r="F1074" s="94">
        <v>1.6</v>
      </c>
      <c r="G1074" s="94">
        <v>0</v>
      </c>
      <c r="H1074" s="94">
        <v>1.6</v>
      </c>
      <c r="I1074" s="94">
        <v>0</v>
      </c>
      <c r="J1074" s="94">
        <v>926</v>
      </c>
      <c r="K1074" s="94">
        <v>1.8560000000000001</v>
      </c>
      <c r="L1074" s="94">
        <v>0</v>
      </c>
      <c r="M1074" s="94">
        <v>0</v>
      </c>
      <c r="N1074" s="94">
        <v>0</v>
      </c>
      <c r="O1074" s="94">
        <v>0</v>
      </c>
    </row>
    <row r="1075" spans="1:15" x14ac:dyDescent="0.25">
      <c r="A1075" s="89">
        <v>45098.333333333336</v>
      </c>
      <c r="B1075" s="94">
        <v>359.41272206284162</v>
      </c>
      <c r="C1075" s="94">
        <v>300.03125232533779</v>
      </c>
      <c r="D1075" s="94">
        <v>65.981492355361411</v>
      </c>
      <c r="E1075" s="94">
        <v>5.4626207549722636</v>
      </c>
      <c r="F1075" s="94">
        <v>1.3564271327939443</v>
      </c>
      <c r="G1075" s="94">
        <v>0</v>
      </c>
      <c r="H1075" s="94">
        <v>1.6</v>
      </c>
      <c r="I1075" s="94">
        <v>0</v>
      </c>
      <c r="J1075" s="94">
        <v>916.59633375119233</v>
      </c>
      <c r="K1075" s="94">
        <v>1.851</v>
      </c>
      <c r="L1075" s="94">
        <v>0</v>
      </c>
      <c r="M1075" s="94">
        <v>0</v>
      </c>
      <c r="N1075" s="94">
        <v>0</v>
      </c>
      <c r="O1075" s="94">
        <v>0</v>
      </c>
    </row>
    <row r="1076" spans="1:15" x14ac:dyDescent="0.25">
      <c r="A1076" s="89">
        <v>45098.833333333336</v>
      </c>
      <c r="B1076" s="94">
        <v>359.44</v>
      </c>
      <c r="C1076" s="94">
        <v>300.02999999999997</v>
      </c>
      <c r="D1076" s="94">
        <v>67.7</v>
      </c>
      <c r="E1076" s="94">
        <v>5.47</v>
      </c>
      <c r="F1076" s="94">
        <v>0</v>
      </c>
      <c r="G1076" s="94">
        <v>0</v>
      </c>
      <c r="H1076" s="94">
        <v>1.6</v>
      </c>
      <c r="I1076" s="94">
        <v>0</v>
      </c>
      <c r="J1076" s="94">
        <v>915</v>
      </c>
      <c r="K1076" s="94">
        <v>1.8522511621348092</v>
      </c>
      <c r="L1076" s="94">
        <v>0</v>
      </c>
      <c r="M1076" s="94">
        <v>0</v>
      </c>
      <c r="N1076" s="94">
        <v>0</v>
      </c>
      <c r="O1076" s="94">
        <v>0</v>
      </c>
    </row>
    <row r="1077" spans="1:15" x14ac:dyDescent="0.25">
      <c r="A1077" s="89">
        <v>45099.333333333336</v>
      </c>
      <c r="B1077" s="94">
        <v>359.44</v>
      </c>
      <c r="C1077" s="94">
        <v>300.02999999999997</v>
      </c>
      <c r="D1077" s="94">
        <v>67.7</v>
      </c>
      <c r="E1077" s="94">
        <v>5.4504988731193276</v>
      </c>
      <c r="F1077" s="94">
        <v>0</v>
      </c>
      <c r="G1077" s="94">
        <v>0</v>
      </c>
      <c r="H1077" s="94">
        <v>1.6</v>
      </c>
      <c r="I1077" s="94">
        <v>0</v>
      </c>
      <c r="J1077" s="94">
        <v>907.80381881033577</v>
      </c>
      <c r="K1077" s="94">
        <v>1.8478560473115482</v>
      </c>
      <c r="L1077" s="94">
        <v>0</v>
      </c>
      <c r="M1077" s="94">
        <v>0</v>
      </c>
      <c r="N1077" s="94">
        <v>0</v>
      </c>
      <c r="O1077" s="94">
        <v>0</v>
      </c>
    </row>
    <row r="1078" spans="1:15" x14ac:dyDescent="0.25">
      <c r="A1078" s="89">
        <v>45099.833333333336</v>
      </c>
      <c r="B1078" s="94">
        <v>359.44</v>
      </c>
      <c r="C1078" s="94">
        <v>300.05</v>
      </c>
      <c r="D1078" s="94">
        <v>70.122815154515607</v>
      </c>
      <c r="E1078" s="94">
        <v>5.7731607579832955</v>
      </c>
      <c r="F1078" s="94">
        <v>0</v>
      </c>
      <c r="G1078" s="94">
        <v>0</v>
      </c>
      <c r="H1078" s="94">
        <v>1.6</v>
      </c>
      <c r="I1078" s="94">
        <v>0</v>
      </c>
      <c r="J1078" s="94">
        <v>962</v>
      </c>
      <c r="K1078" s="94">
        <v>1.8720000000000001</v>
      </c>
      <c r="L1078" s="94">
        <v>0</v>
      </c>
      <c r="M1078" s="94">
        <v>0</v>
      </c>
      <c r="N1078" s="94">
        <v>0</v>
      </c>
      <c r="O1078" s="94">
        <v>0</v>
      </c>
    </row>
    <row r="1079" spans="1:15" x14ac:dyDescent="0.25">
      <c r="A1079" s="89">
        <v>45100.333333333336</v>
      </c>
      <c r="B1079" s="94">
        <v>359.44512781779662</v>
      </c>
      <c r="C1079" s="94">
        <v>300.05</v>
      </c>
      <c r="D1079" s="94">
        <v>68.409483615521665</v>
      </c>
      <c r="E1079" s="94">
        <v>5.7465638623777542</v>
      </c>
      <c r="F1079" s="94">
        <v>0</v>
      </c>
      <c r="G1079" s="94">
        <v>0</v>
      </c>
      <c r="H1079" s="94">
        <v>1.5082234741446052</v>
      </c>
      <c r="I1079" s="94">
        <v>0</v>
      </c>
      <c r="J1079" s="94">
        <v>962.807888148649</v>
      </c>
      <c r="K1079" s="94">
        <v>1.8724174300270229</v>
      </c>
      <c r="L1079" s="94">
        <v>0</v>
      </c>
      <c r="M1079" s="94">
        <v>0</v>
      </c>
      <c r="N1079" s="94">
        <v>0</v>
      </c>
      <c r="O1079" s="94">
        <v>0</v>
      </c>
    </row>
    <row r="1080" spans="1:15" x14ac:dyDescent="0.25">
      <c r="A1080" s="89">
        <v>45100.833333333336</v>
      </c>
      <c r="B1080" s="94">
        <v>359.49</v>
      </c>
      <c r="C1080" s="94">
        <v>300.08611000061035</v>
      </c>
      <c r="D1080" s="94">
        <v>75.250438463651534</v>
      </c>
      <c r="E1080" s="94">
        <v>6.3611100006103518</v>
      </c>
      <c r="F1080" s="94">
        <v>1.9695294175653119E-2</v>
      </c>
      <c r="G1080" s="94">
        <v>0</v>
      </c>
      <c r="H1080" s="94">
        <v>1.5873326622953701</v>
      </c>
      <c r="I1080" s="94">
        <v>0</v>
      </c>
      <c r="J1080" s="94">
        <v>1068</v>
      </c>
      <c r="K1080" s="94">
        <v>1.9187886531953682</v>
      </c>
      <c r="L1080" s="94">
        <v>0</v>
      </c>
      <c r="M1080" s="94">
        <v>0</v>
      </c>
      <c r="N1080" s="94">
        <v>0</v>
      </c>
      <c r="O1080" s="94">
        <v>0</v>
      </c>
    </row>
    <row r="1081" spans="1:15" x14ac:dyDescent="0.25">
      <c r="A1081" s="89">
        <v>45101.333333333336</v>
      </c>
      <c r="B1081" s="94">
        <v>359.49</v>
      </c>
      <c r="C1081" s="94">
        <v>300.08631153796216</v>
      </c>
      <c r="D1081" s="94">
        <v>73.845566972251277</v>
      </c>
      <c r="E1081" s="94">
        <v>6.347837487701887</v>
      </c>
      <c r="F1081" s="94">
        <v>0.17348404261564437</v>
      </c>
      <c r="G1081" s="94">
        <v>0</v>
      </c>
      <c r="H1081" s="94">
        <v>1.5</v>
      </c>
      <c r="I1081" s="94">
        <v>0</v>
      </c>
      <c r="J1081" s="94">
        <v>1062.0105250191718</v>
      </c>
      <c r="K1081" s="94">
        <v>1.915</v>
      </c>
      <c r="L1081" s="94">
        <v>0</v>
      </c>
      <c r="M1081" s="94">
        <v>0</v>
      </c>
      <c r="N1081" s="94">
        <v>0</v>
      </c>
      <c r="O1081" s="94">
        <v>0</v>
      </c>
    </row>
    <row r="1082" spans="1:15" x14ac:dyDescent="0.25">
      <c r="A1082" s="89">
        <v>45101.833333333336</v>
      </c>
      <c r="B1082" s="94">
        <v>359.49</v>
      </c>
      <c r="C1082" s="94">
        <v>299.99</v>
      </c>
      <c r="D1082" s="94">
        <v>57.9</v>
      </c>
      <c r="E1082" s="94">
        <v>4.8238247363141733</v>
      </c>
      <c r="F1082" s="94">
        <v>0.1</v>
      </c>
      <c r="G1082" s="94">
        <v>0</v>
      </c>
      <c r="H1082" s="94">
        <v>1.6</v>
      </c>
      <c r="I1082" s="94">
        <v>0</v>
      </c>
      <c r="J1082" s="94">
        <v>808.60569187598787</v>
      </c>
      <c r="K1082" s="94">
        <v>1.8019309961817811</v>
      </c>
      <c r="L1082" s="94">
        <v>0</v>
      </c>
      <c r="M1082" s="94">
        <v>0</v>
      </c>
      <c r="N1082" s="94">
        <v>0</v>
      </c>
      <c r="O1082" s="94">
        <v>0</v>
      </c>
    </row>
    <row r="1083" spans="1:15" x14ac:dyDescent="0.25">
      <c r="A1083" s="89">
        <v>45102.333333333336</v>
      </c>
      <c r="B1083" s="94">
        <v>359.49</v>
      </c>
      <c r="C1083" s="94">
        <v>299.99</v>
      </c>
      <c r="D1083" s="94">
        <v>59.228214994855655</v>
      </c>
      <c r="E1083" s="94">
        <v>4.7896182245214378</v>
      </c>
      <c r="F1083" s="94">
        <v>0</v>
      </c>
      <c r="G1083" s="94">
        <v>0</v>
      </c>
      <c r="H1083" s="94">
        <v>1.5666409184278607</v>
      </c>
      <c r="I1083" s="94">
        <v>0</v>
      </c>
      <c r="J1083" s="94">
        <v>808.99953369434286</v>
      </c>
      <c r="K1083" s="94">
        <v>1.802</v>
      </c>
      <c r="L1083" s="94">
        <v>0</v>
      </c>
      <c r="M1083" s="94">
        <v>0</v>
      </c>
      <c r="N1083" s="94">
        <v>0</v>
      </c>
      <c r="O1083" s="94">
        <v>0</v>
      </c>
    </row>
    <row r="1084" spans="1:15" x14ac:dyDescent="0.25">
      <c r="A1084" s="89">
        <v>45102.833333333336</v>
      </c>
      <c r="B1084" s="94">
        <v>359.49</v>
      </c>
      <c r="C1084" s="94">
        <v>299.88</v>
      </c>
      <c r="D1084" s="94">
        <v>47.251825474974616</v>
      </c>
      <c r="E1084" s="94">
        <v>3.4585205078125001</v>
      </c>
      <c r="F1084" s="94">
        <v>0.2</v>
      </c>
      <c r="G1084" s="94">
        <v>0</v>
      </c>
      <c r="H1084" s="94">
        <v>1.5015044383226201</v>
      </c>
      <c r="I1084" s="94">
        <v>0</v>
      </c>
      <c r="J1084" s="94">
        <v>669.59321773266936</v>
      </c>
      <c r="K1084" s="94">
        <v>1.7030000000000001</v>
      </c>
      <c r="L1084" s="94">
        <v>0</v>
      </c>
      <c r="M1084" s="94">
        <v>0</v>
      </c>
      <c r="N1084" s="94">
        <v>0</v>
      </c>
      <c r="O1084" s="94">
        <v>0</v>
      </c>
    </row>
    <row r="1085" spans="1:15" x14ac:dyDescent="0.25">
      <c r="A1085" s="89">
        <v>45103.333333333336</v>
      </c>
      <c r="B1085" s="94">
        <v>359.51308319767611</v>
      </c>
      <c r="C1085" s="94">
        <v>299.88</v>
      </c>
      <c r="D1085" s="94">
        <v>47.585098393035679</v>
      </c>
      <c r="E1085" s="94">
        <v>3.5454766237330868</v>
      </c>
      <c r="F1085" s="94">
        <v>0</v>
      </c>
      <c r="G1085" s="94">
        <v>0</v>
      </c>
      <c r="H1085" s="94">
        <v>1.6</v>
      </c>
      <c r="I1085" s="94">
        <v>0</v>
      </c>
      <c r="J1085" s="94">
        <v>672</v>
      </c>
      <c r="K1085" s="94">
        <v>1.7023796938235545</v>
      </c>
      <c r="L1085" s="94">
        <v>0</v>
      </c>
      <c r="M1085" s="94">
        <v>0</v>
      </c>
      <c r="N1085" s="94">
        <v>0</v>
      </c>
      <c r="O1085" s="94">
        <v>0</v>
      </c>
    </row>
    <row r="1086" spans="1:15" x14ac:dyDescent="0.25">
      <c r="A1086" s="89">
        <v>45103.833333333336</v>
      </c>
      <c r="B1086" s="94">
        <v>359.68</v>
      </c>
      <c r="C1086" s="94">
        <v>300.40961626556214</v>
      </c>
      <c r="D1086" s="94">
        <v>52.102099609375003</v>
      </c>
      <c r="E1086" s="94">
        <v>3.6985302734375001</v>
      </c>
      <c r="F1086" s="94">
        <v>82</v>
      </c>
      <c r="G1086" s="94">
        <v>7.0245954391634404</v>
      </c>
      <c r="H1086" s="94">
        <v>1.5</v>
      </c>
      <c r="I1086" s="94">
        <v>0</v>
      </c>
      <c r="J1086" s="94">
        <v>1950</v>
      </c>
      <c r="K1086" s="94">
        <v>2.218</v>
      </c>
      <c r="L1086" s="94">
        <v>0</v>
      </c>
      <c r="M1086" s="94">
        <v>0</v>
      </c>
      <c r="N1086" s="94">
        <v>0</v>
      </c>
      <c r="O1086" s="94">
        <v>0</v>
      </c>
    </row>
    <row r="1087" spans="1:15" x14ac:dyDescent="0.25">
      <c r="A1087" s="89">
        <v>45104.333333333336</v>
      </c>
      <c r="B1087" s="94">
        <v>359.68875914937655</v>
      </c>
      <c r="C1087" s="94">
        <v>300.39999999999998</v>
      </c>
      <c r="D1087" s="94">
        <v>50.218114144461495</v>
      </c>
      <c r="E1087" s="94">
        <v>3.700609289492538</v>
      </c>
      <c r="F1087" s="94">
        <v>81.710725519423235</v>
      </c>
      <c r="G1087" s="94">
        <v>6.9893336689140408</v>
      </c>
      <c r="H1087" s="94">
        <v>1.5642245016214458</v>
      </c>
      <c r="I1087" s="94">
        <v>0</v>
      </c>
      <c r="J1087" s="94">
        <v>1948.0162426607594</v>
      </c>
      <c r="K1087" s="94">
        <v>2.2172911274977478</v>
      </c>
      <c r="L1087" s="94">
        <v>0</v>
      </c>
      <c r="M1087" s="94">
        <v>0</v>
      </c>
      <c r="N1087" s="94">
        <v>0</v>
      </c>
      <c r="O1087" s="94">
        <v>0</v>
      </c>
    </row>
    <row r="1088" spans="1:15" x14ac:dyDescent="0.25">
      <c r="A1088" s="89">
        <v>45104.833333333336</v>
      </c>
      <c r="B1088" s="94">
        <v>359.75</v>
      </c>
      <c r="C1088" s="94">
        <v>300.48</v>
      </c>
      <c r="D1088" s="94">
        <v>76.2</v>
      </c>
      <c r="E1088" s="94">
        <v>6.44</v>
      </c>
      <c r="F1088" s="94">
        <v>75.630248803712504</v>
      </c>
      <c r="G1088" s="94">
        <v>6.4354253442390084</v>
      </c>
      <c r="H1088" s="94">
        <v>1.4080056232776672</v>
      </c>
      <c r="I1088" s="94">
        <v>0</v>
      </c>
      <c r="J1088" s="94">
        <v>2268.1949017801044</v>
      </c>
      <c r="K1088" s="94">
        <v>2.3054460927773559</v>
      </c>
      <c r="L1088" s="94">
        <v>0</v>
      </c>
      <c r="M1088" s="94">
        <v>0</v>
      </c>
      <c r="N1088" s="94">
        <v>0</v>
      </c>
      <c r="O1088" s="94">
        <v>0</v>
      </c>
    </row>
    <row r="1089" spans="1:15" x14ac:dyDescent="0.25">
      <c r="A1089" s="89">
        <v>45105.333333333336</v>
      </c>
      <c r="B1089" s="94">
        <v>359.75409872223111</v>
      </c>
      <c r="C1089" s="94">
        <v>300.48343180713385</v>
      </c>
      <c r="D1089" s="94">
        <v>75.138811609621101</v>
      </c>
      <c r="E1089" s="94">
        <v>6.4270858317103468</v>
      </c>
      <c r="F1089" s="94">
        <v>75.313162416660944</v>
      </c>
      <c r="G1089" s="94">
        <v>6.44</v>
      </c>
      <c r="H1089" s="94">
        <v>1.5</v>
      </c>
      <c r="I1089" s="94">
        <v>0</v>
      </c>
      <c r="J1089" s="94">
        <v>2261</v>
      </c>
      <c r="K1089" s="94">
        <v>2.3034616520953852</v>
      </c>
      <c r="L1089" s="94">
        <v>0</v>
      </c>
      <c r="M1089" s="94">
        <v>0</v>
      </c>
      <c r="N1089" s="94">
        <v>0</v>
      </c>
      <c r="O1089" s="94">
        <v>0</v>
      </c>
    </row>
    <row r="1090" spans="1:15" x14ac:dyDescent="0.25">
      <c r="A1090" s="89">
        <v>45105.833333333336</v>
      </c>
      <c r="B1090" s="94">
        <v>359.78</v>
      </c>
      <c r="C1090" s="94">
        <v>299.72000000000003</v>
      </c>
      <c r="D1090" s="94">
        <v>33.200000000000003</v>
      </c>
      <c r="E1090" s="94">
        <v>1.9828273959238425</v>
      </c>
      <c r="F1090" s="94">
        <v>0.42369495555096137</v>
      </c>
      <c r="G1090" s="94">
        <v>0</v>
      </c>
      <c r="H1090" s="94">
        <v>1.5</v>
      </c>
      <c r="I1090" s="94">
        <v>0</v>
      </c>
      <c r="J1090" s="94">
        <v>466</v>
      </c>
      <c r="K1090" s="94">
        <v>1.552</v>
      </c>
      <c r="L1090" s="94">
        <v>0</v>
      </c>
      <c r="M1090" s="94">
        <v>0</v>
      </c>
      <c r="N1090" s="94">
        <v>0</v>
      </c>
      <c r="O1090" s="94">
        <v>0</v>
      </c>
    </row>
    <row r="1091" spans="1:15" x14ac:dyDescent="0.25">
      <c r="A1091" s="89">
        <v>45106.333333333336</v>
      </c>
      <c r="B1091" s="94">
        <v>359.78715909968247</v>
      </c>
      <c r="C1091" s="94">
        <v>299.72000000000003</v>
      </c>
      <c r="D1091" s="94">
        <v>31.977838380312416</v>
      </c>
      <c r="E1091" s="94">
        <v>1.9569084021933374</v>
      </c>
      <c r="F1091" s="94">
        <v>1.5481956712429368</v>
      </c>
      <c r="G1091" s="94">
        <v>0</v>
      </c>
      <c r="H1091" s="94">
        <v>1.5</v>
      </c>
      <c r="I1091" s="94">
        <v>0</v>
      </c>
      <c r="J1091" s="94">
        <v>466</v>
      </c>
      <c r="K1091" s="94">
        <v>1.5509999999999999</v>
      </c>
      <c r="L1091" s="94">
        <v>0</v>
      </c>
      <c r="M1091" s="94">
        <v>0</v>
      </c>
      <c r="N1091" s="94">
        <v>0</v>
      </c>
      <c r="O1091" s="94">
        <v>0</v>
      </c>
    </row>
    <row r="1092" spans="1:15" x14ac:dyDescent="0.25">
      <c r="A1092" s="89">
        <v>45106.833333333336</v>
      </c>
      <c r="B1092" s="94">
        <v>359.83</v>
      </c>
      <c r="C1092" s="94">
        <v>300.45208105789987</v>
      </c>
      <c r="D1092" s="94">
        <v>71.212479922785221</v>
      </c>
      <c r="E1092" s="94">
        <v>6.0590934244791663</v>
      </c>
      <c r="F1092" s="94">
        <v>72.27641653683466</v>
      </c>
      <c r="G1092" s="94">
        <v>6.0395068359374999</v>
      </c>
      <c r="H1092" s="94">
        <v>0.5</v>
      </c>
      <c r="I1092" s="94">
        <v>0</v>
      </c>
      <c r="J1092" s="94">
        <v>2134.7861677587725</v>
      </c>
      <c r="K1092" s="94">
        <v>2.2709434138985563</v>
      </c>
      <c r="L1092" s="94">
        <v>0</v>
      </c>
      <c r="M1092" s="94">
        <v>0</v>
      </c>
      <c r="N1092" s="94">
        <v>0</v>
      </c>
      <c r="O1092" s="94">
        <v>0</v>
      </c>
    </row>
    <row r="1093" spans="1:15" x14ac:dyDescent="0.25">
      <c r="A1093" s="89">
        <v>45107.333333333336</v>
      </c>
      <c r="B1093" s="94">
        <v>359.83478540629727</v>
      </c>
      <c r="C1093" s="94">
        <v>300.45999999999998</v>
      </c>
      <c r="D1093" s="94">
        <v>69.813246333648507</v>
      </c>
      <c r="E1093" s="94">
        <v>6.0258557223809017</v>
      </c>
      <c r="F1093" s="94">
        <v>70.776056988627474</v>
      </c>
      <c r="G1093" s="94">
        <v>6.0553752863907127</v>
      </c>
      <c r="H1093" s="94">
        <v>0.5</v>
      </c>
      <c r="I1093" s="94">
        <v>0</v>
      </c>
      <c r="J1093" s="94">
        <v>2137.2109556073342</v>
      </c>
      <c r="K1093" s="94">
        <v>2.2719799552144684</v>
      </c>
      <c r="L1093" s="94">
        <v>0</v>
      </c>
      <c r="M1093" s="94">
        <v>0</v>
      </c>
      <c r="N1093" s="94">
        <v>0</v>
      </c>
      <c r="O1093" s="94">
        <v>0</v>
      </c>
    </row>
    <row r="1094" spans="1:15" x14ac:dyDescent="0.25">
      <c r="A1094" s="89">
        <v>45107.833333333336</v>
      </c>
      <c r="B1094" s="94">
        <v>359.86</v>
      </c>
      <c r="C1094" s="94">
        <v>300.34297303724298</v>
      </c>
      <c r="D1094" s="94">
        <v>40.793425369262692</v>
      </c>
      <c r="E1094" s="94">
        <v>2.6827551410442627</v>
      </c>
      <c r="F1094" s="94">
        <v>79.772462623852959</v>
      </c>
      <c r="G1094" s="94">
        <v>6.9506183693566568</v>
      </c>
      <c r="H1094" s="94">
        <v>1.4</v>
      </c>
      <c r="I1094" s="94">
        <v>0</v>
      </c>
      <c r="J1094" s="94">
        <v>1773.4063938785503</v>
      </c>
      <c r="K1094" s="94">
        <v>2.1640626233080535</v>
      </c>
      <c r="L1094" s="94">
        <v>0</v>
      </c>
      <c r="M1094" s="94">
        <v>0</v>
      </c>
      <c r="N1094" s="94">
        <v>0</v>
      </c>
      <c r="O1094" s="94">
        <v>0</v>
      </c>
    </row>
    <row r="1095" spans="1:15" x14ac:dyDescent="0.25">
      <c r="A1095" s="89">
        <v>45108.333333333336</v>
      </c>
      <c r="B1095" s="94">
        <v>359.86</v>
      </c>
      <c r="C1095" s="94">
        <v>300.34329556149049</v>
      </c>
      <c r="D1095" s="94">
        <v>41.702480920874457</v>
      </c>
      <c r="E1095" s="94">
        <v>2.6808107530166487</v>
      </c>
      <c r="F1095" s="94">
        <v>78.599999999999994</v>
      </c>
      <c r="G1095" s="94">
        <v>6.9380476852346842</v>
      </c>
      <c r="H1095" s="94">
        <v>1.4731448917825987</v>
      </c>
      <c r="I1095" s="94">
        <v>0</v>
      </c>
      <c r="J1095" s="94">
        <v>1774</v>
      </c>
      <c r="K1095" s="94">
        <v>2.1659999999999999</v>
      </c>
      <c r="L1095" s="94">
        <v>0</v>
      </c>
      <c r="M1095" s="94">
        <v>0</v>
      </c>
      <c r="N1095" s="94">
        <v>0</v>
      </c>
      <c r="O1095" s="94">
        <v>0</v>
      </c>
    </row>
    <row r="1096" spans="1:15" x14ac:dyDescent="0.25">
      <c r="A1096" s="89">
        <v>45108.833333333336</v>
      </c>
      <c r="B1096" s="94">
        <v>359.86</v>
      </c>
      <c r="C1096" s="94">
        <v>300.41000000000003</v>
      </c>
      <c r="D1096" s="94">
        <v>57.8</v>
      </c>
      <c r="E1096" s="94">
        <v>3.9910234486073008</v>
      </c>
      <c r="F1096" s="94">
        <v>80.274533966804754</v>
      </c>
      <c r="G1096" s="94">
        <v>6.9706173655332613</v>
      </c>
      <c r="H1096" s="94">
        <v>1.4581819652244237</v>
      </c>
      <c r="I1096" s="94">
        <v>0</v>
      </c>
      <c r="J1096" s="94">
        <v>1990.6006905441648</v>
      </c>
      <c r="K1096" s="94">
        <v>2.2298334379172355</v>
      </c>
      <c r="L1096" s="94">
        <v>0</v>
      </c>
      <c r="M1096" s="94">
        <v>0</v>
      </c>
      <c r="N1096" s="94">
        <v>0</v>
      </c>
      <c r="O1096" s="94">
        <v>0</v>
      </c>
    </row>
    <row r="1097" spans="1:15" x14ac:dyDescent="0.25">
      <c r="A1097" s="89">
        <v>45109.333333333336</v>
      </c>
      <c r="B1097" s="94">
        <v>359.86</v>
      </c>
      <c r="C1097" s="94">
        <v>300.41000000000003</v>
      </c>
      <c r="D1097" s="94">
        <v>57.608088118123717</v>
      </c>
      <c r="E1097" s="94">
        <v>3.9563339399509432</v>
      </c>
      <c r="F1097" s="94">
        <v>79.750307357104163</v>
      </c>
      <c r="G1097" s="94">
        <v>6.9807505727814272</v>
      </c>
      <c r="H1097" s="94">
        <v>1.5524303820435819</v>
      </c>
      <c r="I1097" s="94">
        <v>0</v>
      </c>
      <c r="J1097" s="94">
        <v>1985</v>
      </c>
      <c r="K1097" s="94">
        <v>2.2286292384457287</v>
      </c>
      <c r="L1097" s="94">
        <v>0</v>
      </c>
      <c r="M1097" s="94">
        <v>0</v>
      </c>
      <c r="N1097" s="94">
        <v>0</v>
      </c>
      <c r="O1097" s="94">
        <v>0</v>
      </c>
    </row>
    <row r="1098" spans="1:15" x14ac:dyDescent="0.25">
      <c r="A1098" s="89">
        <v>45109.833333333336</v>
      </c>
      <c r="B1098" s="94">
        <v>359.86</v>
      </c>
      <c r="C1098" s="94">
        <v>300.48</v>
      </c>
      <c r="D1098" s="94">
        <v>75.3</v>
      </c>
      <c r="E1098" s="94">
        <v>6.3477889216047112</v>
      </c>
      <c r="F1098" s="94">
        <v>74.099999999999994</v>
      </c>
      <c r="G1098" s="94">
        <v>6.3105205097124459</v>
      </c>
      <c r="H1098" s="94">
        <v>1.5704383490342133</v>
      </c>
      <c r="I1098" s="94">
        <v>0</v>
      </c>
      <c r="J1098" s="94">
        <v>2213.4058935652579</v>
      </c>
      <c r="K1098" s="94">
        <v>2.2913281697324401</v>
      </c>
      <c r="L1098" s="94">
        <v>0</v>
      </c>
      <c r="M1098" s="94">
        <v>0</v>
      </c>
      <c r="N1098" s="94">
        <v>0</v>
      </c>
      <c r="O1098" s="94">
        <v>0</v>
      </c>
    </row>
    <row r="1099" spans="1:15" x14ac:dyDescent="0.25">
      <c r="A1099" s="89">
        <v>45110.333333333336</v>
      </c>
      <c r="B1099" s="94">
        <v>359.8755815174672</v>
      </c>
      <c r="C1099" s="94">
        <v>300.47000000000003</v>
      </c>
      <c r="D1099" s="94">
        <v>74.676764581662411</v>
      </c>
      <c r="E1099" s="94">
        <v>6.3492228928648418</v>
      </c>
      <c r="F1099" s="94">
        <v>74.115307636692876</v>
      </c>
      <c r="G1099" s="94">
        <v>6.3459427127775268</v>
      </c>
      <c r="H1099" s="94">
        <v>1.5157224738953132</v>
      </c>
      <c r="I1099" s="94">
        <v>0</v>
      </c>
      <c r="J1099" s="94">
        <v>2212</v>
      </c>
      <c r="K1099" s="94">
        <v>2.2914866066910964</v>
      </c>
      <c r="L1099" s="94">
        <v>0</v>
      </c>
      <c r="M1099" s="94">
        <v>0</v>
      </c>
      <c r="N1099" s="94">
        <v>0</v>
      </c>
      <c r="O1099" s="94">
        <v>0</v>
      </c>
    </row>
    <row r="1100" spans="1:15" x14ac:dyDescent="0.25">
      <c r="A1100" s="89">
        <v>45110.833333333336</v>
      </c>
      <c r="B1100" s="94">
        <v>359.95</v>
      </c>
      <c r="C1100" s="94">
        <v>300.32</v>
      </c>
      <c r="D1100" s="94">
        <v>62.1</v>
      </c>
      <c r="E1100" s="94">
        <v>4.6210820273679385</v>
      </c>
      <c r="F1100" s="94">
        <v>61.792786594502033</v>
      </c>
      <c r="G1100" s="94">
        <v>4.4692099398601828</v>
      </c>
      <c r="H1100" s="94">
        <v>1.4819481601068181</v>
      </c>
      <c r="I1100" s="94">
        <v>0</v>
      </c>
      <c r="J1100" s="94">
        <v>1676.7047926417638</v>
      </c>
      <c r="K1100" s="94">
        <v>2.1356026715992149</v>
      </c>
      <c r="L1100" s="94">
        <v>0</v>
      </c>
      <c r="M1100" s="94">
        <v>0</v>
      </c>
      <c r="N1100" s="94">
        <v>0</v>
      </c>
      <c r="O1100" s="94">
        <v>0</v>
      </c>
    </row>
    <row r="1101" spans="1:15" x14ac:dyDescent="0.25">
      <c r="A1101" s="89">
        <v>45111.333333333336</v>
      </c>
      <c r="B1101" s="94">
        <v>359.95</v>
      </c>
      <c r="C1101" s="94">
        <v>300.31669714378569</v>
      </c>
      <c r="D1101" s="94">
        <v>60.829616785535123</v>
      </c>
      <c r="E1101" s="94">
        <v>4.637117502405645</v>
      </c>
      <c r="F1101" s="94">
        <v>59.06149500323356</v>
      </c>
      <c r="G1101" s="94">
        <v>4.4342928058652813</v>
      </c>
      <c r="H1101" s="94">
        <v>1.5</v>
      </c>
      <c r="I1101" s="94">
        <v>0</v>
      </c>
      <c r="J1101" s="94">
        <v>1674</v>
      </c>
      <c r="K1101" s="94">
        <v>2.1349999999999998</v>
      </c>
      <c r="L1101" s="94">
        <v>0</v>
      </c>
      <c r="M1101" s="94">
        <v>0</v>
      </c>
      <c r="N1101" s="94">
        <v>0</v>
      </c>
      <c r="O1101" s="94">
        <v>0</v>
      </c>
    </row>
    <row r="1102" spans="1:15" x14ac:dyDescent="0.25">
      <c r="A1102" s="89">
        <v>45111.833333333336</v>
      </c>
      <c r="B1102" s="94">
        <v>359.95</v>
      </c>
      <c r="C1102" s="94">
        <v>300.17914135017554</v>
      </c>
      <c r="D1102" s="94">
        <v>47.11453547551082</v>
      </c>
      <c r="E1102" s="94">
        <v>3.1669271072708889</v>
      </c>
      <c r="F1102" s="94">
        <v>48.361545178784816</v>
      </c>
      <c r="G1102" s="94">
        <v>3.2266414941885762</v>
      </c>
      <c r="H1102" s="94">
        <v>1.5</v>
      </c>
      <c r="I1102" s="94">
        <v>0</v>
      </c>
      <c r="J1102" s="94">
        <v>1274.9899961726494</v>
      </c>
      <c r="K1102" s="94">
        <v>1.9992175891171322</v>
      </c>
      <c r="L1102" s="94">
        <v>0</v>
      </c>
      <c r="M1102" s="94">
        <v>0</v>
      </c>
      <c r="N1102" s="94">
        <v>0</v>
      </c>
      <c r="O1102" s="94">
        <v>0</v>
      </c>
    </row>
    <row r="1103" spans="1:15" x14ac:dyDescent="0.25">
      <c r="A1103" s="89">
        <v>45112.333333333336</v>
      </c>
      <c r="B1103" s="94">
        <v>359.95725943296804</v>
      </c>
      <c r="C1103" s="94">
        <v>300.17340458068844</v>
      </c>
      <c r="D1103" s="94">
        <v>46.016803810265529</v>
      </c>
      <c r="E1103" s="94">
        <v>3.2502865460764054</v>
      </c>
      <c r="F1103" s="94">
        <v>48.6</v>
      </c>
      <c r="G1103" s="94">
        <v>3.2975916896548214</v>
      </c>
      <c r="H1103" s="94">
        <v>1.4089324951171873</v>
      </c>
      <c r="I1103" s="94">
        <v>0</v>
      </c>
      <c r="J1103" s="94">
        <v>1279</v>
      </c>
      <c r="K1103" s="94">
        <v>2</v>
      </c>
      <c r="L1103" s="94">
        <v>0</v>
      </c>
      <c r="M1103" s="94">
        <v>0</v>
      </c>
      <c r="N1103" s="94">
        <v>0</v>
      </c>
      <c r="O1103" s="94">
        <v>0</v>
      </c>
    </row>
    <row r="1104" spans="1:15" x14ac:dyDescent="0.25">
      <c r="A1104" s="89">
        <v>45112.833333333336</v>
      </c>
      <c r="B1104" s="94">
        <v>359.99</v>
      </c>
      <c r="C1104" s="94">
        <v>300.29000000000002</v>
      </c>
      <c r="D1104" s="94">
        <v>48.877379564081927</v>
      </c>
      <c r="E1104" s="94">
        <v>3.2209764946190664</v>
      </c>
      <c r="F1104" s="94">
        <v>69.998761864701251</v>
      </c>
      <c r="G1104" s="94">
        <v>5.5719342369579774</v>
      </c>
      <c r="H1104" s="94">
        <v>1.4010290300769919</v>
      </c>
      <c r="I1104" s="94">
        <v>0</v>
      </c>
      <c r="J1104" s="94">
        <v>1626</v>
      </c>
      <c r="K1104" s="94">
        <v>2.12</v>
      </c>
      <c r="L1104" s="94">
        <v>0</v>
      </c>
      <c r="M1104" s="94">
        <v>0</v>
      </c>
      <c r="N1104" s="94">
        <v>0</v>
      </c>
      <c r="O1104" s="94">
        <v>0</v>
      </c>
    </row>
    <row r="1105" spans="1:15" x14ac:dyDescent="0.25">
      <c r="A1105" s="89">
        <v>45113.333333333336</v>
      </c>
      <c r="B1105" s="94">
        <v>359.99</v>
      </c>
      <c r="C1105" s="94">
        <v>300.29000000000002</v>
      </c>
      <c r="D1105" s="94">
        <v>47.243517155063515</v>
      </c>
      <c r="E1105" s="94">
        <v>3.1537341207252809</v>
      </c>
      <c r="F1105" s="94">
        <v>68.58997293978473</v>
      </c>
      <c r="G1105" s="94">
        <v>5.6236132104111078</v>
      </c>
      <c r="H1105" s="94">
        <v>1.5080693503950915</v>
      </c>
      <c r="I1105" s="94">
        <v>0</v>
      </c>
      <c r="J1105" s="94">
        <v>1623.6009540647053</v>
      </c>
      <c r="K1105" s="94">
        <v>2.1199021919413052</v>
      </c>
      <c r="L1105" s="94">
        <v>0</v>
      </c>
      <c r="M1105" s="94">
        <v>0</v>
      </c>
      <c r="N1105" s="94">
        <v>0</v>
      </c>
      <c r="O1105" s="94">
        <v>0</v>
      </c>
    </row>
    <row r="1106" spans="1:15" x14ac:dyDescent="0.25">
      <c r="A1106" s="89">
        <v>45113.833333333336</v>
      </c>
      <c r="B1106" s="94">
        <v>359.99</v>
      </c>
      <c r="C1106" s="94">
        <v>300.67059220524811</v>
      </c>
      <c r="D1106" s="94">
        <v>43.79154998175003</v>
      </c>
      <c r="E1106" s="94">
        <v>2.9827812194824221</v>
      </c>
      <c r="F1106" s="94">
        <v>45.294675383789915</v>
      </c>
      <c r="G1106" s="94">
        <v>2.9227801513671876</v>
      </c>
      <c r="H1106" s="94">
        <v>62.47243865076743</v>
      </c>
      <c r="I1106" s="94">
        <v>10.780772232553886</v>
      </c>
      <c r="J1106" s="94">
        <v>3231.2241743037675</v>
      </c>
      <c r="K1106" s="94">
        <v>2.5329999999999999</v>
      </c>
      <c r="L1106" s="94">
        <v>0</v>
      </c>
      <c r="M1106" s="94">
        <v>0</v>
      </c>
      <c r="N1106" s="94">
        <v>0</v>
      </c>
      <c r="O1106" s="94">
        <v>0</v>
      </c>
    </row>
    <row r="1107" spans="1:15" x14ac:dyDescent="0.25">
      <c r="A1107" s="89">
        <v>45114.333333333336</v>
      </c>
      <c r="B1107" s="94">
        <v>360.00178133114036</v>
      </c>
      <c r="C1107" s="94">
        <v>300.67</v>
      </c>
      <c r="D1107" s="94">
        <v>44.5</v>
      </c>
      <c r="E1107" s="94">
        <v>2.9985830499126758</v>
      </c>
      <c r="F1107" s="94">
        <v>44.162497729731946</v>
      </c>
      <c r="G1107" s="94">
        <v>2.9476505193492049</v>
      </c>
      <c r="H1107" s="94">
        <v>63.422842552282887</v>
      </c>
      <c r="I1107" s="94">
        <v>11.134245510688837</v>
      </c>
      <c r="J1107" s="94">
        <v>3231.1994959799745</v>
      </c>
      <c r="K1107" s="94">
        <v>2.532953863980564</v>
      </c>
      <c r="L1107" s="94">
        <v>0</v>
      </c>
      <c r="M1107" s="94">
        <v>0</v>
      </c>
      <c r="N1107" s="94">
        <v>0</v>
      </c>
      <c r="O1107" s="94">
        <v>0</v>
      </c>
    </row>
    <row r="1108" spans="1:15" x14ac:dyDescent="0.25">
      <c r="A1108" s="89">
        <v>45114.833333333336</v>
      </c>
      <c r="B1108" s="94">
        <v>360.05</v>
      </c>
      <c r="C1108" s="94">
        <v>300.29000000000002</v>
      </c>
      <c r="D1108" s="94">
        <v>67.3</v>
      </c>
      <c r="E1108" s="94">
        <v>5.4943840937114672</v>
      </c>
      <c r="F1108" s="94">
        <v>44.616931528231305</v>
      </c>
      <c r="G1108" s="94">
        <v>3.0011050419170209</v>
      </c>
      <c r="H1108" s="94">
        <v>0.5</v>
      </c>
      <c r="I1108" s="94">
        <v>0</v>
      </c>
      <c r="J1108" s="94">
        <v>1574</v>
      </c>
      <c r="K1108" s="94">
        <v>2.1038920744673901</v>
      </c>
      <c r="L1108" s="94">
        <v>0</v>
      </c>
      <c r="M1108" s="94">
        <v>0</v>
      </c>
      <c r="N1108" s="94">
        <v>0</v>
      </c>
      <c r="O1108" s="94">
        <v>0</v>
      </c>
    </row>
    <row r="1109" spans="1:15" x14ac:dyDescent="0.25">
      <c r="A1109" s="89">
        <v>45115.333333333336</v>
      </c>
      <c r="B1109" s="94">
        <v>360.05</v>
      </c>
      <c r="C1109" s="94">
        <v>300.28708537383034</v>
      </c>
      <c r="D1109" s="94">
        <v>67.2</v>
      </c>
      <c r="E1109" s="94">
        <v>5.4941098022460935</v>
      </c>
      <c r="F1109" s="94">
        <v>44.763651684074638</v>
      </c>
      <c r="G1109" s="94">
        <v>2.9885465494791665</v>
      </c>
      <c r="H1109" s="94">
        <v>0.5</v>
      </c>
      <c r="I1109" s="94">
        <v>0</v>
      </c>
      <c r="J1109" s="94">
        <v>1571.4973018383844</v>
      </c>
      <c r="K1109" s="94">
        <v>2.1028265671110229</v>
      </c>
      <c r="L1109" s="94">
        <v>0</v>
      </c>
      <c r="M1109" s="94">
        <v>0</v>
      </c>
      <c r="N1109" s="94">
        <v>0</v>
      </c>
      <c r="O1109" s="94">
        <v>0</v>
      </c>
    </row>
    <row r="1110" spans="1:15" x14ac:dyDescent="0.25">
      <c r="A1110" s="89">
        <v>45115.833333333336</v>
      </c>
      <c r="B1110" s="94">
        <v>360.05</v>
      </c>
      <c r="C1110" s="94">
        <v>299.75</v>
      </c>
      <c r="D1110" s="94">
        <v>33.4</v>
      </c>
      <c r="E1110" s="94">
        <v>2.144953758044279</v>
      </c>
      <c r="F1110" s="94">
        <v>0.62470330003027552</v>
      </c>
      <c r="G1110" s="94">
        <v>0</v>
      </c>
      <c r="H1110" s="94">
        <v>1.4990931836612214</v>
      </c>
      <c r="I1110" s="94">
        <v>0</v>
      </c>
      <c r="J1110" s="94">
        <v>502.59154718222635</v>
      </c>
      <c r="K1110" s="94">
        <v>1.583</v>
      </c>
      <c r="L1110" s="94">
        <v>0</v>
      </c>
      <c r="M1110" s="94">
        <v>0</v>
      </c>
      <c r="N1110" s="94">
        <v>0</v>
      </c>
      <c r="O1110" s="94">
        <v>0</v>
      </c>
    </row>
    <row r="1111" spans="1:15" x14ac:dyDescent="0.25">
      <c r="A1111" s="89">
        <v>45116.333333333336</v>
      </c>
      <c r="B1111" s="94">
        <v>360.05</v>
      </c>
      <c r="C1111" s="94">
        <v>299.75</v>
      </c>
      <c r="D1111" s="94">
        <v>34.1</v>
      </c>
      <c r="E1111" s="94">
        <v>2.1770820372064654</v>
      </c>
      <c r="F1111" s="94">
        <v>1.6</v>
      </c>
      <c r="G1111" s="94">
        <v>0</v>
      </c>
      <c r="H1111" s="94">
        <v>1.4219176607591963</v>
      </c>
      <c r="I1111" s="94">
        <v>0</v>
      </c>
      <c r="J1111" s="94">
        <v>502</v>
      </c>
      <c r="K1111" s="94">
        <v>1.581</v>
      </c>
      <c r="L1111" s="94">
        <v>0</v>
      </c>
      <c r="M1111" s="94">
        <v>0</v>
      </c>
      <c r="N1111" s="94">
        <v>0</v>
      </c>
      <c r="O1111" s="94">
        <v>0</v>
      </c>
    </row>
    <row r="1112" spans="1:15" x14ac:dyDescent="0.25">
      <c r="A1112" s="89">
        <v>45116.833333333336</v>
      </c>
      <c r="B1112" s="94">
        <v>360.05</v>
      </c>
      <c r="C1112" s="94">
        <v>300.26431927356595</v>
      </c>
      <c r="D1112" s="94">
        <v>64.3</v>
      </c>
      <c r="E1112" s="94">
        <v>5.1483519963633606</v>
      </c>
      <c r="F1112" s="94">
        <v>46.525933808981357</v>
      </c>
      <c r="G1112" s="94">
        <v>3.0009501647949222</v>
      </c>
      <c r="H1112" s="94">
        <v>1.419885877676593</v>
      </c>
      <c r="I1112" s="94">
        <v>0</v>
      </c>
      <c r="J1112" s="94">
        <v>1526.204756071477</v>
      </c>
      <c r="K1112" s="94">
        <v>2.0870000000000002</v>
      </c>
      <c r="L1112" s="94">
        <v>0</v>
      </c>
      <c r="M1112" s="94">
        <v>0</v>
      </c>
      <c r="N1112" s="94">
        <v>0</v>
      </c>
      <c r="O1112" s="94">
        <v>0</v>
      </c>
    </row>
    <row r="1113" spans="1:15" x14ac:dyDescent="0.25">
      <c r="A1113" s="89">
        <v>45117.333333333336</v>
      </c>
      <c r="B1113" s="94">
        <v>360.08870751738317</v>
      </c>
      <c r="C1113" s="94">
        <v>300.26096486690801</v>
      </c>
      <c r="D1113" s="94">
        <v>63.5</v>
      </c>
      <c r="E1113" s="94">
        <v>5.1813871503190336</v>
      </c>
      <c r="F1113" s="94">
        <v>44.212767542838982</v>
      </c>
      <c r="G1113" s="94">
        <v>2.9744966866519404</v>
      </c>
      <c r="H1113" s="94">
        <v>1.475591651763235</v>
      </c>
      <c r="I1113" s="94">
        <v>0</v>
      </c>
      <c r="J1113" s="94">
        <v>1526.8093445206812</v>
      </c>
      <c r="K1113" s="94">
        <v>2.0876364653001955</v>
      </c>
      <c r="L1113" s="94">
        <v>0</v>
      </c>
      <c r="M1113" s="94">
        <v>0</v>
      </c>
      <c r="N1113" s="94">
        <v>0</v>
      </c>
      <c r="O1113" s="94">
        <v>0</v>
      </c>
    </row>
    <row r="1114" spans="1:15" x14ac:dyDescent="0.25">
      <c r="A1114" s="89">
        <v>45117.833333333336</v>
      </c>
      <c r="B1114" s="94">
        <v>360.24</v>
      </c>
      <c r="C1114" s="94">
        <v>300.26350219652312</v>
      </c>
      <c r="D1114" s="94">
        <v>64.201259943914337</v>
      </c>
      <c r="E1114" s="94">
        <v>5.2262197875976568</v>
      </c>
      <c r="F1114" s="94">
        <v>46.825082994081278</v>
      </c>
      <c r="G1114" s="94">
        <v>3.0076998901367187</v>
      </c>
      <c r="H1114" s="94">
        <v>1.4</v>
      </c>
      <c r="I1114" s="94">
        <v>0</v>
      </c>
      <c r="J1114" s="94">
        <v>1522</v>
      </c>
      <c r="K1114" s="94">
        <v>2.0860712558965022</v>
      </c>
      <c r="L1114" s="94">
        <v>0</v>
      </c>
      <c r="M1114" s="94">
        <v>0</v>
      </c>
      <c r="N1114" s="94">
        <v>0</v>
      </c>
      <c r="O1114" s="94">
        <v>0</v>
      </c>
    </row>
    <row r="1115" spans="1:15" x14ac:dyDescent="0.25">
      <c r="A1115" s="89">
        <v>45118.333333333336</v>
      </c>
      <c r="B1115" s="94">
        <v>360.25302498673898</v>
      </c>
      <c r="C1115" s="94">
        <v>300.26984990164777</v>
      </c>
      <c r="D1115" s="94">
        <v>63.154647245690335</v>
      </c>
      <c r="E1115" s="94">
        <v>5.2007014754223686</v>
      </c>
      <c r="F1115" s="94">
        <v>44.399761572818605</v>
      </c>
      <c r="G1115" s="94">
        <v>3.0276336378972117</v>
      </c>
      <c r="H1115" s="94">
        <v>1.4684078534527438</v>
      </c>
      <c r="I1115" s="94">
        <v>0</v>
      </c>
      <c r="J1115" s="94">
        <v>1523.3370963306513</v>
      </c>
      <c r="K1115" s="94">
        <v>2.0863788072808833</v>
      </c>
      <c r="L1115" s="94">
        <v>0</v>
      </c>
      <c r="M1115" s="94">
        <v>0</v>
      </c>
      <c r="N1115" s="94">
        <v>0</v>
      </c>
      <c r="O1115" s="94">
        <v>0</v>
      </c>
    </row>
    <row r="1116" spans="1:15" x14ac:dyDescent="0.25">
      <c r="A1116" s="89">
        <v>45118.833333333336</v>
      </c>
      <c r="B1116" s="94">
        <v>360.3</v>
      </c>
      <c r="C1116" s="94">
        <v>300.08</v>
      </c>
      <c r="D1116" s="94">
        <v>72.5</v>
      </c>
      <c r="E1116" s="94">
        <v>6.0994093523037094</v>
      </c>
      <c r="F1116" s="94">
        <v>0.7</v>
      </c>
      <c r="G1116" s="94">
        <v>0</v>
      </c>
      <c r="H1116" s="94">
        <v>1.4</v>
      </c>
      <c r="I1116" s="94">
        <v>0</v>
      </c>
      <c r="J1116" s="94">
        <v>1012.0148195550423</v>
      </c>
      <c r="K1116" s="94">
        <v>1.893958272456729</v>
      </c>
      <c r="L1116" s="94">
        <v>0</v>
      </c>
      <c r="M1116" s="94">
        <v>0</v>
      </c>
      <c r="N1116" s="94">
        <v>0</v>
      </c>
      <c r="O1116" s="94">
        <v>0</v>
      </c>
    </row>
    <row r="1117" spans="1:15" x14ac:dyDescent="0.25">
      <c r="A1117" s="89">
        <v>45119.333333333336</v>
      </c>
      <c r="B1117" s="94">
        <v>360.31845457843224</v>
      </c>
      <c r="C1117" s="94">
        <v>300.06</v>
      </c>
      <c r="D1117" s="94">
        <v>69.599999999999994</v>
      </c>
      <c r="E1117" s="94">
        <v>6.0421038818359376</v>
      </c>
      <c r="F1117" s="94">
        <v>0.34942553603468113</v>
      </c>
      <c r="G1117" s="94">
        <v>0</v>
      </c>
      <c r="H1117" s="94">
        <v>1.5607518271402712</v>
      </c>
      <c r="I1117" s="94">
        <v>0</v>
      </c>
      <c r="J1117" s="94">
        <v>1008</v>
      </c>
      <c r="K1117" s="94">
        <v>1.8919999999999999</v>
      </c>
      <c r="L1117" s="94">
        <v>0</v>
      </c>
      <c r="M1117" s="94">
        <v>0</v>
      </c>
      <c r="N1117" s="94">
        <v>0</v>
      </c>
      <c r="O1117" s="94">
        <v>0</v>
      </c>
    </row>
    <row r="1118" spans="1:15" x14ac:dyDescent="0.25">
      <c r="A1118" s="89">
        <v>45119.833333333336</v>
      </c>
      <c r="B1118" s="94">
        <v>360.38</v>
      </c>
      <c r="C1118" s="94">
        <v>300.76464354653911</v>
      </c>
      <c r="D1118" s="94">
        <v>66.5</v>
      </c>
      <c r="E1118" s="94">
        <v>5.53</v>
      </c>
      <c r="F1118" s="94">
        <v>1.9</v>
      </c>
      <c r="G1118" s="94">
        <v>0</v>
      </c>
      <c r="H1118" s="94">
        <v>79.139529203717217</v>
      </c>
      <c r="I1118" s="94">
        <v>15.954834354141529</v>
      </c>
      <c r="J1118" s="94">
        <v>3691.4661901300406</v>
      </c>
      <c r="K1118" s="94">
        <v>2.6266160573633979</v>
      </c>
      <c r="L1118" s="94">
        <v>0</v>
      </c>
      <c r="M1118" s="94">
        <v>0</v>
      </c>
      <c r="N1118" s="94">
        <v>0</v>
      </c>
      <c r="O1118" s="94">
        <v>0</v>
      </c>
    </row>
    <row r="1119" spans="1:15" x14ac:dyDescent="0.25">
      <c r="A1119" s="89">
        <v>45120.333333333336</v>
      </c>
      <c r="B1119" s="94">
        <v>360.38</v>
      </c>
      <c r="C1119" s="94">
        <v>300.76</v>
      </c>
      <c r="D1119" s="94">
        <v>67.807540230453668</v>
      </c>
      <c r="E1119" s="94">
        <v>5.5488322901914202</v>
      </c>
      <c r="F1119" s="94">
        <v>1.689912775213068</v>
      </c>
      <c r="G1119" s="94">
        <v>0</v>
      </c>
      <c r="H1119" s="94">
        <v>79.7</v>
      </c>
      <c r="I1119" s="94">
        <v>15.8653943477333</v>
      </c>
      <c r="J1119" s="94">
        <v>3697.8873028851376</v>
      </c>
      <c r="K1119" s="94">
        <v>2.6280552904098693</v>
      </c>
      <c r="L1119" s="94">
        <v>0</v>
      </c>
      <c r="M1119" s="94">
        <v>0</v>
      </c>
      <c r="N1119" s="94">
        <v>0</v>
      </c>
      <c r="O1119" s="94">
        <v>0</v>
      </c>
    </row>
    <row r="1120" spans="1:15" x14ac:dyDescent="0.25">
      <c r="A1120" s="89">
        <v>45120.833333333336</v>
      </c>
      <c r="B1120" s="94">
        <v>360.38</v>
      </c>
      <c r="C1120" s="94">
        <v>300.61</v>
      </c>
      <c r="D1120" s="94">
        <v>35.595512429793125</v>
      </c>
      <c r="E1120" s="94">
        <v>2.2974598535654955</v>
      </c>
      <c r="F1120" s="94">
        <v>1.8975654933282853</v>
      </c>
      <c r="G1120" s="94">
        <v>0</v>
      </c>
      <c r="H1120" s="94">
        <v>75.922170305679515</v>
      </c>
      <c r="I1120" s="94">
        <v>14.849704649841375</v>
      </c>
      <c r="J1120" s="94">
        <v>3028.5971660160822</v>
      </c>
      <c r="K1120" s="94">
        <v>2.4888432943120904</v>
      </c>
      <c r="L1120" s="94">
        <v>0</v>
      </c>
      <c r="M1120" s="94">
        <v>0</v>
      </c>
      <c r="N1120" s="94">
        <v>0</v>
      </c>
      <c r="O1120" s="94">
        <v>0</v>
      </c>
    </row>
    <row r="1121" spans="1:15" x14ac:dyDescent="0.25">
      <c r="A1121" s="89">
        <v>45121.333333333336</v>
      </c>
      <c r="B1121" s="94">
        <v>360.38</v>
      </c>
      <c r="C1121" s="94">
        <v>300.60121229263819</v>
      </c>
      <c r="D1121" s="94">
        <v>35.051683674307398</v>
      </c>
      <c r="E1121" s="94">
        <v>2.2843547093729235</v>
      </c>
      <c r="F1121" s="94">
        <v>1.6131585505774368</v>
      </c>
      <c r="G1121" s="94">
        <v>0</v>
      </c>
      <c r="H1121" s="94">
        <v>76.099999999999994</v>
      </c>
      <c r="I1121" s="94">
        <v>14.795059563403278</v>
      </c>
      <c r="J1121" s="94">
        <v>3046.6016319323558</v>
      </c>
      <c r="K1121" s="94">
        <v>2.4927461655964982</v>
      </c>
      <c r="L1121" s="94">
        <v>0</v>
      </c>
      <c r="M1121" s="94">
        <v>0</v>
      </c>
      <c r="N1121" s="94">
        <v>0</v>
      </c>
      <c r="O1121" s="94">
        <v>0</v>
      </c>
    </row>
    <row r="1122" spans="1:15" x14ac:dyDescent="0.25">
      <c r="A1122" s="89">
        <v>45121.833333333336</v>
      </c>
      <c r="B1122" s="94">
        <v>360.38</v>
      </c>
      <c r="C1122" s="94">
        <v>300.5207563004854</v>
      </c>
      <c r="D1122" s="94">
        <v>36.268953818881997</v>
      </c>
      <c r="E1122" s="94">
        <v>2.2882886926011299</v>
      </c>
      <c r="F1122" s="94">
        <v>1.8746830810519575</v>
      </c>
      <c r="G1122" s="94">
        <v>0</v>
      </c>
      <c r="H1122" s="94">
        <v>67.257101569479019</v>
      </c>
      <c r="I1122" s="94">
        <v>12.340830230712891</v>
      </c>
      <c r="J1122" s="94">
        <v>2669.2113468030639</v>
      </c>
      <c r="K1122" s="94">
        <v>2.4059305581511858</v>
      </c>
      <c r="L1122" s="94">
        <v>0</v>
      </c>
      <c r="M1122" s="94">
        <v>0</v>
      </c>
      <c r="N1122" s="94">
        <v>0</v>
      </c>
      <c r="O1122" s="94">
        <v>0</v>
      </c>
    </row>
    <row r="1123" spans="1:15" x14ac:dyDescent="0.25">
      <c r="A1123" s="89">
        <v>45122.333333333336</v>
      </c>
      <c r="B1123" s="94">
        <v>360.38</v>
      </c>
      <c r="C1123" s="94">
        <v>300.51586255244729</v>
      </c>
      <c r="D1123" s="94">
        <v>34.6672408841197</v>
      </c>
      <c r="E1123" s="94">
        <v>2.2630515711250494</v>
      </c>
      <c r="F1123" s="94">
        <v>1.6285793714532826</v>
      </c>
      <c r="G1123" s="94">
        <v>0</v>
      </c>
      <c r="H1123" s="94">
        <v>67</v>
      </c>
      <c r="I1123" s="94">
        <v>12.222941218274112</v>
      </c>
      <c r="J1123" s="94">
        <v>2681.5962400545204</v>
      </c>
      <c r="K1123" s="94">
        <v>2.4078806601772169</v>
      </c>
      <c r="L1123" s="94">
        <v>0</v>
      </c>
      <c r="M1123" s="94">
        <v>0</v>
      </c>
      <c r="N1123" s="94">
        <v>0</v>
      </c>
      <c r="O1123" s="94">
        <v>0</v>
      </c>
    </row>
    <row r="1124" spans="1:15" x14ac:dyDescent="0.25">
      <c r="A1124" s="89">
        <v>45122.833333333336</v>
      </c>
      <c r="B1124" s="94">
        <v>360.38</v>
      </c>
      <c r="C1124" s="94">
        <v>300.53679397097807</v>
      </c>
      <c r="D1124" s="94">
        <v>36.168013109169117</v>
      </c>
      <c r="E1124" s="94">
        <v>2.2673121719034572</v>
      </c>
      <c r="F1124" s="94">
        <v>1.8726857268865207</v>
      </c>
      <c r="G1124" s="94">
        <v>0</v>
      </c>
      <c r="H1124" s="94">
        <v>68.575696716675921</v>
      </c>
      <c r="I1124" s="94">
        <v>12.975752367020196</v>
      </c>
      <c r="J1124" s="94">
        <v>2755.2815191758477</v>
      </c>
      <c r="K1124" s="94">
        <v>2.4263418416832567</v>
      </c>
      <c r="L1124" s="94">
        <v>0</v>
      </c>
      <c r="M1124" s="94">
        <v>0</v>
      </c>
      <c r="N1124" s="94">
        <v>0</v>
      </c>
      <c r="O1124" s="94">
        <v>0</v>
      </c>
    </row>
    <row r="1125" spans="1:15" x14ac:dyDescent="0.25">
      <c r="A1125" s="89">
        <v>45123.333333333336</v>
      </c>
      <c r="B1125" s="94">
        <v>360.38</v>
      </c>
      <c r="C1125" s="94">
        <v>300.53694940903608</v>
      </c>
      <c r="D1125" s="94">
        <v>34.88780879272781</v>
      </c>
      <c r="E1125" s="94">
        <v>2.27</v>
      </c>
      <c r="F1125" s="94">
        <v>1.7840208702019895</v>
      </c>
      <c r="G1125" s="94">
        <v>0</v>
      </c>
      <c r="H1125" s="94">
        <v>68.89129987444197</v>
      </c>
      <c r="I1125" s="94">
        <v>12.840239257812499</v>
      </c>
      <c r="J1125" s="94">
        <v>2764.4386708082484</v>
      </c>
      <c r="K1125" s="94">
        <v>2.4284207824214485</v>
      </c>
      <c r="L1125" s="94">
        <v>0</v>
      </c>
      <c r="M1125" s="94">
        <v>0</v>
      </c>
      <c r="N1125" s="94">
        <v>0</v>
      </c>
      <c r="O1125" s="94">
        <v>0</v>
      </c>
    </row>
    <row r="1126" spans="1:15" x14ac:dyDescent="0.25">
      <c r="A1126" s="89">
        <v>45123.833333333336</v>
      </c>
      <c r="B1126" s="94">
        <v>360.38</v>
      </c>
      <c r="C1126" s="94">
        <v>300.56</v>
      </c>
      <c r="D1126" s="94">
        <v>36.895696697323352</v>
      </c>
      <c r="E1126" s="94">
        <v>2.246444163287705</v>
      </c>
      <c r="F1126" s="94">
        <v>1.8188526335909494</v>
      </c>
      <c r="G1126" s="94">
        <v>0</v>
      </c>
      <c r="H1126" s="94">
        <v>71.3</v>
      </c>
      <c r="I1126" s="94">
        <v>13.642619934082031</v>
      </c>
      <c r="J1126" s="94">
        <v>2861.9935909410378</v>
      </c>
      <c r="K1126" s="94">
        <v>2.452</v>
      </c>
      <c r="L1126" s="94">
        <v>0</v>
      </c>
      <c r="M1126" s="94">
        <v>0</v>
      </c>
      <c r="N1126" s="94">
        <v>0</v>
      </c>
      <c r="O1126" s="94">
        <v>0</v>
      </c>
    </row>
    <row r="1127" spans="1:15" x14ac:dyDescent="0.25">
      <c r="A1127" s="89">
        <v>45124.333333333336</v>
      </c>
      <c r="B1127" s="94">
        <v>360.39215684268584</v>
      </c>
      <c r="C1127" s="94">
        <v>300.56</v>
      </c>
      <c r="D1127" s="94">
        <v>34.755135750566467</v>
      </c>
      <c r="E1127" s="94">
        <v>2.2679705150006071</v>
      </c>
      <c r="F1127" s="94">
        <v>1.6900936870805112</v>
      </c>
      <c r="G1127" s="94">
        <v>0</v>
      </c>
      <c r="H1127" s="94">
        <v>71.858197328555221</v>
      </c>
      <c r="I1127" s="94">
        <v>13.777991543340381</v>
      </c>
      <c r="J1127" s="94">
        <v>2862.433877973529</v>
      </c>
      <c r="K1127" s="94">
        <v>2.451075842404113</v>
      </c>
      <c r="L1127" s="94">
        <v>0</v>
      </c>
      <c r="M1127" s="94">
        <v>0</v>
      </c>
      <c r="N1127" s="94">
        <v>0</v>
      </c>
      <c r="O1127" s="94">
        <v>0</v>
      </c>
    </row>
    <row r="1128" spans="1:15" x14ac:dyDescent="0.25">
      <c r="A1128" s="89">
        <v>45124.833333333336</v>
      </c>
      <c r="B1128" s="94">
        <v>360.43</v>
      </c>
      <c r="C1128" s="94">
        <v>300.47000000000003</v>
      </c>
      <c r="D1128" s="94">
        <v>35.882454854536938</v>
      </c>
      <c r="E1128" s="94">
        <v>2.2747399902343748</v>
      </c>
      <c r="F1128" s="94">
        <v>1.9</v>
      </c>
      <c r="G1128" s="94">
        <v>0</v>
      </c>
      <c r="H1128" s="94">
        <v>62.6</v>
      </c>
      <c r="I1128" s="94">
        <v>11.227119750976563</v>
      </c>
      <c r="J1128" s="94">
        <v>2478.8177910193226</v>
      </c>
      <c r="K1128" s="94">
        <v>2.3596665701957806</v>
      </c>
      <c r="L1128" s="94">
        <v>0</v>
      </c>
      <c r="M1128" s="94">
        <v>0</v>
      </c>
      <c r="N1128" s="94">
        <v>0</v>
      </c>
      <c r="O1128" s="94">
        <v>0</v>
      </c>
    </row>
    <row r="1129" spans="1:15" x14ac:dyDescent="0.25">
      <c r="A1129" s="89">
        <v>45125.333333333336</v>
      </c>
      <c r="B1129" s="94">
        <v>360.43248235950978</v>
      </c>
      <c r="C1129" s="94">
        <v>300.47000000000003</v>
      </c>
      <c r="D1129" s="94">
        <v>33.889599609374997</v>
      </c>
      <c r="E1129" s="94">
        <v>2.2708499946541219</v>
      </c>
      <c r="F1129" s="94">
        <v>1.7</v>
      </c>
      <c r="G1129" s="94">
        <v>0</v>
      </c>
      <c r="H1129" s="94">
        <v>62.518217397587755</v>
      </c>
      <c r="I1129" s="94">
        <v>11.091949615478516</v>
      </c>
      <c r="J1129" s="94">
        <v>2474.6804486644464</v>
      </c>
      <c r="K1129" s="94">
        <v>2.357482148480369</v>
      </c>
      <c r="L1129" s="94">
        <v>0</v>
      </c>
      <c r="M1129" s="94">
        <v>0</v>
      </c>
      <c r="N1129" s="94">
        <v>0</v>
      </c>
      <c r="O1129" s="94">
        <v>0</v>
      </c>
    </row>
    <row r="1130" spans="1:15" x14ac:dyDescent="0.25">
      <c r="A1130" s="89">
        <v>45125.833333333336</v>
      </c>
      <c r="B1130" s="94">
        <v>360.44</v>
      </c>
      <c r="C1130" s="94">
        <v>300.3</v>
      </c>
      <c r="D1130" s="94">
        <v>34.955930158921625</v>
      </c>
      <c r="E1130" s="94">
        <v>2.2756544869742839</v>
      </c>
      <c r="F1130" s="94">
        <v>0.65536671165771243</v>
      </c>
      <c r="G1130" s="94">
        <v>0</v>
      </c>
      <c r="H1130" s="94">
        <v>44.303923931284032</v>
      </c>
      <c r="I1130" s="94">
        <v>6.2135923060391152</v>
      </c>
      <c r="J1130" s="94">
        <v>1785.9832935751253</v>
      </c>
      <c r="K1130" s="94">
        <v>2.1696683950138032</v>
      </c>
      <c r="L1130" s="94">
        <v>0</v>
      </c>
      <c r="M1130" s="94">
        <v>0</v>
      </c>
      <c r="N1130" s="94">
        <v>0</v>
      </c>
      <c r="O1130" s="94">
        <v>0</v>
      </c>
    </row>
    <row r="1131" spans="1:15" x14ac:dyDescent="0.25">
      <c r="A1131" s="89">
        <v>45126.333333333336</v>
      </c>
      <c r="B1131" s="94">
        <v>360.44</v>
      </c>
      <c r="C1131" s="94">
        <v>300.2908776860175</v>
      </c>
      <c r="D1131" s="94">
        <v>36.462977855507603</v>
      </c>
      <c r="E1131" s="94">
        <v>2.2799999999999998</v>
      </c>
      <c r="F1131" s="94">
        <v>0.35978499327865537</v>
      </c>
      <c r="G1131" s="94">
        <v>0</v>
      </c>
      <c r="H1131" s="94">
        <v>44.716478952069131</v>
      </c>
      <c r="I1131" s="94">
        <v>6.1607838402808053</v>
      </c>
      <c r="J1131" s="94">
        <v>1790.7999109931018</v>
      </c>
      <c r="K1131" s="94">
        <v>2.1710755736073808</v>
      </c>
      <c r="L1131" s="94">
        <v>0</v>
      </c>
      <c r="M1131" s="94">
        <v>0</v>
      </c>
      <c r="N1131" s="94">
        <v>0</v>
      </c>
      <c r="O1131" s="94">
        <v>0</v>
      </c>
    </row>
    <row r="1132" spans="1:15" x14ac:dyDescent="0.25">
      <c r="A1132" s="89">
        <v>45126.833333333336</v>
      </c>
      <c r="B1132" s="94">
        <v>360.44</v>
      </c>
      <c r="C1132" s="94">
        <v>300.39999999999998</v>
      </c>
      <c r="D1132" s="94">
        <v>55.28453867134418</v>
      </c>
      <c r="E1132" s="94">
        <v>4.4090879902148155</v>
      </c>
      <c r="F1132" s="94">
        <v>1.3</v>
      </c>
      <c r="G1132" s="94">
        <v>0</v>
      </c>
      <c r="H1132" s="94">
        <v>44.953696557274917</v>
      </c>
      <c r="I1132" s="94">
        <v>6.1380588849576831</v>
      </c>
      <c r="J1132" s="94">
        <v>2113.2275171021147</v>
      </c>
      <c r="K1132" s="94">
        <v>2.26371076536152</v>
      </c>
      <c r="L1132" s="94">
        <v>0</v>
      </c>
      <c r="M1132" s="94">
        <v>0</v>
      </c>
      <c r="N1132" s="94">
        <v>0</v>
      </c>
      <c r="O1132" s="94">
        <v>0</v>
      </c>
    </row>
    <row r="1133" spans="1:15" x14ac:dyDescent="0.25">
      <c r="A1133" s="89">
        <v>45127.333333333336</v>
      </c>
      <c r="B1133" s="94">
        <v>360.44526710816598</v>
      </c>
      <c r="C1133" s="94">
        <v>300.40270043825399</v>
      </c>
      <c r="D1133" s="94">
        <v>55.3</v>
      </c>
      <c r="E1133" s="94">
        <v>4.3673501586914067</v>
      </c>
      <c r="F1133" s="94">
        <v>1.1658392608344943</v>
      </c>
      <c r="G1133" s="94">
        <v>0</v>
      </c>
      <c r="H1133" s="94">
        <v>44.705671686265568</v>
      </c>
      <c r="I1133" s="94">
        <v>6.2116999481723116</v>
      </c>
      <c r="J1133" s="94">
        <v>2103.3954535753151</v>
      </c>
      <c r="K1133" s="94">
        <v>2.2629999999999999</v>
      </c>
      <c r="L1133" s="94">
        <v>0</v>
      </c>
      <c r="M1133" s="94">
        <v>0</v>
      </c>
      <c r="N1133" s="94">
        <v>0</v>
      </c>
      <c r="O1133" s="94">
        <v>0</v>
      </c>
    </row>
    <row r="1134" spans="1:15" x14ac:dyDescent="0.25">
      <c r="A1134" s="89">
        <v>45127.833333333336</v>
      </c>
      <c r="B1134" s="94">
        <v>360.46</v>
      </c>
      <c r="C1134" s="94">
        <v>300.25974490266157</v>
      </c>
      <c r="D1134" s="94">
        <v>65.568481809754218</v>
      </c>
      <c r="E1134" s="94">
        <v>5.634879753088935</v>
      </c>
      <c r="F1134" s="94">
        <v>42.9</v>
      </c>
      <c r="G1134" s="94">
        <v>2.3980646129465999</v>
      </c>
      <c r="H1134" s="94">
        <v>0.40817982866129265</v>
      </c>
      <c r="I1134" s="94">
        <v>0</v>
      </c>
      <c r="J1134" s="94">
        <v>1494.2014927664061</v>
      </c>
      <c r="K1134" s="94">
        <v>2.0763224944451073</v>
      </c>
      <c r="L1134" s="94">
        <v>0</v>
      </c>
      <c r="M1134" s="94">
        <v>0</v>
      </c>
      <c r="N1134" s="94">
        <v>0</v>
      </c>
      <c r="O1134" s="94">
        <v>0</v>
      </c>
    </row>
    <row r="1135" spans="1:15" x14ac:dyDescent="0.25">
      <c r="A1135" s="89">
        <v>45128.333333333336</v>
      </c>
      <c r="B1135" s="94">
        <v>360.46544242362302</v>
      </c>
      <c r="C1135" s="94">
        <v>300.25482311838635</v>
      </c>
      <c r="D1135" s="94">
        <v>66.068015373118385</v>
      </c>
      <c r="E1135" s="94">
        <v>5.6429603168989173</v>
      </c>
      <c r="F1135" s="94">
        <v>42.941882792115877</v>
      </c>
      <c r="G1135" s="94">
        <v>2.37854135544648</v>
      </c>
      <c r="H1135" s="94">
        <v>1.3141061672710324</v>
      </c>
      <c r="I1135" s="94">
        <v>0</v>
      </c>
      <c r="J1135" s="94">
        <v>1496</v>
      </c>
      <c r="K1135" s="94">
        <v>2.0765906985741989</v>
      </c>
      <c r="L1135" s="94">
        <v>0</v>
      </c>
      <c r="M1135" s="94">
        <v>0</v>
      </c>
      <c r="N1135" s="94">
        <v>0</v>
      </c>
      <c r="O1135" s="94">
        <v>0</v>
      </c>
    </row>
    <row r="1136" spans="1:15" x14ac:dyDescent="0.25">
      <c r="A1136" s="89">
        <v>45128.833333333336</v>
      </c>
      <c r="B1136" s="94">
        <v>360.48</v>
      </c>
      <c r="C1136" s="94">
        <v>300.41057556491552</v>
      </c>
      <c r="D1136" s="94">
        <v>69.479626027252365</v>
      </c>
      <c r="E1136" s="94">
        <v>5.7556492833180846</v>
      </c>
      <c r="F1136" s="94">
        <v>71.463996700980729</v>
      </c>
      <c r="G1136" s="94">
        <v>5.7474658827066669</v>
      </c>
      <c r="H1136" s="94">
        <v>1.3482917699288846</v>
      </c>
      <c r="I1136" s="94">
        <v>0</v>
      </c>
      <c r="J1136" s="94">
        <v>2030.2099540395161</v>
      </c>
      <c r="K1136" s="94">
        <v>2.2411609266583632</v>
      </c>
      <c r="L1136" s="94">
        <v>0</v>
      </c>
      <c r="M1136" s="94">
        <v>0</v>
      </c>
      <c r="N1136" s="94">
        <v>0</v>
      </c>
      <c r="O1136" s="94">
        <v>0</v>
      </c>
    </row>
    <row r="1137" spans="1:15" x14ac:dyDescent="0.25">
      <c r="A1137" s="89">
        <v>45129.333333333336</v>
      </c>
      <c r="B1137" s="94">
        <v>360.48</v>
      </c>
      <c r="C1137" s="94">
        <v>300.41852779223626</v>
      </c>
      <c r="D1137" s="94">
        <v>70.3</v>
      </c>
      <c r="E1137" s="94">
        <v>5.7372193549703194</v>
      </c>
      <c r="F1137" s="94">
        <v>70.2</v>
      </c>
      <c r="G1137" s="94">
        <v>5.7687699890136717</v>
      </c>
      <c r="H1137" s="94">
        <v>1.4845673542006319</v>
      </c>
      <c r="I1137" s="94">
        <v>0</v>
      </c>
      <c r="J1137" s="94">
        <v>2031</v>
      </c>
      <c r="K1137" s="94">
        <v>2.2405227254674425</v>
      </c>
      <c r="L1137" s="94">
        <v>0</v>
      </c>
      <c r="M1137" s="94">
        <v>0</v>
      </c>
      <c r="N1137" s="94">
        <v>0</v>
      </c>
      <c r="O1137" s="94">
        <v>0</v>
      </c>
    </row>
    <row r="1138" spans="1:15" x14ac:dyDescent="0.25">
      <c r="A1138" s="89">
        <v>45129.833333333336</v>
      </c>
      <c r="B1138" s="94">
        <v>360.48</v>
      </c>
      <c r="C1138" s="94">
        <v>300.2</v>
      </c>
      <c r="D1138" s="94">
        <v>44.7</v>
      </c>
      <c r="E1138" s="94">
        <v>2.9589153414835923</v>
      </c>
      <c r="F1138" s="94">
        <v>56.175994963569984</v>
      </c>
      <c r="G1138" s="94">
        <v>3.9489192997182085</v>
      </c>
      <c r="H1138" s="94">
        <v>1.4</v>
      </c>
      <c r="I1138" s="94">
        <v>0</v>
      </c>
      <c r="J1138" s="94">
        <v>1327.4076030494587</v>
      </c>
      <c r="K1138" s="94">
        <v>2.0174649469503807</v>
      </c>
      <c r="L1138" s="94">
        <v>0</v>
      </c>
      <c r="M1138" s="94">
        <v>0</v>
      </c>
      <c r="N1138" s="94">
        <v>0</v>
      </c>
      <c r="O1138" s="94">
        <v>0</v>
      </c>
    </row>
    <row r="1139" spans="1:15" x14ac:dyDescent="0.25">
      <c r="A1139" s="89">
        <v>45130.333333333336</v>
      </c>
      <c r="B1139" s="94">
        <v>360.48</v>
      </c>
      <c r="C1139" s="94">
        <v>300.2</v>
      </c>
      <c r="D1139" s="94">
        <v>42.435507676997901</v>
      </c>
      <c r="E1139" s="94">
        <v>3.0327891425271285</v>
      </c>
      <c r="F1139" s="94">
        <v>55.717008091545793</v>
      </c>
      <c r="G1139" s="94">
        <v>3.8845346178470166</v>
      </c>
      <c r="H1139" s="94">
        <v>1.6</v>
      </c>
      <c r="I1139" s="94">
        <v>0</v>
      </c>
      <c r="J1139" s="94">
        <v>1325</v>
      </c>
      <c r="K1139" s="94">
        <v>2.0179999999999998</v>
      </c>
      <c r="L1139" s="94">
        <v>0</v>
      </c>
      <c r="M1139" s="94">
        <v>0</v>
      </c>
      <c r="N1139" s="94">
        <v>0</v>
      </c>
      <c r="O1139" s="94">
        <v>0</v>
      </c>
    </row>
    <row r="1140" spans="1:15" x14ac:dyDescent="0.25">
      <c r="A1140" s="89">
        <v>45130.833333333336</v>
      </c>
      <c r="B1140" s="94">
        <v>360.48</v>
      </c>
      <c r="C1140" s="94">
        <v>300.34461852274052</v>
      </c>
      <c r="D1140" s="94">
        <v>46.5</v>
      </c>
      <c r="E1140" s="94">
        <v>3.0104317252156325</v>
      </c>
      <c r="F1140" s="94">
        <v>78.431086597671765</v>
      </c>
      <c r="G1140" s="94">
        <v>6.7512038567493109</v>
      </c>
      <c r="H1140" s="94">
        <v>1.4815053823518456</v>
      </c>
      <c r="I1140" s="94">
        <v>0</v>
      </c>
      <c r="J1140" s="94">
        <v>1774</v>
      </c>
      <c r="K1140" s="94">
        <v>2.1659999999999999</v>
      </c>
      <c r="L1140" s="94">
        <v>0</v>
      </c>
      <c r="M1140" s="94">
        <v>0</v>
      </c>
      <c r="N1140" s="94">
        <v>0</v>
      </c>
      <c r="O1140" s="94">
        <v>0</v>
      </c>
    </row>
    <row r="1141" spans="1:15" x14ac:dyDescent="0.25">
      <c r="A1141" s="89">
        <v>45131.333333333336</v>
      </c>
      <c r="B1141" s="94">
        <v>360.48553453553137</v>
      </c>
      <c r="C1141" s="94">
        <v>300.34868358863469</v>
      </c>
      <c r="D1141" s="94">
        <v>46.469734700708415</v>
      </c>
      <c r="E1141" s="94">
        <v>3.026749725341797</v>
      </c>
      <c r="F1141" s="94">
        <v>78.680307386824282</v>
      </c>
      <c r="G1141" s="94">
        <v>6.7708801269531254</v>
      </c>
      <c r="H1141" s="94">
        <v>1.5559751035110296</v>
      </c>
      <c r="I1141" s="94">
        <v>0</v>
      </c>
      <c r="J1141" s="94">
        <v>1771.5953791849527</v>
      </c>
      <c r="K1141" s="94">
        <v>2.1666664569200647</v>
      </c>
      <c r="L1141" s="94">
        <v>0</v>
      </c>
      <c r="M1141" s="94">
        <v>0</v>
      </c>
      <c r="N1141" s="94">
        <v>0</v>
      </c>
      <c r="O1141" s="94">
        <v>0</v>
      </c>
    </row>
    <row r="1142" spans="1:15" x14ac:dyDescent="0.25">
      <c r="A1142" s="89">
        <v>45131.833333333336</v>
      </c>
      <c r="B1142" s="94">
        <v>360.5</v>
      </c>
      <c r="C1142" s="94">
        <v>300.14</v>
      </c>
      <c r="D1142" s="94">
        <v>42.430224499331558</v>
      </c>
      <c r="E1142" s="94">
        <v>2.9813633514257321</v>
      </c>
      <c r="F1142" s="94">
        <v>44.4</v>
      </c>
      <c r="G1142" s="94">
        <v>2.9934612794612794</v>
      </c>
      <c r="H1142" s="94">
        <v>1.4384250640869141</v>
      </c>
      <c r="I1142" s="94">
        <v>0</v>
      </c>
      <c r="J1142" s="94">
        <v>1184</v>
      </c>
      <c r="K1142" s="94">
        <v>1.964</v>
      </c>
      <c r="L1142" s="94">
        <v>0</v>
      </c>
      <c r="M1142" s="94">
        <v>0</v>
      </c>
      <c r="N1142" s="94">
        <v>0</v>
      </c>
      <c r="O1142" s="94">
        <v>0</v>
      </c>
    </row>
    <row r="1143" spans="1:15" x14ac:dyDescent="0.25">
      <c r="A1143" s="89">
        <v>45132.333333333336</v>
      </c>
      <c r="B1143" s="94">
        <v>360.50572680876087</v>
      </c>
      <c r="C1143" s="94">
        <v>300.13418079129917</v>
      </c>
      <c r="D1143" s="94">
        <v>43.342732263043168</v>
      </c>
      <c r="E1143" s="94">
        <v>2.9770495605468752</v>
      </c>
      <c r="F1143" s="94">
        <v>44.662348234014253</v>
      </c>
      <c r="G1143" s="94">
        <v>2.97</v>
      </c>
      <c r="H1143" s="94">
        <v>1.581024865767648</v>
      </c>
      <c r="I1143" s="94">
        <v>0</v>
      </c>
      <c r="J1143" s="94">
        <v>1185.1869491285659</v>
      </c>
      <c r="K1143" s="94">
        <v>1.96433137141013</v>
      </c>
      <c r="L1143" s="94">
        <v>0</v>
      </c>
      <c r="M1143" s="94">
        <v>0</v>
      </c>
      <c r="N1143" s="94">
        <v>0</v>
      </c>
      <c r="O1143" s="94">
        <v>0</v>
      </c>
    </row>
    <row r="1144" spans="1:15" x14ac:dyDescent="0.25">
      <c r="A1144" s="89">
        <v>45132.833333333336</v>
      </c>
      <c r="B1144" s="94">
        <v>360.52</v>
      </c>
      <c r="C1144" s="94">
        <v>300.32808330586437</v>
      </c>
      <c r="D1144" s="94">
        <v>45.374366251627599</v>
      </c>
      <c r="E1144" s="94">
        <v>2.9984651884296012</v>
      </c>
      <c r="F1144" s="94">
        <v>77.2</v>
      </c>
      <c r="G1144" s="94">
        <v>6.5851238058299995</v>
      </c>
      <c r="H1144" s="94">
        <v>1.4447198271226251</v>
      </c>
      <c r="I1144" s="94">
        <v>0</v>
      </c>
      <c r="J1144" s="94">
        <v>1748.9974082813494</v>
      </c>
      <c r="K1144" s="94">
        <v>2.1587774535131059</v>
      </c>
      <c r="L1144" s="94">
        <v>0</v>
      </c>
      <c r="M1144" s="94">
        <v>0</v>
      </c>
      <c r="N1144" s="94">
        <v>0</v>
      </c>
      <c r="O1144" s="94">
        <v>0</v>
      </c>
    </row>
    <row r="1145" spans="1:15" x14ac:dyDescent="0.25">
      <c r="A1145" s="89">
        <v>45133.333333333336</v>
      </c>
      <c r="B1145" s="94">
        <v>360.52</v>
      </c>
      <c r="C1145" s="94">
        <v>300.32512516992256</v>
      </c>
      <c r="D1145" s="94">
        <v>44.978423384819401</v>
      </c>
      <c r="E1145" s="94">
        <v>3.0023899841308594</v>
      </c>
      <c r="F1145" s="94">
        <v>75.834460944997545</v>
      </c>
      <c r="G1145" s="94">
        <v>6.5221375872686806</v>
      </c>
      <c r="H1145" s="94">
        <v>1.6</v>
      </c>
      <c r="I1145" s="94">
        <v>0</v>
      </c>
      <c r="J1145" s="94">
        <v>1741</v>
      </c>
      <c r="K1145" s="94">
        <v>2.1566984002979277</v>
      </c>
      <c r="L1145" s="94">
        <v>0</v>
      </c>
      <c r="M1145" s="94">
        <v>0</v>
      </c>
      <c r="N1145" s="94">
        <v>0</v>
      </c>
      <c r="O1145" s="94">
        <v>0</v>
      </c>
    </row>
    <row r="1146" spans="1:15" x14ac:dyDescent="0.25">
      <c r="A1146" s="89">
        <v>45133.833333333336</v>
      </c>
      <c r="B1146" s="94">
        <v>360.52</v>
      </c>
      <c r="C1146" s="94">
        <v>300.12</v>
      </c>
      <c r="D1146" s="94">
        <v>41.976277656023548</v>
      </c>
      <c r="E1146" s="94">
        <v>2.9238761562571671</v>
      </c>
      <c r="F1146" s="94">
        <v>40.91318373734093</v>
      </c>
      <c r="G1146" s="94">
        <v>2.851763779527559</v>
      </c>
      <c r="H1146" s="94">
        <v>1.4955088103819474</v>
      </c>
      <c r="I1146" s="94">
        <v>0</v>
      </c>
      <c r="J1146" s="94">
        <v>1146.703462961889</v>
      </c>
      <c r="K1146" s="94">
        <v>1.9497318180034715</v>
      </c>
      <c r="L1146" s="94">
        <v>0</v>
      </c>
      <c r="M1146" s="94">
        <v>0</v>
      </c>
      <c r="N1146" s="94">
        <v>0</v>
      </c>
      <c r="O1146" s="94">
        <v>0</v>
      </c>
    </row>
    <row r="1147" spans="1:15" x14ac:dyDescent="0.25">
      <c r="A1147" s="89">
        <v>45134.333333333336</v>
      </c>
      <c r="B1147" s="94">
        <v>360.52295336402881</v>
      </c>
      <c r="C1147" s="94">
        <v>300.12</v>
      </c>
      <c r="D1147" s="94">
        <v>40.799999999999997</v>
      </c>
      <c r="E1147" s="94">
        <v>2.9263070691073008</v>
      </c>
      <c r="F1147" s="94">
        <v>40.921943010602675</v>
      </c>
      <c r="G1147" s="94">
        <v>2.8889806713209962</v>
      </c>
      <c r="H1147" s="94">
        <v>1.5093546087091618</v>
      </c>
      <c r="I1147" s="94">
        <v>0</v>
      </c>
      <c r="J1147" s="94">
        <v>1151.0100331722924</v>
      </c>
      <c r="K1147" s="94">
        <v>1.95</v>
      </c>
      <c r="L1147" s="94">
        <v>0</v>
      </c>
      <c r="M1147" s="94">
        <v>0</v>
      </c>
      <c r="N1147" s="94">
        <v>0</v>
      </c>
      <c r="O1147" s="94">
        <v>0</v>
      </c>
    </row>
    <row r="1148" spans="1:15" x14ac:dyDescent="0.25">
      <c r="A1148" s="89">
        <v>45134.833333333336</v>
      </c>
      <c r="B1148" s="94">
        <v>360.53</v>
      </c>
      <c r="C1148" s="94">
        <v>299.76</v>
      </c>
      <c r="D1148" s="94">
        <v>35.4</v>
      </c>
      <c r="E1148" s="94">
        <v>2.3129764336453156</v>
      </c>
      <c r="F1148" s="94">
        <v>0.54254281180245534</v>
      </c>
      <c r="G1148" s="94">
        <v>0</v>
      </c>
      <c r="H1148" s="94">
        <v>1.5991813465648568</v>
      </c>
      <c r="I1148" s="94">
        <v>0</v>
      </c>
      <c r="J1148" s="94">
        <v>505.59707038803271</v>
      </c>
      <c r="K1148" s="94">
        <v>1.5851996510191959</v>
      </c>
      <c r="L1148" s="94">
        <v>0</v>
      </c>
      <c r="M1148" s="94">
        <v>0</v>
      </c>
      <c r="N1148" s="94">
        <v>0</v>
      </c>
      <c r="O1148" s="94">
        <v>0</v>
      </c>
    </row>
    <row r="1149" spans="1:15" x14ac:dyDescent="0.25">
      <c r="A1149" s="89">
        <v>45135.333333333336</v>
      </c>
      <c r="B1149" s="94">
        <v>360.53317930903353</v>
      </c>
      <c r="C1149" s="94">
        <v>299.75647506713864</v>
      </c>
      <c r="D1149" s="94">
        <v>35.6</v>
      </c>
      <c r="E1149" s="94">
        <v>2.2707969847107816</v>
      </c>
      <c r="F1149" s="94">
        <v>1.5518378688015997</v>
      </c>
      <c r="G1149" s="94">
        <v>0</v>
      </c>
      <c r="H1149" s="94">
        <v>1.5919249534606934</v>
      </c>
      <c r="I1149" s="94">
        <v>0</v>
      </c>
      <c r="J1149" s="94">
        <v>508</v>
      </c>
      <c r="K1149" s="94">
        <v>1.5860000000000001</v>
      </c>
      <c r="L1149" s="94">
        <v>0</v>
      </c>
      <c r="M1149" s="94">
        <v>0</v>
      </c>
      <c r="N1149" s="94">
        <v>0</v>
      </c>
      <c r="O1149" s="94">
        <v>0</v>
      </c>
    </row>
    <row r="1150" spans="1:15" x14ac:dyDescent="0.25">
      <c r="A1150" s="89">
        <v>45135.833333333336</v>
      </c>
      <c r="B1150" s="94">
        <v>360.54</v>
      </c>
      <c r="C1150" s="94">
        <v>299.95999999999998</v>
      </c>
      <c r="D1150" s="94">
        <v>56.875807449665473</v>
      </c>
      <c r="E1150" s="94">
        <v>4.3904107161949568</v>
      </c>
      <c r="F1150" s="94">
        <v>1.6840112230479114</v>
      </c>
      <c r="G1150" s="94">
        <v>0</v>
      </c>
      <c r="H1150" s="94">
        <v>1.5</v>
      </c>
      <c r="I1150" s="94">
        <v>0</v>
      </c>
      <c r="J1150" s="94">
        <v>770</v>
      </c>
      <c r="K1150" s="94">
        <v>1.772</v>
      </c>
      <c r="L1150" s="94">
        <v>0</v>
      </c>
      <c r="M1150" s="94">
        <v>0</v>
      </c>
      <c r="N1150" s="94">
        <v>0</v>
      </c>
      <c r="O1150" s="94">
        <v>0</v>
      </c>
    </row>
    <row r="1151" spans="1:15" x14ac:dyDescent="0.25">
      <c r="A1151" s="89">
        <v>45136.333333333336</v>
      </c>
      <c r="B1151" s="94">
        <v>360.54</v>
      </c>
      <c r="C1151" s="94">
        <v>299.95487845559842</v>
      </c>
      <c r="D1151" s="94">
        <v>57.1</v>
      </c>
      <c r="E1151" s="94">
        <v>4.383207544302258</v>
      </c>
      <c r="F1151" s="94">
        <v>1.678302353566389</v>
      </c>
      <c r="G1151" s="94">
        <v>0</v>
      </c>
      <c r="H1151" s="94">
        <v>1.5728432406020902</v>
      </c>
      <c r="I1151" s="94">
        <v>0</v>
      </c>
      <c r="J1151" s="94">
        <v>770</v>
      </c>
      <c r="K1151" s="94">
        <v>1.772</v>
      </c>
      <c r="L1151" s="94">
        <v>0</v>
      </c>
      <c r="M1151" s="94">
        <v>0</v>
      </c>
      <c r="N1151" s="94">
        <v>0</v>
      </c>
      <c r="O1151" s="94">
        <v>0</v>
      </c>
    </row>
    <row r="1152" spans="1:15" x14ac:dyDescent="0.25">
      <c r="A1152" s="89">
        <v>45136.833333333336</v>
      </c>
      <c r="B1152" s="94">
        <v>360.54</v>
      </c>
      <c r="C1152" s="94">
        <v>299.756933144068</v>
      </c>
      <c r="D1152" s="94">
        <v>33.742159433343389</v>
      </c>
      <c r="E1152" s="94">
        <v>2.2604196518398827</v>
      </c>
      <c r="F1152" s="94">
        <v>1.7958034816011708</v>
      </c>
      <c r="G1152" s="94">
        <v>0</v>
      </c>
      <c r="H1152" s="94">
        <v>1.4827331542968749</v>
      </c>
      <c r="I1152" s="94">
        <v>0</v>
      </c>
      <c r="J1152" s="94">
        <v>505.29595486781818</v>
      </c>
      <c r="K1152" s="94">
        <v>1.5832973694561168</v>
      </c>
      <c r="L1152" s="94">
        <v>0</v>
      </c>
      <c r="M1152" s="94">
        <v>0</v>
      </c>
      <c r="N1152" s="94">
        <v>0</v>
      </c>
      <c r="O1152" s="94">
        <v>0</v>
      </c>
    </row>
    <row r="1153" spans="1:15" x14ac:dyDescent="0.25">
      <c r="A1153" s="89">
        <v>45137.333333333336</v>
      </c>
      <c r="B1153" s="94">
        <v>360.54</v>
      </c>
      <c r="C1153" s="94">
        <v>299.75694105489896</v>
      </c>
      <c r="D1153" s="94">
        <v>34.9</v>
      </c>
      <c r="E1153" s="94">
        <v>2.2817217045975253</v>
      </c>
      <c r="F1153" s="94">
        <v>1.6914745196270922</v>
      </c>
      <c r="G1153" s="94">
        <v>0</v>
      </c>
      <c r="H1153" s="94">
        <v>1.4115892031153612</v>
      </c>
      <c r="I1153" s="94">
        <v>0</v>
      </c>
      <c r="J1153" s="94">
        <v>508</v>
      </c>
      <c r="K1153" s="94">
        <v>1.5860000000000001</v>
      </c>
      <c r="L1153" s="94">
        <v>0</v>
      </c>
      <c r="M1153" s="94">
        <v>0</v>
      </c>
      <c r="N1153" s="94">
        <v>0</v>
      </c>
      <c r="O1153" s="94">
        <v>0</v>
      </c>
    </row>
    <row r="1154" spans="1:15" x14ac:dyDescent="0.25">
      <c r="A1154" s="89">
        <v>45137.833333333336</v>
      </c>
      <c r="B1154" s="94">
        <v>360.54</v>
      </c>
      <c r="C1154" s="94">
        <v>299.76</v>
      </c>
      <c r="D1154" s="94">
        <v>35.85260606987233</v>
      </c>
      <c r="E1154" s="94">
        <v>2.293165936411639</v>
      </c>
      <c r="F1154" s="94">
        <v>1.8</v>
      </c>
      <c r="G1154" s="94">
        <v>0</v>
      </c>
      <c r="H1154" s="94">
        <v>1.4172726440150196</v>
      </c>
      <c r="I1154" s="94">
        <v>0</v>
      </c>
      <c r="J1154" s="94">
        <v>508</v>
      </c>
      <c r="K1154" s="94">
        <v>1.5869857683070581</v>
      </c>
      <c r="L1154" s="94">
        <v>0</v>
      </c>
      <c r="M1154" s="94">
        <v>0</v>
      </c>
      <c r="N1154" s="94">
        <v>0</v>
      </c>
      <c r="O1154" s="94">
        <v>0</v>
      </c>
    </row>
    <row r="1155" spans="1:15" x14ac:dyDescent="0.25">
      <c r="A1155" s="89">
        <v>45138.333333333336</v>
      </c>
      <c r="B1155" s="94">
        <v>360.54</v>
      </c>
      <c r="C1155" s="94">
        <v>299.76</v>
      </c>
      <c r="D1155" s="94">
        <v>35.4286080078125</v>
      </c>
      <c r="E1155" s="94">
        <v>2.2795599365234374</v>
      </c>
      <c r="F1155" s="94">
        <v>1.678836952908161</v>
      </c>
      <c r="G1155" s="94">
        <v>0</v>
      </c>
      <c r="H1155" s="94">
        <v>1.5178811426954597</v>
      </c>
      <c r="I1155" s="94">
        <v>0</v>
      </c>
      <c r="J1155" s="94">
        <v>510.40592688182096</v>
      </c>
      <c r="K1155" s="94">
        <v>1.5879645884917148</v>
      </c>
      <c r="L1155" s="94">
        <v>0</v>
      </c>
      <c r="M1155" s="94">
        <v>0</v>
      </c>
      <c r="N1155" s="94">
        <v>0</v>
      </c>
      <c r="O1155" s="94">
        <v>0</v>
      </c>
    </row>
    <row r="1156" spans="1:15" x14ac:dyDescent="0.25">
      <c r="A1156" s="89">
        <v>45138.833333333336</v>
      </c>
      <c r="B1156" s="94">
        <v>360.54</v>
      </c>
      <c r="C1156" s="94">
        <v>299.92666271774107</v>
      </c>
      <c r="D1156" s="94">
        <v>55.5</v>
      </c>
      <c r="E1156" s="94">
        <v>3.8768739647643429</v>
      </c>
      <c r="F1156" s="94">
        <v>1.8525479794515327</v>
      </c>
      <c r="G1156" s="94">
        <v>0</v>
      </c>
      <c r="H1156" s="94">
        <v>1.4819592088624827</v>
      </c>
      <c r="I1156" s="94">
        <v>0</v>
      </c>
      <c r="J1156" s="94">
        <v>734</v>
      </c>
      <c r="K1156" s="94">
        <v>1.744</v>
      </c>
      <c r="L1156" s="94">
        <v>0</v>
      </c>
      <c r="M1156" s="94">
        <v>0</v>
      </c>
      <c r="N1156" s="94">
        <v>0</v>
      </c>
      <c r="O1156" s="94">
        <v>0</v>
      </c>
    </row>
    <row r="1157" spans="1:15" x14ac:dyDescent="0.25">
      <c r="A1157" s="89">
        <v>45139.333333333336</v>
      </c>
      <c r="B1157" s="94">
        <v>360.5751729393474</v>
      </c>
      <c r="C1157" s="94">
        <v>299.93</v>
      </c>
      <c r="D1157" s="94">
        <v>54.507216884504651</v>
      </c>
      <c r="E1157" s="94">
        <v>4.0354191589355475</v>
      </c>
      <c r="F1157" s="94">
        <v>1.7178518601777102</v>
      </c>
      <c r="G1157" s="94">
        <v>0</v>
      </c>
      <c r="H1157" s="94">
        <v>1.4314889333650049</v>
      </c>
      <c r="I1157" s="94">
        <v>0</v>
      </c>
      <c r="J1157" s="94">
        <v>734.19764115646137</v>
      </c>
      <c r="K1157" s="94">
        <v>1.744</v>
      </c>
      <c r="L1157" s="94">
        <v>0</v>
      </c>
      <c r="M1157" s="94">
        <v>0</v>
      </c>
      <c r="N1157" s="94">
        <v>0</v>
      </c>
      <c r="O1157" s="94">
        <v>0</v>
      </c>
    </row>
    <row r="1158" spans="1:15" x14ac:dyDescent="0.25">
      <c r="A1158" s="89">
        <v>45139.833333333336</v>
      </c>
      <c r="B1158" s="94">
        <v>360.65</v>
      </c>
      <c r="C1158" s="94">
        <v>299.94</v>
      </c>
      <c r="D1158" s="94">
        <v>55.3</v>
      </c>
      <c r="E1158" s="94">
        <v>4.2413187907560506</v>
      </c>
      <c r="F1158" s="94">
        <v>1.8568426339420785</v>
      </c>
      <c r="G1158" s="94">
        <v>0</v>
      </c>
      <c r="H1158" s="94">
        <v>1.4507952708164915</v>
      </c>
      <c r="I1158" s="94">
        <v>0</v>
      </c>
      <c r="J1158" s="94">
        <v>761.19802090590201</v>
      </c>
      <c r="K1158" s="94">
        <v>1.766329577064754</v>
      </c>
      <c r="L1158" s="94">
        <v>0</v>
      </c>
      <c r="M1158" s="94">
        <v>0</v>
      </c>
      <c r="N1158" s="94">
        <v>0</v>
      </c>
      <c r="O1158" s="94">
        <v>0</v>
      </c>
    </row>
    <row r="1159" spans="1:15" x14ac:dyDescent="0.25">
      <c r="A1159" s="89">
        <v>45140.333333333336</v>
      </c>
      <c r="B1159" s="94">
        <v>360.66403767086689</v>
      </c>
      <c r="C1159" s="94">
        <v>299.94219827430862</v>
      </c>
      <c r="D1159" s="94">
        <v>55.079572568382609</v>
      </c>
      <c r="E1159" s="94">
        <v>4.3099999999999996</v>
      </c>
      <c r="F1159" s="94">
        <v>1.7106768838173851</v>
      </c>
      <c r="G1159" s="94">
        <v>0</v>
      </c>
      <c r="H1159" s="94">
        <v>1.5</v>
      </c>
      <c r="I1159" s="94">
        <v>0</v>
      </c>
      <c r="J1159" s="94">
        <v>762.60188301445373</v>
      </c>
      <c r="K1159" s="94">
        <v>1.7669999999999999</v>
      </c>
      <c r="L1159" s="94">
        <v>0</v>
      </c>
      <c r="M1159" s="94">
        <v>0</v>
      </c>
      <c r="N1159" s="94">
        <v>0</v>
      </c>
      <c r="O1159" s="94">
        <v>0</v>
      </c>
    </row>
    <row r="1160" spans="1:15" x14ac:dyDescent="0.25">
      <c r="A1160" s="89">
        <v>45140.833333333336</v>
      </c>
      <c r="B1160" s="94">
        <v>360.69</v>
      </c>
      <c r="C1160" s="94">
        <v>299.77292318953647</v>
      </c>
      <c r="D1160" s="94">
        <v>38.355390033237612</v>
      </c>
      <c r="E1160" s="94">
        <v>2.462817901893235</v>
      </c>
      <c r="F1160" s="94">
        <v>1.9</v>
      </c>
      <c r="G1160" s="94">
        <v>0</v>
      </c>
      <c r="H1160" s="94">
        <v>1.5</v>
      </c>
      <c r="I1160" s="94">
        <v>0</v>
      </c>
      <c r="J1160" s="94">
        <v>533.40501545639006</v>
      </c>
      <c r="K1160" s="94">
        <v>1.6053761434695681</v>
      </c>
      <c r="L1160" s="94">
        <v>0</v>
      </c>
      <c r="M1160" s="94">
        <v>0</v>
      </c>
      <c r="N1160" s="94">
        <v>0</v>
      </c>
      <c r="O1160" s="94">
        <v>0</v>
      </c>
    </row>
    <row r="1161" spans="1:15" x14ac:dyDescent="0.25">
      <c r="A1161" s="89">
        <v>45141.333333333336</v>
      </c>
      <c r="B1161" s="94">
        <v>360.69402717239745</v>
      </c>
      <c r="C1161" s="94">
        <v>299.77999999999997</v>
      </c>
      <c r="D1161" s="94">
        <v>40.013607283118198</v>
      </c>
      <c r="E1161" s="94">
        <v>2.487299346923828</v>
      </c>
      <c r="F1161" s="94">
        <v>1.6441625930832839</v>
      </c>
      <c r="G1161" s="94">
        <v>0</v>
      </c>
      <c r="H1161" s="94">
        <v>1.6</v>
      </c>
      <c r="I1161" s="94">
        <v>0</v>
      </c>
      <c r="J1161" s="94">
        <v>534.59970030986119</v>
      </c>
      <c r="K1161" s="94">
        <v>1.6060000000000001</v>
      </c>
      <c r="L1161" s="94">
        <v>0</v>
      </c>
      <c r="M1161" s="94">
        <v>0</v>
      </c>
      <c r="N1161" s="94">
        <v>0</v>
      </c>
      <c r="O1161" s="94">
        <v>0</v>
      </c>
    </row>
    <row r="1162" spans="1:15" x14ac:dyDescent="0.25">
      <c r="A1162" s="89">
        <v>45141.833333333336</v>
      </c>
      <c r="B1162" s="94">
        <v>360.7</v>
      </c>
      <c r="C1162" s="94">
        <v>299.75</v>
      </c>
      <c r="D1162" s="94">
        <v>35.9</v>
      </c>
      <c r="E1162" s="94">
        <v>2.260360464938675</v>
      </c>
      <c r="F1162" s="94">
        <v>1.9547699496764916</v>
      </c>
      <c r="G1162" s="94">
        <v>0</v>
      </c>
      <c r="H1162" s="94">
        <v>1.4</v>
      </c>
      <c r="I1162" s="94">
        <v>0</v>
      </c>
      <c r="J1162" s="94">
        <v>505</v>
      </c>
      <c r="K1162" s="94">
        <v>1.5811350970771565</v>
      </c>
      <c r="L1162" s="94">
        <v>0</v>
      </c>
      <c r="M1162" s="94">
        <v>0</v>
      </c>
      <c r="N1162" s="94">
        <v>0</v>
      </c>
      <c r="O1162" s="94">
        <v>0</v>
      </c>
    </row>
    <row r="1163" spans="1:15" x14ac:dyDescent="0.25">
      <c r="A1163" s="89">
        <v>45142.333333333336</v>
      </c>
      <c r="B1163" s="94">
        <v>360.70834992020218</v>
      </c>
      <c r="C1163" s="94">
        <v>299.75</v>
      </c>
      <c r="D1163" s="94">
        <v>30.502505924623499</v>
      </c>
      <c r="E1163" s="94">
        <v>2.230625228881836</v>
      </c>
      <c r="F1163" s="94">
        <v>1.7606865712173791</v>
      </c>
      <c r="G1163" s="94">
        <v>0</v>
      </c>
      <c r="H1163" s="94">
        <v>1.5</v>
      </c>
      <c r="I1163" s="94">
        <v>0</v>
      </c>
      <c r="J1163" s="94">
        <v>507.40106575735422</v>
      </c>
      <c r="K1163" s="94">
        <v>1.5852853975957324</v>
      </c>
      <c r="L1163" s="94">
        <v>0</v>
      </c>
      <c r="M1163" s="94">
        <v>0</v>
      </c>
      <c r="N1163" s="94">
        <v>0</v>
      </c>
      <c r="O1163" s="94">
        <v>0</v>
      </c>
    </row>
    <row r="1164" spans="1:15" x14ac:dyDescent="0.25">
      <c r="A1164" s="89">
        <v>45142.833333333336</v>
      </c>
      <c r="B1164" s="94">
        <v>360.72</v>
      </c>
      <c r="C1164" s="94">
        <v>300.01215558087722</v>
      </c>
      <c r="D1164" s="94">
        <v>62.675394995054887</v>
      </c>
      <c r="E1164" s="94">
        <v>5.369017812093877</v>
      </c>
      <c r="F1164" s="94">
        <v>2.1</v>
      </c>
      <c r="G1164" s="94">
        <v>0</v>
      </c>
      <c r="H1164" s="94">
        <v>1.498127361096834</v>
      </c>
      <c r="I1164" s="94">
        <v>0</v>
      </c>
      <c r="J1164" s="94">
        <v>887</v>
      </c>
      <c r="K1164" s="94">
        <v>1.8382182391160298</v>
      </c>
      <c r="L1164" s="94">
        <v>0</v>
      </c>
      <c r="M1164" s="94">
        <v>0</v>
      </c>
      <c r="N1164" s="94">
        <v>0</v>
      </c>
      <c r="O1164" s="94">
        <v>0</v>
      </c>
    </row>
    <row r="1165" spans="1:15" x14ac:dyDescent="0.25">
      <c r="A1165" s="89">
        <v>45143.333333333336</v>
      </c>
      <c r="B1165" s="94">
        <v>360.72</v>
      </c>
      <c r="C1165" s="94">
        <v>300.01</v>
      </c>
      <c r="D1165" s="94">
        <v>64.2</v>
      </c>
      <c r="E1165" s="94">
        <v>5.3508429195852161</v>
      </c>
      <c r="F1165" s="94">
        <v>1.9949062742249541</v>
      </c>
      <c r="G1165" s="94">
        <v>0</v>
      </c>
      <c r="H1165" s="94">
        <v>1.4179884123977813</v>
      </c>
      <c r="I1165" s="94">
        <v>0</v>
      </c>
      <c r="J1165" s="94">
        <v>888.19605513522993</v>
      </c>
      <c r="K1165" s="94">
        <v>1.8387031129140461</v>
      </c>
      <c r="L1165" s="94">
        <v>0</v>
      </c>
      <c r="M1165" s="94">
        <v>0</v>
      </c>
      <c r="N1165" s="94">
        <v>0</v>
      </c>
      <c r="O1165" s="94">
        <v>0</v>
      </c>
    </row>
    <row r="1166" spans="1:15" x14ac:dyDescent="0.25">
      <c r="A1166" s="89">
        <v>45143.833333333336</v>
      </c>
      <c r="B1166" s="94">
        <v>360.72</v>
      </c>
      <c r="C1166" s="94">
        <v>299.74501602163474</v>
      </c>
      <c r="D1166" s="94">
        <v>35.246810741804588</v>
      </c>
      <c r="E1166" s="94">
        <v>2.1652600097656252</v>
      </c>
      <c r="F1166" s="94">
        <v>2.0893407972321039</v>
      </c>
      <c r="G1166" s="94">
        <v>0</v>
      </c>
      <c r="H1166" s="94">
        <v>1.4</v>
      </c>
      <c r="I1166" s="94">
        <v>0</v>
      </c>
      <c r="J1166" s="94">
        <v>492</v>
      </c>
      <c r="K1166" s="94">
        <v>1.573</v>
      </c>
      <c r="L1166" s="94">
        <v>0</v>
      </c>
      <c r="M1166" s="94">
        <v>0</v>
      </c>
      <c r="N1166" s="94">
        <v>0</v>
      </c>
      <c r="O1166" s="94">
        <v>0</v>
      </c>
    </row>
    <row r="1167" spans="1:15" x14ac:dyDescent="0.25">
      <c r="A1167" s="89">
        <v>45144.333333333336</v>
      </c>
      <c r="B1167" s="94">
        <v>360.72</v>
      </c>
      <c r="C1167" s="94">
        <v>299.74</v>
      </c>
      <c r="D1167" s="94">
        <v>33.799999999999997</v>
      </c>
      <c r="E1167" s="94">
        <v>2.1556889200219285</v>
      </c>
      <c r="F1167" s="94">
        <v>1.9654846565855062</v>
      </c>
      <c r="G1167" s="94">
        <v>0</v>
      </c>
      <c r="H1167" s="94">
        <v>1.4</v>
      </c>
      <c r="I1167" s="94">
        <v>0</v>
      </c>
      <c r="J1167" s="94">
        <v>492.19842478566818</v>
      </c>
      <c r="K1167" s="94">
        <v>1.5736167867446911</v>
      </c>
      <c r="L1167" s="94">
        <v>0</v>
      </c>
      <c r="M1167" s="94">
        <v>0</v>
      </c>
      <c r="N1167" s="94">
        <v>0</v>
      </c>
      <c r="O1167" s="94">
        <v>0</v>
      </c>
    </row>
    <row r="1168" spans="1:15" x14ac:dyDescent="0.25">
      <c r="A1168" s="89">
        <v>45144.833333333336</v>
      </c>
      <c r="B1168" s="94">
        <v>360.72</v>
      </c>
      <c r="C1168" s="94">
        <v>299.84697846632736</v>
      </c>
      <c r="D1168" s="94">
        <v>44.2</v>
      </c>
      <c r="E1168" s="94">
        <v>3.21</v>
      </c>
      <c r="F1168" s="94">
        <v>2.0232183283025567</v>
      </c>
      <c r="G1168" s="94">
        <v>0</v>
      </c>
      <c r="H1168" s="94">
        <v>1.4</v>
      </c>
      <c r="I1168" s="94">
        <v>0</v>
      </c>
      <c r="J1168" s="94">
        <v>626</v>
      </c>
      <c r="K1168" s="94">
        <v>1.671</v>
      </c>
      <c r="L1168" s="94">
        <v>0</v>
      </c>
      <c r="M1168" s="94">
        <v>0</v>
      </c>
      <c r="N1168" s="94">
        <v>0</v>
      </c>
      <c r="O1168" s="94">
        <v>0</v>
      </c>
    </row>
    <row r="1169" spans="1:15" x14ac:dyDescent="0.25">
      <c r="A1169" s="89">
        <v>45145.333333333336</v>
      </c>
      <c r="B1169" s="94">
        <v>360.75919971421746</v>
      </c>
      <c r="C1169" s="94">
        <v>299.84197214399063</v>
      </c>
      <c r="D1169" s="94">
        <v>44.011410907495154</v>
      </c>
      <c r="E1169" s="94">
        <v>3.2173326317744282</v>
      </c>
      <c r="F1169" s="94">
        <v>1.7306673290279848</v>
      </c>
      <c r="G1169" s="94">
        <v>0</v>
      </c>
      <c r="H1169" s="94">
        <v>1.485516201554802</v>
      </c>
      <c r="I1169" s="94">
        <v>0</v>
      </c>
      <c r="J1169" s="94">
        <v>629.40180636422906</v>
      </c>
      <c r="K1169" s="94">
        <v>1.675</v>
      </c>
      <c r="L1169" s="94">
        <v>0</v>
      </c>
      <c r="M1169" s="94">
        <v>0.36267352761798333</v>
      </c>
      <c r="N1169" s="94">
        <v>0</v>
      </c>
      <c r="O1169" s="94">
        <v>0</v>
      </c>
    </row>
    <row r="1170" spans="1:15" x14ac:dyDescent="0.25">
      <c r="A1170" s="89">
        <v>45145.833333333336</v>
      </c>
      <c r="B1170" s="94">
        <v>360.81</v>
      </c>
      <c r="C1170" s="94">
        <v>299.74</v>
      </c>
      <c r="D1170" s="94">
        <v>35.799999999999997</v>
      </c>
      <c r="E1170" s="94">
        <v>2.1463259490762017</v>
      </c>
      <c r="F1170" s="94">
        <v>1.9484618836825034</v>
      </c>
      <c r="G1170" s="94">
        <v>0</v>
      </c>
      <c r="H1170" s="94">
        <v>1.4</v>
      </c>
      <c r="I1170" s="94">
        <v>0</v>
      </c>
      <c r="J1170" s="94">
        <v>488</v>
      </c>
      <c r="K1170" s="94">
        <v>1.570615636018651</v>
      </c>
      <c r="L1170" s="94">
        <v>0</v>
      </c>
      <c r="M1170" s="94">
        <v>0</v>
      </c>
      <c r="N1170" s="94">
        <v>0</v>
      </c>
      <c r="O1170" s="94">
        <v>0</v>
      </c>
    </row>
    <row r="1171" spans="1:15" x14ac:dyDescent="0.25">
      <c r="A1171" s="89">
        <v>45146.333333333336</v>
      </c>
      <c r="B1171" s="94">
        <v>360.81901376992005</v>
      </c>
      <c r="C1171" s="94">
        <v>299.74</v>
      </c>
      <c r="D1171" s="94">
        <v>36.669753990037613</v>
      </c>
      <c r="E1171" s="94">
        <v>2.189098081186454</v>
      </c>
      <c r="F1171" s="94">
        <v>1.8181888762547531</v>
      </c>
      <c r="G1171" s="94">
        <v>0</v>
      </c>
      <c r="H1171" s="94">
        <v>1.4769867505480889</v>
      </c>
      <c r="I1171" s="94">
        <v>0</v>
      </c>
      <c r="J1171" s="94">
        <v>487.39434054170948</v>
      </c>
      <c r="K1171" s="94">
        <v>1.570769350163808</v>
      </c>
      <c r="L1171" s="94">
        <v>0</v>
      </c>
      <c r="M1171" s="94">
        <v>0</v>
      </c>
      <c r="N1171" s="94">
        <v>0</v>
      </c>
      <c r="O1171" s="94">
        <v>0</v>
      </c>
    </row>
    <row r="1172" spans="1:15" x14ac:dyDescent="0.25">
      <c r="A1172" s="89">
        <v>45146.833333333336</v>
      </c>
      <c r="B1172" s="94">
        <v>360.83</v>
      </c>
      <c r="C1172" s="94">
        <v>299.84494166056317</v>
      </c>
      <c r="D1172" s="94">
        <v>46.578066150823879</v>
      </c>
      <c r="E1172" s="94">
        <v>3.1845331201043057</v>
      </c>
      <c r="F1172" s="94">
        <v>1.9524480960946313</v>
      </c>
      <c r="G1172" s="94">
        <v>0</v>
      </c>
      <c r="H1172" s="94">
        <v>1.4772442431323345</v>
      </c>
      <c r="I1172" s="94">
        <v>0</v>
      </c>
      <c r="J1172" s="94">
        <v>623</v>
      </c>
      <c r="K1172" s="94">
        <v>1.6713391725039428</v>
      </c>
      <c r="L1172" s="94">
        <v>0</v>
      </c>
      <c r="M1172" s="94">
        <v>0</v>
      </c>
      <c r="N1172" s="94">
        <v>0</v>
      </c>
      <c r="O1172" s="94">
        <v>0</v>
      </c>
    </row>
    <row r="1173" spans="1:15" x14ac:dyDescent="0.25">
      <c r="A1173" s="89">
        <v>45147.333333333336</v>
      </c>
      <c r="B1173" s="94">
        <v>360.84398139863413</v>
      </c>
      <c r="C1173" s="94">
        <v>299.83999999999997</v>
      </c>
      <c r="D1173" s="94">
        <v>46.740541742184696</v>
      </c>
      <c r="E1173" s="94">
        <v>3.2755740709627164</v>
      </c>
      <c r="F1173" s="94">
        <v>1.7</v>
      </c>
      <c r="G1173" s="94">
        <v>0</v>
      </c>
      <c r="H1173" s="94">
        <v>1.5305899658709092</v>
      </c>
      <c r="I1173" s="94">
        <v>0</v>
      </c>
      <c r="J1173" s="94">
        <v>623</v>
      </c>
      <c r="K1173" s="94">
        <v>1.6710279818157978</v>
      </c>
      <c r="L1173" s="94">
        <v>0</v>
      </c>
      <c r="M1173" s="94">
        <v>0</v>
      </c>
      <c r="N1173" s="94">
        <v>0</v>
      </c>
      <c r="O1173" s="94">
        <v>0</v>
      </c>
    </row>
    <row r="1174" spans="1:15" x14ac:dyDescent="0.25">
      <c r="A1174" s="89">
        <v>45147.833333333336</v>
      </c>
      <c r="B1174" s="94">
        <v>360.86</v>
      </c>
      <c r="C1174" s="94">
        <v>299.74176166149732</v>
      </c>
      <c r="D1174" s="94">
        <v>34.1</v>
      </c>
      <c r="E1174" s="94">
        <v>2.2007202148437499</v>
      </c>
      <c r="F1174" s="94">
        <v>2.1</v>
      </c>
      <c r="G1174" s="94">
        <v>0</v>
      </c>
      <c r="H1174" s="94">
        <v>1.4713290247892734</v>
      </c>
      <c r="I1174" s="94">
        <v>0</v>
      </c>
      <c r="J1174" s="94">
        <v>493.60250736105638</v>
      </c>
      <c r="K1174" s="94">
        <v>1.5750795936134447</v>
      </c>
      <c r="L1174" s="94">
        <v>0</v>
      </c>
      <c r="M1174" s="94">
        <v>0</v>
      </c>
      <c r="N1174" s="94">
        <v>0</v>
      </c>
      <c r="O1174" s="94">
        <v>0</v>
      </c>
    </row>
    <row r="1175" spans="1:15" x14ac:dyDescent="0.25">
      <c r="A1175" s="89">
        <v>45148.333333333336</v>
      </c>
      <c r="B1175" s="94">
        <v>360.8695266029244</v>
      </c>
      <c r="C1175" s="94">
        <v>299.74227803299135</v>
      </c>
      <c r="D1175" s="94">
        <v>34.149619597738351</v>
      </c>
      <c r="E1175" s="94">
        <v>2.1748199462890625</v>
      </c>
      <c r="F1175" s="94">
        <v>1.6975643880458502</v>
      </c>
      <c r="G1175" s="94">
        <v>0</v>
      </c>
      <c r="H1175" s="94">
        <v>1.5998182348302894</v>
      </c>
      <c r="I1175" s="94">
        <v>0</v>
      </c>
      <c r="J1175" s="94">
        <v>495</v>
      </c>
      <c r="K1175" s="94">
        <v>1.5751328681123546</v>
      </c>
      <c r="L1175" s="94">
        <v>0</v>
      </c>
      <c r="M1175" s="94">
        <v>0</v>
      </c>
      <c r="N1175" s="94">
        <v>0</v>
      </c>
      <c r="O1175" s="94">
        <v>0</v>
      </c>
    </row>
    <row r="1176" spans="1:15" x14ac:dyDescent="0.25">
      <c r="A1176" s="89">
        <v>45148.833333333336</v>
      </c>
      <c r="B1176" s="94">
        <v>360.88</v>
      </c>
      <c r="C1176" s="94">
        <v>299.83999999999997</v>
      </c>
      <c r="D1176" s="94">
        <v>0.12549997965494791</v>
      </c>
      <c r="E1176" s="94">
        <v>0</v>
      </c>
      <c r="F1176" s="94">
        <v>2</v>
      </c>
      <c r="G1176" s="94">
        <v>0</v>
      </c>
      <c r="H1176" s="94">
        <v>1.4985306704707562</v>
      </c>
      <c r="I1176" s="94">
        <v>0</v>
      </c>
      <c r="J1176" s="94">
        <v>630</v>
      </c>
      <c r="K1176" s="94">
        <v>1.6745535886115841</v>
      </c>
      <c r="L1176" s="94">
        <v>20</v>
      </c>
      <c r="M1176" s="94">
        <v>0</v>
      </c>
      <c r="N1176" s="94">
        <v>0</v>
      </c>
      <c r="O1176" s="94">
        <v>0</v>
      </c>
    </row>
    <row r="1177" spans="1:15" x14ac:dyDescent="0.25">
      <c r="A1177" s="89">
        <v>45149.333333333336</v>
      </c>
      <c r="B1177" s="94">
        <v>360.88974745410553</v>
      </c>
      <c r="C1177" s="94">
        <v>299.83999999999997</v>
      </c>
      <c r="D1177" s="94">
        <v>0.8</v>
      </c>
      <c r="E1177" s="94">
        <v>0</v>
      </c>
      <c r="F1177" s="94">
        <v>1.9946900654154405</v>
      </c>
      <c r="G1177" s="94">
        <v>0</v>
      </c>
      <c r="H1177" s="94">
        <v>1.5</v>
      </c>
      <c r="I1177" s="94">
        <v>0</v>
      </c>
      <c r="J1177" s="94">
        <v>630.80233452699576</v>
      </c>
      <c r="K1177" s="94">
        <v>1.6767741421713644</v>
      </c>
      <c r="L1177" s="94">
        <v>19.490301774002361</v>
      </c>
      <c r="M1177" s="94">
        <v>0</v>
      </c>
      <c r="N1177" s="94">
        <v>0</v>
      </c>
      <c r="O1177" s="94">
        <v>0</v>
      </c>
    </row>
    <row r="1178" spans="1:15" x14ac:dyDescent="0.25">
      <c r="A1178" s="89">
        <v>45149.833333333336</v>
      </c>
      <c r="B1178" s="94">
        <v>360.9</v>
      </c>
      <c r="C1178" s="94">
        <v>299.70958622662351</v>
      </c>
      <c r="D1178" s="94">
        <v>-8.6999999999999993</v>
      </c>
      <c r="E1178" s="94">
        <v>0</v>
      </c>
      <c r="F1178" s="94">
        <v>1.9129939453095213</v>
      </c>
      <c r="G1178" s="94">
        <v>0</v>
      </c>
      <c r="H1178" s="94">
        <v>1.4</v>
      </c>
      <c r="I1178" s="94">
        <v>0</v>
      </c>
      <c r="J1178" s="94">
        <v>452</v>
      </c>
      <c r="K1178" s="94">
        <v>1.5402211548171281</v>
      </c>
      <c r="L1178" s="94">
        <v>14</v>
      </c>
      <c r="M1178" s="94">
        <v>0</v>
      </c>
      <c r="N1178" s="94">
        <v>0</v>
      </c>
      <c r="O1178" s="94">
        <v>0</v>
      </c>
    </row>
    <row r="1179" spans="1:15" x14ac:dyDescent="0.25">
      <c r="A1179" s="89">
        <v>45150.333333333336</v>
      </c>
      <c r="B1179" s="94">
        <v>360.9</v>
      </c>
      <c r="C1179" s="94">
        <v>299.70999999999998</v>
      </c>
      <c r="D1179" s="94" t="s">
        <v>94</v>
      </c>
      <c r="E1179" s="94">
        <v>0</v>
      </c>
      <c r="F1179" s="94">
        <v>1.9</v>
      </c>
      <c r="G1179" s="94">
        <v>0</v>
      </c>
      <c r="H1179" s="94">
        <v>1.4758059839986635</v>
      </c>
      <c r="I1179" s="94">
        <v>0</v>
      </c>
      <c r="J1179" s="94">
        <v>454</v>
      </c>
      <c r="K1179" s="94">
        <v>1.5401288978616328</v>
      </c>
      <c r="L1179" s="94">
        <v>14</v>
      </c>
      <c r="M1179" s="94">
        <v>0</v>
      </c>
      <c r="N1179" s="94">
        <v>0</v>
      </c>
      <c r="O1179" s="94">
        <v>0</v>
      </c>
    </row>
    <row r="1180" spans="1:15" x14ac:dyDescent="0.25">
      <c r="A1180" s="89">
        <v>45150.833333333336</v>
      </c>
      <c r="B1180" s="94">
        <v>360.9</v>
      </c>
      <c r="C1180" s="94">
        <v>299.77</v>
      </c>
      <c r="D1180" s="94">
        <v>-8.6999999999999993</v>
      </c>
      <c r="E1180" s="94">
        <v>0</v>
      </c>
      <c r="F1180" s="94">
        <v>1.9266575380321809</v>
      </c>
      <c r="G1180" s="94">
        <v>0</v>
      </c>
      <c r="H1180" s="94">
        <v>1.4</v>
      </c>
      <c r="I1180" s="94">
        <v>0</v>
      </c>
      <c r="J1180" s="94">
        <v>527.19690836764073</v>
      </c>
      <c r="K1180" s="94">
        <v>1.6012509011153353</v>
      </c>
      <c r="L1180" s="94">
        <v>17</v>
      </c>
      <c r="M1180" s="94">
        <v>0</v>
      </c>
      <c r="N1180" s="94">
        <v>0</v>
      </c>
      <c r="O1180" s="94">
        <v>0</v>
      </c>
    </row>
    <row r="1181" spans="1:15" x14ac:dyDescent="0.25">
      <c r="A1181" s="89">
        <v>45151.333333333336</v>
      </c>
      <c r="B1181" s="94">
        <v>360.9</v>
      </c>
      <c r="C1181" s="94">
        <v>299.77</v>
      </c>
      <c r="D1181" s="94">
        <v>-8.6999999999999993</v>
      </c>
      <c r="E1181" s="94">
        <v>0</v>
      </c>
      <c r="F1181" s="94">
        <v>1.9</v>
      </c>
      <c r="G1181" s="94">
        <v>0</v>
      </c>
      <c r="H1181" s="94">
        <v>1.4</v>
      </c>
      <c r="I1181" s="94">
        <v>0</v>
      </c>
      <c r="J1181" s="94">
        <v>529.80059326144192</v>
      </c>
      <c r="K1181" s="94">
        <v>1.6014183143367866</v>
      </c>
      <c r="L1181" s="94">
        <v>16</v>
      </c>
      <c r="M1181" s="94">
        <v>0</v>
      </c>
      <c r="N1181" s="94">
        <v>0</v>
      </c>
      <c r="O1181" s="94">
        <v>0</v>
      </c>
    </row>
    <row r="1182" spans="1:15" x14ac:dyDescent="0.25">
      <c r="A1182" s="89">
        <v>45151.833333333336</v>
      </c>
      <c r="B1182" s="94">
        <v>360.9</v>
      </c>
      <c r="C1182" s="94">
        <v>299.72003559062966</v>
      </c>
      <c r="D1182" s="94">
        <v>-8.6999999999999993</v>
      </c>
      <c r="E1182" s="94">
        <v>0</v>
      </c>
      <c r="F1182" s="94">
        <v>1.9</v>
      </c>
      <c r="G1182" s="94">
        <v>0</v>
      </c>
      <c r="H1182" s="94">
        <v>1.4</v>
      </c>
      <c r="I1182" s="94">
        <v>0</v>
      </c>
      <c r="J1182" s="94">
        <v>480</v>
      </c>
      <c r="K1182" s="94">
        <v>1.5621145304068089</v>
      </c>
      <c r="L1182" s="94">
        <v>15</v>
      </c>
      <c r="M1182" s="94">
        <v>0</v>
      </c>
      <c r="N1182" s="94">
        <v>0</v>
      </c>
      <c r="O1182" s="94">
        <v>0</v>
      </c>
    </row>
    <row r="1183" spans="1:15" x14ac:dyDescent="0.25">
      <c r="A1183" s="89">
        <v>45152.333333333336</v>
      </c>
      <c r="B1183" s="94">
        <v>360.94053181063583</v>
      </c>
      <c r="C1183" s="94">
        <v>299.73430116454693</v>
      </c>
      <c r="D1183" s="94">
        <v>-8.6999999999999993</v>
      </c>
      <c r="E1183" s="94">
        <v>0</v>
      </c>
      <c r="F1183" s="94">
        <v>1.9</v>
      </c>
      <c r="G1183" s="94">
        <v>0</v>
      </c>
      <c r="H1183" s="94">
        <v>1.4</v>
      </c>
      <c r="I1183" s="94">
        <v>0</v>
      </c>
      <c r="J1183" s="94">
        <v>481</v>
      </c>
      <c r="K1183" s="94">
        <v>1.5651477183026348</v>
      </c>
      <c r="L1183" s="94">
        <v>14</v>
      </c>
      <c r="M1183" s="94">
        <v>0</v>
      </c>
      <c r="N1183" s="94">
        <v>0</v>
      </c>
      <c r="O1183" s="94">
        <v>0</v>
      </c>
    </row>
    <row r="1184" spans="1:15" x14ac:dyDescent="0.25">
      <c r="A1184" s="89">
        <v>45152.833333333336</v>
      </c>
      <c r="B1184" s="94">
        <v>360.98</v>
      </c>
      <c r="C1184" s="94">
        <v>299.72000000000003</v>
      </c>
      <c r="D1184" s="94">
        <v>-8.6999999999999993</v>
      </c>
      <c r="E1184" s="94">
        <v>0</v>
      </c>
      <c r="F1184" s="94">
        <v>36.343754086339821</v>
      </c>
      <c r="G1184" s="94">
        <v>1.9868179319611556</v>
      </c>
      <c r="H1184" s="94">
        <v>1.4</v>
      </c>
      <c r="I1184" s="94">
        <v>0</v>
      </c>
      <c r="J1184" s="94">
        <v>466.59926844103251</v>
      </c>
      <c r="K1184" s="94">
        <v>1.5515066406351612</v>
      </c>
      <c r="L1184" s="94">
        <v>0</v>
      </c>
      <c r="M1184" s="94">
        <v>0</v>
      </c>
      <c r="N1184" s="94">
        <v>0</v>
      </c>
      <c r="O1184" s="94">
        <v>0</v>
      </c>
    </row>
    <row r="1185" spans="1:15" x14ac:dyDescent="0.25">
      <c r="A1185" s="89">
        <v>45153.333333333336</v>
      </c>
      <c r="B1185" s="94">
        <v>360.99046706716206</v>
      </c>
      <c r="C1185" s="94">
        <v>299.72000000000003</v>
      </c>
      <c r="D1185" s="94">
        <v>-8.6999999999999993</v>
      </c>
      <c r="E1185" s="94">
        <v>0</v>
      </c>
      <c r="F1185" s="94">
        <v>34.200000000000003</v>
      </c>
      <c r="G1185" s="94">
        <v>1.999359130859375</v>
      </c>
      <c r="H1185" s="94">
        <v>1.4461821234593026</v>
      </c>
      <c r="I1185" s="94">
        <v>0</v>
      </c>
      <c r="J1185" s="94">
        <v>464.80142733838738</v>
      </c>
      <c r="K1185" s="94">
        <v>1.552</v>
      </c>
      <c r="L1185" s="94">
        <v>0</v>
      </c>
      <c r="M1185" s="94">
        <v>0</v>
      </c>
      <c r="N1185" s="94">
        <v>0</v>
      </c>
      <c r="O1185" s="94">
        <v>0</v>
      </c>
    </row>
    <row r="1186" spans="1:15" x14ac:dyDescent="0.25">
      <c r="A1186" s="89">
        <v>45153.833333333336</v>
      </c>
      <c r="B1186" s="94">
        <v>361</v>
      </c>
      <c r="C1186" s="94">
        <v>299.72000000000003</v>
      </c>
      <c r="D1186" s="94">
        <v>1.3</v>
      </c>
      <c r="E1186" s="94">
        <v>0</v>
      </c>
      <c r="F1186" s="94">
        <v>34.195561477714485</v>
      </c>
      <c r="G1186" s="94">
        <v>1.9782283488620742</v>
      </c>
      <c r="H1186" s="94">
        <v>1.444197425318591</v>
      </c>
      <c r="I1186" s="94">
        <v>0</v>
      </c>
      <c r="J1186" s="94">
        <v>463</v>
      </c>
      <c r="K1186" s="94">
        <v>1.5513344657312977</v>
      </c>
      <c r="L1186" s="94">
        <v>0</v>
      </c>
      <c r="M1186" s="94">
        <v>0</v>
      </c>
      <c r="N1186" s="94">
        <v>0</v>
      </c>
      <c r="O1186" s="94">
        <v>0</v>
      </c>
    </row>
    <row r="1187" spans="1:15" x14ac:dyDescent="0.25">
      <c r="A1187" s="89">
        <v>45154.333333333336</v>
      </c>
      <c r="B1187" s="94">
        <v>361.02149295449163</v>
      </c>
      <c r="C1187" s="94">
        <v>299.72000000000003</v>
      </c>
      <c r="D1187" s="94">
        <v>0.94442127215849847</v>
      </c>
      <c r="E1187" s="94">
        <v>0</v>
      </c>
      <c r="F1187" s="94">
        <v>33.793795994563261</v>
      </c>
      <c r="G1187" s="94">
        <v>1.999208897992526</v>
      </c>
      <c r="H1187" s="94">
        <v>1.5953800964355469</v>
      </c>
      <c r="I1187" s="94">
        <v>0</v>
      </c>
      <c r="J1187" s="94">
        <v>463</v>
      </c>
      <c r="K1187" s="94">
        <v>1.5505378994351733</v>
      </c>
      <c r="L1187" s="94">
        <v>0</v>
      </c>
      <c r="M1187" s="94">
        <v>0</v>
      </c>
      <c r="N1187" s="94">
        <v>0</v>
      </c>
      <c r="O1187" s="94">
        <v>0</v>
      </c>
    </row>
    <row r="1188" spans="1:15" x14ac:dyDescent="0.25">
      <c r="A1188" s="89">
        <v>45154.833333333336</v>
      </c>
      <c r="B1188" s="94">
        <v>361.04</v>
      </c>
      <c r="C1188" s="94">
        <v>299.93</v>
      </c>
      <c r="D1188" s="94">
        <v>1.2098862845207705</v>
      </c>
      <c r="E1188" s="94">
        <v>0</v>
      </c>
      <c r="F1188" s="94">
        <v>57.505146175334012</v>
      </c>
      <c r="G1188" s="94">
        <v>4.2168325072229438</v>
      </c>
      <c r="H1188" s="94">
        <v>1.4525695253068736</v>
      </c>
      <c r="I1188" s="94">
        <v>0</v>
      </c>
      <c r="J1188" s="94">
        <v>741.39956409825834</v>
      </c>
      <c r="K1188" s="94">
        <v>1.7513552061785167</v>
      </c>
      <c r="L1188" s="94">
        <v>0</v>
      </c>
      <c r="M1188" s="94">
        <v>0</v>
      </c>
      <c r="N1188" s="94">
        <v>0</v>
      </c>
      <c r="O1188" s="94">
        <v>0</v>
      </c>
    </row>
    <row r="1189" spans="1:15" x14ac:dyDescent="0.25">
      <c r="A1189" s="89">
        <v>45155.333333333336</v>
      </c>
      <c r="B1189" s="94">
        <v>361.04</v>
      </c>
      <c r="C1189" s="94">
        <v>299.93</v>
      </c>
      <c r="D1189" s="94">
        <v>0.9</v>
      </c>
      <c r="E1189" s="94">
        <v>0</v>
      </c>
      <c r="F1189" s="94">
        <v>54.559402557441423</v>
      </c>
      <c r="G1189" s="94">
        <v>4.1704591831555007</v>
      </c>
      <c r="H1189" s="94">
        <v>1.6</v>
      </c>
      <c r="I1189" s="94">
        <v>0</v>
      </c>
      <c r="J1189" s="94">
        <v>742</v>
      </c>
      <c r="K1189" s="94">
        <v>1.7510504847723252</v>
      </c>
      <c r="L1189" s="94">
        <v>0</v>
      </c>
      <c r="M1189" s="94">
        <v>0</v>
      </c>
      <c r="N1189" s="94">
        <v>0</v>
      </c>
      <c r="O1189" s="94">
        <v>0</v>
      </c>
    </row>
    <row r="1190" spans="1:15" x14ac:dyDescent="0.25">
      <c r="A1190" s="89">
        <v>45155.833333333336</v>
      </c>
      <c r="B1190" s="94">
        <v>361.04</v>
      </c>
      <c r="C1190" s="94">
        <v>299.74</v>
      </c>
      <c r="D1190" s="94">
        <v>1.3</v>
      </c>
      <c r="E1190" s="94">
        <v>0</v>
      </c>
      <c r="F1190" s="94">
        <v>30.875898853305312</v>
      </c>
      <c r="G1190" s="94">
        <v>2.1856325107788277</v>
      </c>
      <c r="H1190" s="94">
        <v>1.4963441324299562</v>
      </c>
      <c r="I1190" s="94">
        <v>0</v>
      </c>
      <c r="J1190" s="94">
        <v>486.44521048918409</v>
      </c>
      <c r="K1190" s="94">
        <v>1.569</v>
      </c>
      <c r="L1190" s="94">
        <v>0</v>
      </c>
      <c r="M1190" s="94">
        <v>0</v>
      </c>
      <c r="N1190" s="94">
        <v>0</v>
      </c>
      <c r="O1190" s="94">
        <v>0</v>
      </c>
    </row>
    <row r="1191" spans="1:15" x14ac:dyDescent="0.25">
      <c r="A1191" s="89">
        <v>45156.333333333336</v>
      </c>
      <c r="B1191" s="94">
        <v>361.07270890074346</v>
      </c>
      <c r="C1191" s="94">
        <v>299.74</v>
      </c>
      <c r="D1191" s="94">
        <v>1.073096093570828</v>
      </c>
      <c r="E1191" s="94">
        <v>0</v>
      </c>
      <c r="F1191" s="94">
        <v>32.43785565074522</v>
      </c>
      <c r="G1191" s="94">
        <v>2.16</v>
      </c>
      <c r="H1191" s="94">
        <v>1.5550993383990275</v>
      </c>
      <c r="I1191" s="94">
        <v>0</v>
      </c>
      <c r="J1191" s="94">
        <v>492</v>
      </c>
      <c r="K1191" s="94">
        <v>1.5736454850932009</v>
      </c>
      <c r="L1191" s="94">
        <v>0</v>
      </c>
      <c r="M1191" s="94">
        <v>0</v>
      </c>
      <c r="N1191" s="94">
        <v>0</v>
      </c>
      <c r="O1191" s="94">
        <v>0</v>
      </c>
    </row>
    <row r="1192" spans="1:15" x14ac:dyDescent="0.25">
      <c r="A1192" s="89">
        <v>45156.833333333336</v>
      </c>
      <c r="B1192" s="94">
        <v>361.1</v>
      </c>
      <c r="C1192" s="94">
        <v>299.74</v>
      </c>
      <c r="D1192" s="94">
        <v>1.0888105134663226</v>
      </c>
      <c r="E1192" s="94">
        <v>0</v>
      </c>
      <c r="F1192" s="94">
        <v>32.453475746867973</v>
      </c>
      <c r="G1192" s="94">
        <v>2.1711812411141596</v>
      </c>
      <c r="H1192" s="94">
        <v>1.5951432738598592</v>
      </c>
      <c r="I1192" s="94">
        <v>0</v>
      </c>
      <c r="J1192" s="94">
        <v>489</v>
      </c>
      <c r="K1192" s="94">
        <v>1.571</v>
      </c>
      <c r="L1192" s="94">
        <v>0</v>
      </c>
      <c r="M1192" s="94">
        <v>0</v>
      </c>
      <c r="N1192" s="94">
        <v>0</v>
      </c>
      <c r="O1192" s="94">
        <v>0</v>
      </c>
    </row>
    <row r="1193" spans="1:15" x14ac:dyDescent="0.25">
      <c r="A1193" s="89">
        <v>45157.333333333336</v>
      </c>
      <c r="B1193" s="94">
        <v>361.1</v>
      </c>
      <c r="C1193" s="94">
        <v>299.74</v>
      </c>
      <c r="D1193" s="94">
        <v>1</v>
      </c>
      <c r="E1193" s="94">
        <v>0</v>
      </c>
      <c r="F1193" s="94">
        <v>32.196080235553922</v>
      </c>
      <c r="G1193" s="94">
        <v>2.1607238264656718</v>
      </c>
      <c r="H1193" s="94">
        <v>1.5510964577430673</v>
      </c>
      <c r="I1193" s="94">
        <v>0</v>
      </c>
      <c r="J1193" s="94">
        <v>492</v>
      </c>
      <c r="K1193" s="94">
        <v>1.573</v>
      </c>
      <c r="L1193" s="94">
        <v>0</v>
      </c>
      <c r="M1193" s="94">
        <v>0</v>
      </c>
      <c r="N1193" s="94">
        <v>0</v>
      </c>
      <c r="O1193" s="94">
        <v>0</v>
      </c>
    </row>
    <row r="1194" spans="1:15" x14ac:dyDescent="0.25">
      <c r="A1194" s="89">
        <v>45157.833333333336</v>
      </c>
      <c r="B1194" s="94">
        <v>361.1</v>
      </c>
      <c r="C1194" s="94">
        <v>299.74</v>
      </c>
      <c r="D1194" s="94">
        <v>1.0537844335981965</v>
      </c>
      <c r="E1194" s="94">
        <v>0</v>
      </c>
      <c r="F1194" s="94">
        <v>32.178869353390752</v>
      </c>
      <c r="G1194" s="94">
        <v>2.141230010986328</v>
      </c>
      <c r="H1194" s="94">
        <v>1.5437752453319606</v>
      </c>
      <c r="I1194" s="94">
        <v>0</v>
      </c>
      <c r="J1194" s="94">
        <v>489.29703906548144</v>
      </c>
      <c r="K1194" s="94">
        <v>1.5717358137379565</v>
      </c>
      <c r="L1194" s="94">
        <v>0</v>
      </c>
      <c r="M1194" s="94">
        <v>0</v>
      </c>
      <c r="N1194" s="94">
        <v>0</v>
      </c>
      <c r="O1194" s="94">
        <v>0</v>
      </c>
    </row>
    <row r="1195" spans="1:15" x14ac:dyDescent="0.25">
      <c r="A1195" s="89">
        <v>45158.333333333336</v>
      </c>
      <c r="B1195" s="94">
        <v>361.1</v>
      </c>
      <c r="C1195" s="94">
        <v>299.74</v>
      </c>
      <c r="D1195" s="94">
        <v>1.0869144984654018</v>
      </c>
      <c r="E1195" s="94">
        <v>0</v>
      </c>
      <c r="F1195" s="94">
        <v>32.200000000000003</v>
      </c>
      <c r="G1195" s="94">
        <v>2.1596003170635041</v>
      </c>
      <c r="H1195" s="94">
        <v>1.5</v>
      </c>
      <c r="I1195" s="94">
        <v>0</v>
      </c>
      <c r="J1195" s="94">
        <v>491.40323449962148</v>
      </c>
      <c r="K1195" s="94">
        <v>1.5719702737363053</v>
      </c>
      <c r="L1195" s="94">
        <v>0</v>
      </c>
      <c r="M1195" s="94">
        <v>0</v>
      </c>
      <c r="N1195" s="94">
        <v>0</v>
      </c>
      <c r="O1195" s="94">
        <v>0</v>
      </c>
    </row>
    <row r="1196" spans="1:15" x14ac:dyDescent="0.25">
      <c r="A1196" s="89">
        <v>45158.833333333336</v>
      </c>
      <c r="B1196" s="94">
        <v>361.1</v>
      </c>
      <c r="C1196" s="94">
        <v>300.01589551157792</v>
      </c>
      <c r="D1196" s="94">
        <v>1.3305276360664056</v>
      </c>
      <c r="E1196" s="94">
        <v>0</v>
      </c>
      <c r="F1196" s="94">
        <v>67.446896732089485</v>
      </c>
      <c r="G1196" s="94">
        <v>5.58</v>
      </c>
      <c r="H1196" s="94">
        <v>1.4189593880191091</v>
      </c>
      <c r="I1196" s="94">
        <v>0</v>
      </c>
      <c r="J1196" s="94">
        <v>915</v>
      </c>
      <c r="K1196" s="94">
        <v>1.8514997720532589</v>
      </c>
      <c r="L1196" s="94">
        <v>0</v>
      </c>
      <c r="M1196" s="94">
        <v>0</v>
      </c>
      <c r="N1196" s="94">
        <v>0</v>
      </c>
      <c r="O1196" s="94">
        <v>0</v>
      </c>
    </row>
    <row r="1197" spans="1:15" x14ac:dyDescent="0.25">
      <c r="A1197" s="89">
        <v>45159.333333333336</v>
      </c>
      <c r="B1197" s="94">
        <v>361.16685194128291</v>
      </c>
      <c r="C1197" s="94">
        <v>300.01312547469337</v>
      </c>
      <c r="D1197" s="94">
        <v>1.0176005045572918</v>
      </c>
      <c r="E1197" s="94">
        <v>0</v>
      </c>
      <c r="F1197" s="94">
        <v>66.8</v>
      </c>
      <c r="G1197" s="94">
        <v>5.5578222892943705</v>
      </c>
      <c r="H1197" s="94">
        <v>1.5728060470569685</v>
      </c>
      <c r="I1197" s="94">
        <v>0</v>
      </c>
      <c r="J1197" s="94">
        <v>915</v>
      </c>
      <c r="K1197" s="94">
        <v>1.8521932396402643</v>
      </c>
      <c r="L1197" s="94">
        <v>0</v>
      </c>
      <c r="M1197" s="94">
        <v>0</v>
      </c>
      <c r="N1197" s="94">
        <v>0</v>
      </c>
      <c r="O1197" s="94">
        <v>0</v>
      </c>
    </row>
    <row r="1198" spans="1:15" x14ac:dyDescent="0.25">
      <c r="A1198" s="89">
        <v>45159.833333333336</v>
      </c>
      <c r="B1198" s="94">
        <v>361.22</v>
      </c>
      <c r="C1198" s="94">
        <v>299.73</v>
      </c>
      <c r="D1198" s="94">
        <v>1.3158556049161829</v>
      </c>
      <c r="E1198" s="94">
        <v>0</v>
      </c>
      <c r="F1198" s="94">
        <v>32.393966811222057</v>
      </c>
      <c r="G1198" s="94">
        <v>2.06</v>
      </c>
      <c r="H1198" s="94">
        <v>1.4</v>
      </c>
      <c r="I1198" s="94">
        <v>0</v>
      </c>
      <c r="J1198" s="94">
        <v>467.29559692564868</v>
      </c>
      <c r="K1198" s="94">
        <v>1.5549999999999999</v>
      </c>
      <c r="L1198" s="94">
        <v>0</v>
      </c>
      <c r="M1198" s="94">
        <v>0</v>
      </c>
      <c r="N1198" s="94">
        <v>0</v>
      </c>
      <c r="O1198" s="94">
        <v>0</v>
      </c>
    </row>
    <row r="1199" spans="1:15" x14ac:dyDescent="0.25">
      <c r="A1199" s="89">
        <v>45160.333333333336</v>
      </c>
      <c r="B1199" s="94">
        <v>361.24301722784639</v>
      </c>
      <c r="C1199" s="94">
        <v>299.73</v>
      </c>
      <c r="D1199" s="94">
        <v>1.2478946885606825</v>
      </c>
      <c r="E1199" s="94">
        <v>0</v>
      </c>
      <c r="F1199" s="94">
        <v>30.316411224327283</v>
      </c>
      <c r="G1199" s="94">
        <v>2.0298998350943629</v>
      </c>
      <c r="H1199" s="94">
        <v>1.530769886621167</v>
      </c>
      <c r="I1199" s="94">
        <v>0</v>
      </c>
      <c r="J1199" s="94">
        <v>469.21087224818694</v>
      </c>
      <c r="K1199" s="94">
        <v>1.554251480038038</v>
      </c>
      <c r="L1199" s="94">
        <v>0.33888518004580837</v>
      </c>
      <c r="M1199" s="94">
        <v>0</v>
      </c>
      <c r="N1199" s="94">
        <v>0</v>
      </c>
      <c r="O1199" s="94">
        <v>0</v>
      </c>
    </row>
    <row r="1200" spans="1:15" x14ac:dyDescent="0.25">
      <c r="A1200" s="89">
        <v>45160.833333333336</v>
      </c>
      <c r="B1200" s="94">
        <v>361.26</v>
      </c>
      <c r="C1200" s="94">
        <v>299.74495397949221</v>
      </c>
      <c r="D1200" s="94">
        <v>36.180569223257216</v>
      </c>
      <c r="E1200" s="94">
        <v>2.1694817471655674</v>
      </c>
      <c r="F1200" s="94">
        <v>1.756987226106441</v>
      </c>
      <c r="G1200" s="94">
        <v>0</v>
      </c>
      <c r="H1200" s="94">
        <v>1.4941400146484374</v>
      </c>
      <c r="I1200" s="94">
        <v>0</v>
      </c>
      <c r="J1200" s="94">
        <v>495.40067451201713</v>
      </c>
      <c r="K1200" s="94">
        <v>1.5763113403096194</v>
      </c>
      <c r="L1200" s="94">
        <v>0</v>
      </c>
      <c r="M1200" s="94">
        <v>0</v>
      </c>
      <c r="N1200" s="94">
        <v>0</v>
      </c>
      <c r="O1200" s="94">
        <v>0</v>
      </c>
    </row>
    <row r="1201" spans="1:15" x14ac:dyDescent="0.25">
      <c r="A1201" s="89">
        <v>45161.333333333336</v>
      </c>
      <c r="B1201" s="94">
        <v>361.27754979433507</v>
      </c>
      <c r="C1201" s="94">
        <v>299.74</v>
      </c>
      <c r="D1201" s="94">
        <v>34.1</v>
      </c>
      <c r="E1201" s="94">
        <v>2.2066391184573004</v>
      </c>
      <c r="F1201" s="94">
        <v>1.6455619886756125</v>
      </c>
      <c r="G1201" s="94">
        <v>0</v>
      </c>
      <c r="H1201" s="94">
        <v>1.5</v>
      </c>
      <c r="I1201" s="94">
        <v>0</v>
      </c>
      <c r="J1201" s="94">
        <v>488.80237837477836</v>
      </c>
      <c r="K1201" s="94">
        <v>1.569</v>
      </c>
      <c r="L1201" s="94">
        <v>0</v>
      </c>
      <c r="M1201" s="94">
        <v>0</v>
      </c>
      <c r="N1201" s="94">
        <v>0</v>
      </c>
      <c r="O1201" s="94">
        <v>0</v>
      </c>
    </row>
    <row r="1202" spans="1:15" x14ac:dyDescent="0.25">
      <c r="A1202" s="89">
        <v>45161.833333333336</v>
      </c>
      <c r="B1202" s="94">
        <v>361.29</v>
      </c>
      <c r="C1202" s="94">
        <v>299.74</v>
      </c>
      <c r="D1202" s="94">
        <v>34.648624119321873</v>
      </c>
      <c r="E1202" s="94">
        <v>2.1707815916214357</v>
      </c>
      <c r="F1202" s="94">
        <v>1.8463076450571645</v>
      </c>
      <c r="G1202" s="94">
        <v>0</v>
      </c>
      <c r="H1202" s="94">
        <v>1.5</v>
      </c>
      <c r="I1202" s="94">
        <v>0</v>
      </c>
      <c r="J1202" s="94">
        <v>486</v>
      </c>
      <c r="K1202" s="94">
        <v>1.5689512850517813</v>
      </c>
      <c r="L1202" s="94">
        <v>0</v>
      </c>
      <c r="M1202" s="94">
        <v>0</v>
      </c>
      <c r="N1202" s="94">
        <v>0</v>
      </c>
      <c r="O1202" s="94">
        <v>0</v>
      </c>
    </row>
    <row r="1203" spans="1:15" x14ac:dyDescent="0.25">
      <c r="A1203" s="89">
        <v>45162.333333333336</v>
      </c>
      <c r="B1203" s="94">
        <v>361.3139484683831</v>
      </c>
      <c r="C1203" s="94">
        <v>299.74</v>
      </c>
      <c r="D1203" s="94">
        <v>34.436648275487187</v>
      </c>
      <c r="E1203" s="94">
        <v>2.1897399902343748</v>
      </c>
      <c r="F1203" s="94">
        <v>1.6134831072919902</v>
      </c>
      <c r="G1203" s="94">
        <v>0</v>
      </c>
      <c r="H1203" s="94">
        <v>1.5623431354186177</v>
      </c>
      <c r="I1203" s="94">
        <v>0</v>
      </c>
      <c r="J1203" s="94">
        <v>487.60420082563604</v>
      </c>
      <c r="K1203" s="94">
        <v>1.5680000000000001</v>
      </c>
      <c r="L1203" s="94">
        <v>0</v>
      </c>
      <c r="M1203" s="94">
        <v>0</v>
      </c>
      <c r="N1203" s="94">
        <v>0</v>
      </c>
      <c r="O1203" s="94">
        <v>0</v>
      </c>
    </row>
    <row r="1204" spans="1:15" x14ac:dyDescent="0.25">
      <c r="A1204" s="89">
        <v>45162.833333333336</v>
      </c>
      <c r="B1204" s="94">
        <v>361.33</v>
      </c>
      <c r="C1204" s="94">
        <v>299.74068423266669</v>
      </c>
      <c r="D1204" s="94">
        <v>34.6</v>
      </c>
      <c r="E1204" s="94">
        <v>2.1604000854492189</v>
      </c>
      <c r="F1204" s="94">
        <v>1.9</v>
      </c>
      <c r="G1204" s="94">
        <v>0</v>
      </c>
      <c r="H1204" s="94">
        <v>1.5</v>
      </c>
      <c r="I1204" s="94">
        <v>0</v>
      </c>
      <c r="J1204" s="94">
        <v>486.80115261075264</v>
      </c>
      <c r="K1204" s="94">
        <v>1.5680000000000001</v>
      </c>
      <c r="L1204" s="94">
        <v>0</v>
      </c>
      <c r="M1204" s="94">
        <v>0</v>
      </c>
      <c r="N1204" s="94">
        <v>0</v>
      </c>
      <c r="O1204" s="94">
        <v>0</v>
      </c>
    </row>
    <row r="1205" spans="1:15" x14ac:dyDescent="0.25">
      <c r="A1205" s="89">
        <v>45163.333333333336</v>
      </c>
      <c r="B1205" s="94">
        <v>361.35427241452481</v>
      </c>
      <c r="C1205" s="94">
        <v>299.74</v>
      </c>
      <c r="D1205" s="94">
        <v>33.6</v>
      </c>
      <c r="E1205" s="94">
        <v>2.1410803222656249</v>
      </c>
      <c r="F1205" s="94">
        <v>1.6</v>
      </c>
      <c r="G1205" s="94">
        <v>0</v>
      </c>
      <c r="H1205" s="94">
        <v>1.5630657572577824</v>
      </c>
      <c r="I1205" s="94">
        <v>0</v>
      </c>
      <c r="J1205" s="94">
        <v>487.6014960085007</v>
      </c>
      <c r="K1205" s="94">
        <v>1.5697196939313856</v>
      </c>
      <c r="L1205" s="94">
        <v>0</v>
      </c>
      <c r="M1205" s="94">
        <v>0</v>
      </c>
      <c r="N1205" s="94">
        <v>0</v>
      </c>
      <c r="O1205" s="94">
        <v>0</v>
      </c>
    </row>
    <row r="1206" spans="1:15" x14ac:dyDescent="0.25">
      <c r="A1206" s="89">
        <v>45163.833333333336</v>
      </c>
      <c r="B1206" s="94">
        <v>361.37</v>
      </c>
      <c r="C1206" s="94">
        <v>299.74024120101177</v>
      </c>
      <c r="D1206" s="94">
        <v>36.439537831501788</v>
      </c>
      <c r="E1206" s="94">
        <v>2.2183916083916086</v>
      </c>
      <c r="F1206" s="94">
        <v>1.9</v>
      </c>
      <c r="G1206" s="94">
        <v>0</v>
      </c>
      <c r="H1206" s="94">
        <v>1.4864347232365487</v>
      </c>
      <c r="I1206" s="94">
        <v>0</v>
      </c>
      <c r="J1206" s="94">
        <v>483</v>
      </c>
      <c r="K1206" s="94">
        <v>1.5676794579467384</v>
      </c>
      <c r="L1206" s="94">
        <v>0</v>
      </c>
      <c r="M1206" s="94">
        <v>0</v>
      </c>
      <c r="N1206" s="94">
        <v>0</v>
      </c>
      <c r="O1206" s="94">
        <v>0</v>
      </c>
    </row>
    <row r="1207" spans="1:15" x14ac:dyDescent="0.25">
      <c r="A1207" s="89">
        <v>45164.333333333336</v>
      </c>
      <c r="B1207" s="94">
        <v>361.37</v>
      </c>
      <c r="C1207" s="94">
        <v>299.74</v>
      </c>
      <c r="D1207" s="94">
        <v>34.001500447591148</v>
      </c>
      <c r="E1207" s="94">
        <v>2.1509002685546874</v>
      </c>
      <c r="F1207" s="94">
        <v>1.6</v>
      </c>
      <c r="G1207" s="94">
        <v>0</v>
      </c>
      <c r="H1207" s="94">
        <v>1.6</v>
      </c>
      <c r="I1207" s="94">
        <v>0</v>
      </c>
      <c r="J1207" s="94">
        <v>483</v>
      </c>
      <c r="K1207" s="94">
        <v>1.5642156724651943</v>
      </c>
      <c r="L1207" s="94">
        <v>0</v>
      </c>
      <c r="M1207" s="94">
        <v>0</v>
      </c>
      <c r="N1207" s="94">
        <v>0</v>
      </c>
      <c r="O1207" s="94">
        <v>0</v>
      </c>
    </row>
    <row r="1208" spans="1:15" x14ac:dyDescent="0.25">
      <c r="A1208" s="89">
        <v>45164.833333333336</v>
      </c>
      <c r="B1208" s="94">
        <v>361.37</v>
      </c>
      <c r="C1208" s="94">
        <v>299.74</v>
      </c>
      <c r="D1208" s="94">
        <v>34.985666783650714</v>
      </c>
      <c r="E1208" s="94">
        <v>2.2000000000000002</v>
      </c>
      <c r="F1208" s="94">
        <v>2.0219330006693848</v>
      </c>
      <c r="G1208" s="94">
        <v>0</v>
      </c>
      <c r="H1208" s="94">
        <v>1.478900146484375</v>
      </c>
      <c r="I1208" s="94">
        <v>0</v>
      </c>
      <c r="J1208" s="94">
        <v>483</v>
      </c>
      <c r="K1208" s="94">
        <v>1.565594637053987</v>
      </c>
      <c r="L1208" s="94">
        <v>0</v>
      </c>
      <c r="M1208" s="94">
        <v>0</v>
      </c>
      <c r="N1208" s="94">
        <v>0</v>
      </c>
      <c r="O1208" s="94">
        <v>0</v>
      </c>
    </row>
    <row r="1209" spans="1:15" x14ac:dyDescent="0.25">
      <c r="A1209" s="89">
        <v>45165.333333333336</v>
      </c>
      <c r="B1209" s="94">
        <v>361.37</v>
      </c>
      <c r="C1209" s="94">
        <v>299.74</v>
      </c>
      <c r="D1209" s="94">
        <v>33.230932617187499</v>
      </c>
      <c r="E1209" s="94">
        <v>2.1237151086190522</v>
      </c>
      <c r="F1209" s="94">
        <v>1.7674806936729441</v>
      </c>
      <c r="G1209" s="94">
        <v>0</v>
      </c>
      <c r="H1209" s="94">
        <v>1.5993342215082038</v>
      </c>
      <c r="I1209" s="94">
        <v>0</v>
      </c>
      <c r="J1209" s="94">
        <v>483</v>
      </c>
      <c r="K1209" s="94">
        <v>1.5662529863199335</v>
      </c>
      <c r="L1209" s="94">
        <v>0</v>
      </c>
      <c r="M1209" s="94">
        <v>0</v>
      </c>
      <c r="N1209" s="94">
        <v>0</v>
      </c>
      <c r="O1209" s="94">
        <v>0</v>
      </c>
    </row>
    <row r="1210" spans="1:15" x14ac:dyDescent="0.25">
      <c r="A1210" s="89">
        <v>45165.833333333336</v>
      </c>
      <c r="B1210" s="94">
        <v>361.37</v>
      </c>
      <c r="C1210" s="94">
        <v>300.6049281210785</v>
      </c>
      <c r="D1210" s="94">
        <v>36.200000000000003</v>
      </c>
      <c r="E1210" s="94">
        <v>2.1230131445904954</v>
      </c>
      <c r="F1210" s="94">
        <v>2.1</v>
      </c>
      <c r="G1210" s="94">
        <v>0</v>
      </c>
      <c r="H1210" s="94">
        <v>74.590204586731772</v>
      </c>
      <c r="I1210" s="94">
        <v>15.15</v>
      </c>
      <c r="J1210" s="94">
        <v>3018.1215693662302</v>
      </c>
      <c r="K1210" s="94">
        <v>2.486670253108167</v>
      </c>
      <c r="L1210" s="94">
        <v>0</v>
      </c>
      <c r="M1210" s="94">
        <v>0</v>
      </c>
      <c r="N1210" s="94">
        <v>0</v>
      </c>
      <c r="O1210" s="94">
        <v>0</v>
      </c>
    </row>
    <row r="1211" spans="1:15" x14ac:dyDescent="0.25">
      <c r="A1211" s="89">
        <v>45166.333333333336</v>
      </c>
      <c r="B1211" s="94">
        <v>361.39466839070923</v>
      </c>
      <c r="C1211" s="94">
        <v>300.6060869462932</v>
      </c>
      <c r="D1211" s="94">
        <v>36.357599894205727</v>
      </c>
      <c r="E1211" s="94">
        <v>2.1890424690055394</v>
      </c>
      <c r="F1211" s="94">
        <v>2</v>
      </c>
      <c r="G1211" s="94">
        <v>0</v>
      </c>
      <c r="H1211" s="94">
        <v>74.818116648141213</v>
      </c>
      <c r="I1211" s="94">
        <v>15.133045332925617</v>
      </c>
      <c r="J1211" s="94">
        <v>3010.5489672209305</v>
      </c>
      <c r="K1211" s="94">
        <v>2.4849594642552217</v>
      </c>
      <c r="L1211" s="94">
        <v>0</v>
      </c>
      <c r="M1211" s="94">
        <v>0</v>
      </c>
      <c r="N1211" s="94">
        <v>0</v>
      </c>
      <c r="O1211" s="94">
        <v>0</v>
      </c>
    </row>
    <row r="1212" spans="1:15" x14ac:dyDescent="0.25">
      <c r="A1212" s="89">
        <v>45166.833333333336</v>
      </c>
      <c r="B1212" s="94">
        <v>361.41</v>
      </c>
      <c r="C1212" s="94">
        <v>300.60415048949244</v>
      </c>
      <c r="D1212" s="94">
        <v>35.789515493817738</v>
      </c>
      <c r="E1212" s="94">
        <v>2.1617551504326671</v>
      </c>
      <c r="F1212" s="94">
        <v>2.1253884807119827</v>
      </c>
      <c r="G1212" s="94">
        <v>0</v>
      </c>
      <c r="H1212" s="94">
        <v>74.60263688537303</v>
      </c>
      <c r="I1212" s="94">
        <v>15.132917158906428</v>
      </c>
      <c r="J1212" s="94">
        <v>2997.5536694393149</v>
      </c>
      <c r="K1212" s="94">
        <v>2.4819468931088648</v>
      </c>
      <c r="L1212" s="94">
        <v>0</v>
      </c>
      <c r="M1212" s="94">
        <v>0</v>
      </c>
      <c r="N1212" s="94">
        <v>0</v>
      </c>
      <c r="O1212" s="94">
        <v>0</v>
      </c>
    </row>
    <row r="1213" spans="1:15" x14ac:dyDescent="0.25">
      <c r="A1213" s="89">
        <v>45167.333333333336</v>
      </c>
      <c r="B1213" s="94">
        <v>361.4036930969736</v>
      </c>
      <c r="C1213" s="94">
        <v>300.60000000000002</v>
      </c>
      <c r="D1213" s="94">
        <v>35.312063154976613</v>
      </c>
      <c r="E1213" s="94">
        <v>2.1909311134870935</v>
      </c>
      <c r="F1213" s="94">
        <v>1.8109204770590182</v>
      </c>
      <c r="G1213" s="94">
        <v>0</v>
      </c>
      <c r="H1213" s="94">
        <v>75.021062406456053</v>
      </c>
      <c r="I1213" s="94">
        <v>15.084494184266912</v>
      </c>
      <c r="J1213" s="94">
        <v>3019.2079047919451</v>
      </c>
      <c r="K1213" s="94">
        <v>2.4867593998417625</v>
      </c>
      <c r="L1213" s="94">
        <v>0</v>
      </c>
      <c r="M1213" s="94">
        <v>0</v>
      </c>
      <c r="N1213" s="94">
        <v>0</v>
      </c>
      <c r="O1213" s="94">
        <v>0</v>
      </c>
    </row>
    <row r="1214" spans="1:15" x14ac:dyDescent="0.25">
      <c r="A1214" s="89">
        <v>45167.833333333336</v>
      </c>
      <c r="B1214" s="94">
        <v>361.4</v>
      </c>
      <c r="C1214" s="94">
        <v>300.60094215103004</v>
      </c>
      <c r="D1214" s="94">
        <v>36.141969181941107</v>
      </c>
      <c r="E1214" s="94">
        <v>2.1845725403114908</v>
      </c>
      <c r="F1214" s="94">
        <v>2.2000000000000002</v>
      </c>
      <c r="G1214" s="94">
        <v>0</v>
      </c>
      <c r="H1214" s="94">
        <v>74.888030416923655</v>
      </c>
      <c r="I1214" s="94">
        <v>15.232317612267918</v>
      </c>
      <c r="J1214" s="94">
        <v>3009.0044377270856</v>
      </c>
      <c r="K1214" s="94">
        <v>2.4849999999999999</v>
      </c>
      <c r="L1214" s="94">
        <v>0</v>
      </c>
      <c r="M1214" s="94">
        <v>0</v>
      </c>
      <c r="N1214" s="94">
        <v>0</v>
      </c>
      <c r="O1214" s="94">
        <v>0</v>
      </c>
    </row>
    <row r="1215" spans="1:15" x14ac:dyDescent="0.25">
      <c r="A1215" s="89">
        <v>45168.333333333336</v>
      </c>
      <c r="B1215" s="94">
        <v>361.3806985772548</v>
      </c>
      <c r="C1215" s="94">
        <v>300.60912084637164</v>
      </c>
      <c r="D1215" s="94">
        <v>36.126973468594471</v>
      </c>
      <c r="E1215" s="94">
        <v>2.1624600219726564</v>
      </c>
      <c r="F1215" s="94">
        <v>1.9081350287617316</v>
      </c>
      <c r="G1215" s="94">
        <v>0</v>
      </c>
      <c r="H1215" s="94">
        <v>75.218529275833575</v>
      </c>
      <c r="I1215" s="94">
        <v>15.195369925846647</v>
      </c>
      <c r="J1215" s="94">
        <v>3022.4355829904757</v>
      </c>
      <c r="K1215" s="94">
        <v>2.4877577126750405</v>
      </c>
      <c r="L1215" s="94">
        <v>0</v>
      </c>
      <c r="M1215" s="94">
        <v>0</v>
      </c>
      <c r="N1215" s="94">
        <v>0</v>
      </c>
      <c r="O1215" s="94">
        <v>0</v>
      </c>
    </row>
    <row r="1216" spans="1:15" x14ac:dyDescent="0.25">
      <c r="A1216" s="89">
        <v>45168.833333333336</v>
      </c>
      <c r="B1216" s="94">
        <v>361.37</v>
      </c>
      <c r="C1216" s="94">
        <v>300.79720211203443</v>
      </c>
      <c r="D1216" s="94">
        <v>64.7</v>
      </c>
      <c r="E1216" s="94">
        <v>5.4133268413869251</v>
      </c>
      <c r="F1216" s="94">
        <v>2.1204107850404057</v>
      </c>
      <c r="G1216" s="94">
        <v>0</v>
      </c>
      <c r="H1216" s="94">
        <v>84.9</v>
      </c>
      <c r="I1216" s="94">
        <v>17.697103631709464</v>
      </c>
      <c r="J1216" s="94">
        <v>3859</v>
      </c>
      <c r="K1216" s="94">
        <v>2.6591916478002053</v>
      </c>
      <c r="L1216" s="94">
        <v>0</v>
      </c>
      <c r="M1216" s="94">
        <v>0</v>
      </c>
      <c r="N1216" s="94">
        <v>0</v>
      </c>
      <c r="O1216" s="94">
        <v>0</v>
      </c>
    </row>
    <row r="1217" spans="1:15" x14ac:dyDescent="0.25">
      <c r="A1217" s="89">
        <v>45169.333333333336</v>
      </c>
      <c r="B1217" s="94">
        <v>361.35694863930041</v>
      </c>
      <c r="C1217" s="94">
        <v>300.79000000000002</v>
      </c>
      <c r="D1217" s="94">
        <v>64.099999999999994</v>
      </c>
      <c r="E1217" s="94">
        <v>5.4266959375229158</v>
      </c>
      <c r="F1217" s="94">
        <v>2.04443621961317</v>
      </c>
      <c r="G1217" s="94">
        <v>0</v>
      </c>
      <c r="H1217" s="94">
        <v>84.903916140669779</v>
      </c>
      <c r="I1217" s="94">
        <v>17.671676553013629</v>
      </c>
      <c r="J1217" s="94">
        <v>3881.9860269668839</v>
      </c>
      <c r="K1217" s="94">
        <v>2.662707807845071</v>
      </c>
      <c r="L1217" s="94">
        <v>0</v>
      </c>
      <c r="M1217" s="94">
        <v>0</v>
      </c>
      <c r="N1217" s="94">
        <v>0</v>
      </c>
      <c r="O1217" s="94">
        <v>0</v>
      </c>
    </row>
    <row r="1218" spans="1:15" x14ac:dyDescent="0.25">
      <c r="A1218" s="89">
        <v>45169.833333333336</v>
      </c>
      <c r="B1218" s="94">
        <v>361.35</v>
      </c>
      <c r="C1218" s="94">
        <v>300.8</v>
      </c>
      <c r="D1218" s="94">
        <v>66.138062967967116</v>
      </c>
      <c r="E1218" s="94">
        <v>5.7597099304199215</v>
      </c>
      <c r="F1218" s="94">
        <v>2.2610511626198884</v>
      </c>
      <c r="G1218" s="94">
        <v>0</v>
      </c>
      <c r="H1218" s="94">
        <v>82.6</v>
      </c>
      <c r="I1218" s="94">
        <v>17.197517068625803</v>
      </c>
      <c r="J1218" s="94">
        <v>3859</v>
      </c>
      <c r="K1218" s="94">
        <v>2.6591351300979875</v>
      </c>
      <c r="L1218" s="94">
        <v>0</v>
      </c>
      <c r="M1218" s="94">
        <v>0</v>
      </c>
      <c r="N1218" s="94">
        <v>0</v>
      </c>
      <c r="O1218" s="94">
        <v>0</v>
      </c>
    </row>
    <row r="1219" spans="1:15" x14ac:dyDescent="0.25">
      <c r="A1219" s="89">
        <v>45170.333333333336</v>
      </c>
      <c r="B1219" s="94">
        <v>361.31019049153764</v>
      </c>
      <c r="C1219" s="94">
        <v>300.8</v>
      </c>
      <c r="D1219" s="94">
        <v>65.587111507293002</v>
      </c>
      <c r="E1219" s="94">
        <v>5.7406716269446543</v>
      </c>
      <c r="F1219" s="94">
        <v>2.1697299194335939</v>
      </c>
      <c r="G1219" s="94">
        <v>0</v>
      </c>
      <c r="H1219" s="94">
        <v>82.979677779586225</v>
      </c>
      <c r="I1219" s="94">
        <v>17.120961050862991</v>
      </c>
      <c r="J1219" s="94">
        <v>3858.0133300031707</v>
      </c>
      <c r="K1219" s="94">
        <v>2.6595250301252258</v>
      </c>
      <c r="L1219" s="94">
        <v>0</v>
      </c>
      <c r="M1219" s="94">
        <v>0</v>
      </c>
      <c r="N1219" s="94">
        <v>0</v>
      </c>
      <c r="O1219" s="94">
        <v>0</v>
      </c>
    </row>
    <row r="1220" spans="1:15" x14ac:dyDescent="0.25">
      <c r="A1220" s="89">
        <v>45170.833333333336</v>
      </c>
      <c r="B1220" s="94">
        <v>361.29</v>
      </c>
      <c r="C1220" s="94">
        <v>300.8</v>
      </c>
      <c r="D1220" s="94">
        <v>66.753956814716702</v>
      </c>
      <c r="E1220" s="94">
        <v>5.7498062319712151</v>
      </c>
      <c r="F1220" s="94">
        <v>2.2999999999999998</v>
      </c>
      <c r="G1220" s="94">
        <v>0</v>
      </c>
      <c r="H1220" s="94">
        <v>82.750200008671598</v>
      </c>
      <c r="I1220" s="94">
        <v>17.305992599840987</v>
      </c>
      <c r="J1220" s="94">
        <v>3871.041614628894</v>
      </c>
      <c r="K1220" s="94">
        <v>2.6615222198311286</v>
      </c>
      <c r="L1220" s="94">
        <v>0</v>
      </c>
      <c r="M1220" s="94">
        <v>0</v>
      </c>
      <c r="N1220" s="94">
        <v>0</v>
      </c>
      <c r="O1220" s="94">
        <v>0</v>
      </c>
    </row>
    <row r="1221" spans="1:15" x14ac:dyDescent="0.25">
      <c r="A1221" s="89">
        <v>45171.333333333336</v>
      </c>
      <c r="B1221" s="94">
        <v>361.29</v>
      </c>
      <c r="C1221" s="94">
        <v>300.8</v>
      </c>
      <c r="D1221" s="94">
        <v>66.400000000000006</v>
      </c>
      <c r="E1221" s="94">
        <v>5.7404943820224723</v>
      </c>
      <c r="F1221" s="94">
        <v>2</v>
      </c>
      <c r="G1221" s="94">
        <v>0</v>
      </c>
      <c r="H1221" s="94">
        <v>82.6</v>
      </c>
      <c r="I1221" s="94">
        <v>17.068790204734583</v>
      </c>
      <c r="J1221" s="94">
        <v>3828</v>
      </c>
      <c r="K1221" s="94">
        <v>2.652881964115076</v>
      </c>
      <c r="L1221" s="94">
        <v>0</v>
      </c>
      <c r="M1221" s="94">
        <v>0</v>
      </c>
      <c r="N1221" s="94">
        <v>0</v>
      </c>
      <c r="O1221" s="94">
        <v>0</v>
      </c>
    </row>
    <row r="1222" spans="1:15" x14ac:dyDescent="0.25">
      <c r="A1222" s="89">
        <v>45171.833333333336</v>
      </c>
      <c r="B1222" s="94">
        <v>361.29</v>
      </c>
      <c r="C1222" s="94">
        <v>300.8</v>
      </c>
      <c r="D1222" s="94">
        <v>66.984229409152903</v>
      </c>
      <c r="E1222" s="94">
        <v>5.7443161493477284</v>
      </c>
      <c r="F1222" s="94">
        <v>2.3181467762683718</v>
      </c>
      <c r="G1222" s="94">
        <v>0</v>
      </c>
      <c r="H1222" s="94">
        <v>82.6</v>
      </c>
      <c r="I1222" s="94">
        <v>17.162672062313636</v>
      </c>
      <c r="J1222" s="94">
        <v>3828</v>
      </c>
      <c r="K1222" s="94">
        <v>2.6567014171323207</v>
      </c>
      <c r="L1222" s="94">
        <v>0</v>
      </c>
      <c r="M1222" s="94">
        <v>0</v>
      </c>
      <c r="N1222" s="94">
        <v>0</v>
      </c>
      <c r="O1222" s="94">
        <v>0</v>
      </c>
    </row>
    <row r="1223" spans="1:15" x14ac:dyDescent="0.25">
      <c r="A1223" s="89">
        <v>45172.333333333336</v>
      </c>
      <c r="B1223" s="94">
        <v>361.29</v>
      </c>
      <c r="C1223" s="94">
        <v>300.8</v>
      </c>
      <c r="D1223" s="94">
        <v>67.551366270204326</v>
      </c>
      <c r="E1223" s="94">
        <v>5.7345999145507811</v>
      </c>
      <c r="F1223" s="94">
        <v>2.1</v>
      </c>
      <c r="G1223" s="94">
        <v>0</v>
      </c>
      <c r="H1223" s="94">
        <v>83.3</v>
      </c>
      <c r="I1223" s="94">
        <v>17.255965174889262</v>
      </c>
      <c r="J1223" s="94">
        <v>3830.9513101571943</v>
      </c>
      <c r="K1223" s="94">
        <v>2.6535739402024148</v>
      </c>
      <c r="L1223" s="94">
        <v>0</v>
      </c>
      <c r="M1223" s="94">
        <v>0</v>
      </c>
      <c r="N1223" s="94">
        <v>0</v>
      </c>
      <c r="O1223" s="94">
        <v>0</v>
      </c>
    </row>
    <row r="1224" spans="1:15" x14ac:dyDescent="0.25">
      <c r="A1224" s="89">
        <v>45172.833333333336</v>
      </c>
      <c r="B1224" s="94">
        <v>361.29</v>
      </c>
      <c r="C1224" s="94">
        <v>300.79991367197925</v>
      </c>
      <c r="D1224" s="94">
        <v>68.3</v>
      </c>
      <c r="E1224" s="94">
        <v>5.7147499084472653</v>
      </c>
      <c r="F1224" s="94">
        <v>2.4</v>
      </c>
      <c r="G1224" s="94">
        <v>0</v>
      </c>
      <c r="H1224" s="94">
        <v>82.76290747470992</v>
      </c>
      <c r="I1224" s="94">
        <v>17.07</v>
      </c>
      <c r="J1224" s="94">
        <v>3844.5692914222486</v>
      </c>
      <c r="K1224" s="94">
        <v>2.656279335935714</v>
      </c>
      <c r="L1224" s="94">
        <v>0</v>
      </c>
      <c r="M1224" s="94">
        <v>0</v>
      </c>
      <c r="N1224" s="94">
        <v>0</v>
      </c>
      <c r="O1224" s="94">
        <v>0</v>
      </c>
    </row>
    <row r="1225" spans="1:15" x14ac:dyDescent="0.25">
      <c r="A1225" s="89">
        <v>45173.333333333336</v>
      </c>
      <c r="B1225" s="94">
        <v>361.20029092722825</v>
      </c>
      <c r="C1225" s="94">
        <v>300.8</v>
      </c>
      <c r="D1225" s="94">
        <v>68.707428276404258</v>
      </c>
      <c r="E1225" s="94">
        <v>5.7401201959805652</v>
      </c>
      <c r="F1225" s="94">
        <v>2.1516526653429051</v>
      </c>
      <c r="G1225" s="94">
        <v>0</v>
      </c>
      <c r="H1225" s="94">
        <v>83.391344439101886</v>
      </c>
      <c r="I1225" s="94">
        <v>17.287031061155425</v>
      </c>
      <c r="J1225" s="94">
        <v>3844.1133185434246</v>
      </c>
      <c r="K1225" s="94">
        <v>2.656386819066725</v>
      </c>
      <c r="L1225" s="94">
        <v>0</v>
      </c>
      <c r="M1225" s="94">
        <v>0</v>
      </c>
      <c r="N1225" s="94">
        <v>0</v>
      </c>
      <c r="O1225" s="94">
        <v>0</v>
      </c>
    </row>
    <row r="1226" spans="1:15" x14ac:dyDescent="0.25">
      <c r="A1226" s="89">
        <v>45173.833333333336</v>
      </c>
      <c r="B1226" s="94">
        <v>361.16</v>
      </c>
      <c r="C1226" s="94">
        <v>300.8</v>
      </c>
      <c r="D1226" s="94">
        <v>67.964638664947216</v>
      </c>
      <c r="E1226" s="94">
        <v>5.7451897423402576</v>
      </c>
      <c r="F1226" s="94">
        <v>2.4620307466833582</v>
      </c>
      <c r="G1226" s="94">
        <v>0</v>
      </c>
      <c r="H1226" s="94">
        <v>82.515286789646851</v>
      </c>
      <c r="I1226" s="94">
        <v>17.188589630126955</v>
      </c>
      <c r="J1226" s="94">
        <v>3845.5622753205243</v>
      </c>
      <c r="K1226" s="94">
        <v>2.6560000000000001</v>
      </c>
      <c r="L1226" s="94">
        <v>0</v>
      </c>
      <c r="M1226" s="94">
        <v>0</v>
      </c>
      <c r="N1226" s="94">
        <v>0</v>
      </c>
      <c r="O1226" s="94">
        <v>0</v>
      </c>
    </row>
    <row r="1227" spans="1:15" x14ac:dyDescent="0.25">
      <c r="A1227" s="89">
        <v>45174.333333333336</v>
      </c>
      <c r="B1227" s="94">
        <v>361.13168773518578</v>
      </c>
      <c r="C1227" s="94">
        <v>300.8</v>
      </c>
      <c r="D1227" s="94">
        <v>70.150415672287636</v>
      </c>
      <c r="E1227" s="94">
        <v>5.7653414835922421</v>
      </c>
      <c r="F1227" s="94">
        <v>2.4</v>
      </c>
      <c r="G1227" s="94">
        <v>0</v>
      </c>
      <c r="H1227" s="94">
        <v>82.752365558605263</v>
      </c>
      <c r="I1227" s="94">
        <v>17.15415816404694</v>
      </c>
      <c r="J1227" s="94">
        <v>3859</v>
      </c>
      <c r="K1227" s="94">
        <v>2.6589999999999998</v>
      </c>
      <c r="L1227" s="94">
        <v>0</v>
      </c>
      <c r="M1227" s="94">
        <v>0</v>
      </c>
      <c r="N1227" s="94">
        <v>0</v>
      </c>
      <c r="O1227" s="94">
        <v>0</v>
      </c>
    </row>
    <row r="1228" spans="1:15" x14ac:dyDescent="0.25">
      <c r="A1228" s="89">
        <v>45174.833333333336</v>
      </c>
      <c r="B1228" s="94">
        <v>361.12</v>
      </c>
      <c r="C1228" s="94">
        <v>300.8</v>
      </c>
      <c r="D1228" s="94">
        <v>68.404100036621102</v>
      </c>
      <c r="E1228" s="94">
        <v>5.7291703396422093</v>
      </c>
      <c r="F1228" s="94">
        <v>2.5191799926757814</v>
      </c>
      <c r="G1228" s="94">
        <v>0</v>
      </c>
      <c r="H1228" s="94">
        <v>82.768016362402918</v>
      </c>
      <c r="I1228" s="94">
        <v>17.174777092635907</v>
      </c>
      <c r="J1228" s="94">
        <v>3843</v>
      </c>
      <c r="K1228" s="94">
        <v>2.6566940469621025</v>
      </c>
      <c r="L1228" s="94">
        <v>0</v>
      </c>
      <c r="M1228" s="94">
        <v>0</v>
      </c>
      <c r="N1228" s="94">
        <v>0</v>
      </c>
      <c r="O1228" s="94">
        <v>0</v>
      </c>
    </row>
    <row r="1229" spans="1:15" x14ac:dyDescent="0.25">
      <c r="A1229" s="89">
        <v>45175.333333333336</v>
      </c>
      <c r="B1229" s="94">
        <v>361.08420985017295</v>
      </c>
      <c r="C1229" s="94">
        <v>300.8</v>
      </c>
      <c r="D1229" s="94">
        <v>69.376735122530718</v>
      </c>
      <c r="E1229" s="94">
        <v>5.758708721551856</v>
      </c>
      <c r="F1229" s="94">
        <v>2.121412529445418</v>
      </c>
      <c r="G1229" s="94">
        <v>0</v>
      </c>
      <c r="H1229" s="94">
        <v>83.380570718026817</v>
      </c>
      <c r="I1229" s="94">
        <v>17.18</v>
      </c>
      <c r="J1229" s="94">
        <v>3899.665760351163</v>
      </c>
      <c r="K1229" s="94">
        <v>2.6666184616207222</v>
      </c>
      <c r="L1229" s="94">
        <v>0</v>
      </c>
      <c r="M1229" s="94">
        <v>0</v>
      </c>
      <c r="N1229" s="94">
        <v>0</v>
      </c>
      <c r="O1229" s="94">
        <v>0</v>
      </c>
    </row>
    <row r="1230" spans="1:15" x14ac:dyDescent="0.25">
      <c r="A1230" s="89">
        <v>45175.833333333336</v>
      </c>
      <c r="B1230" s="94">
        <v>361.07</v>
      </c>
      <c r="C1230" s="94">
        <v>300.8</v>
      </c>
      <c r="D1230" s="94">
        <v>69.099999999999994</v>
      </c>
      <c r="E1230" s="94">
        <v>5.7294163519695438</v>
      </c>
      <c r="F1230" s="94">
        <v>2.5</v>
      </c>
      <c r="G1230" s="94">
        <v>0</v>
      </c>
      <c r="H1230" s="94">
        <v>82.7</v>
      </c>
      <c r="I1230" s="94">
        <v>16.994174138890607</v>
      </c>
      <c r="J1230" s="94">
        <v>3869</v>
      </c>
      <c r="K1230" s="94">
        <v>2.661</v>
      </c>
      <c r="L1230" s="94">
        <v>0</v>
      </c>
      <c r="M1230" s="94">
        <v>0</v>
      </c>
      <c r="N1230" s="94">
        <v>0</v>
      </c>
      <c r="O1230" s="94">
        <v>0</v>
      </c>
    </row>
    <row r="1231" spans="1:15" x14ac:dyDescent="0.25">
      <c r="A1231" s="89">
        <v>45176.333333333336</v>
      </c>
      <c r="B1231" s="94">
        <v>361.04087158368952</v>
      </c>
      <c r="C1231" s="94">
        <v>300.8</v>
      </c>
      <c r="D1231" s="94">
        <v>69.3</v>
      </c>
      <c r="E1231" s="94">
        <v>5.73</v>
      </c>
      <c r="F1231" s="94">
        <v>2.2000000000000002</v>
      </c>
      <c r="G1231" s="94">
        <v>0</v>
      </c>
      <c r="H1231" s="94">
        <v>83.2</v>
      </c>
      <c r="I1231" s="94">
        <v>17.222250671386718</v>
      </c>
      <c r="J1231" s="94">
        <v>3874.8568211889797</v>
      </c>
      <c r="K1231" s="94">
        <v>2.6618360218336559</v>
      </c>
      <c r="L1231" s="94">
        <v>0</v>
      </c>
      <c r="M1231" s="94">
        <v>0</v>
      </c>
      <c r="N1231" s="94">
        <v>0</v>
      </c>
      <c r="O1231" s="94">
        <v>0</v>
      </c>
    </row>
    <row r="1232" spans="1:15" x14ac:dyDescent="0.25">
      <c r="A1232" s="89">
        <v>45176.833333333336</v>
      </c>
      <c r="B1232" s="94">
        <v>361.03</v>
      </c>
      <c r="C1232" s="94">
        <v>300.8</v>
      </c>
      <c r="D1232" s="94">
        <v>70</v>
      </c>
      <c r="E1232" s="94">
        <v>5.7454000854492184</v>
      </c>
      <c r="F1232" s="94">
        <v>2.6</v>
      </c>
      <c r="G1232" s="94">
        <v>0</v>
      </c>
      <c r="H1232" s="94">
        <v>82.991002832112187</v>
      </c>
      <c r="I1232" s="94">
        <v>17.274404392784589</v>
      </c>
      <c r="J1232" s="94">
        <v>3873.0119186846914</v>
      </c>
      <c r="K1232" s="94">
        <v>2.6619999999999999</v>
      </c>
      <c r="L1232" s="94">
        <v>0</v>
      </c>
      <c r="M1232" s="94">
        <v>0</v>
      </c>
      <c r="N1232" s="94">
        <v>0</v>
      </c>
      <c r="O1232" s="94">
        <v>0</v>
      </c>
    </row>
    <row r="1233" spans="1:15" x14ac:dyDescent="0.25">
      <c r="A1233" s="89">
        <v>45177.333333333336</v>
      </c>
      <c r="B1233" s="94">
        <v>361.00756736000636</v>
      </c>
      <c r="C1233" s="94">
        <v>300.79054965879124</v>
      </c>
      <c r="D1233" s="94">
        <v>69.855734987105492</v>
      </c>
      <c r="E1233" s="94">
        <v>5.7316564022428533</v>
      </c>
      <c r="F1233" s="94">
        <v>2.4</v>
      </c>
      <c r="G1233" s="94">
        <v>0</v>
      </c>
      <c r="H1233" s="94">
        <v>83.319850100996732</v>
      </c>
      <c r="I1233" s="94">
        <v>17.276593226817521</v>
      </c>
      <c r="J1233" s="94">
        <v>3848.1453048695071</v>
      </c>
      <c r="K1233" s="94">
        <v>2.6568641070492691</v>
      </c>
      <c r="L1233" s="94">
        <v>0</v>
      </c>
      <c r="M1233" s="94">
        <v>0</v>
      </c>
      <c r="N1233" s="94">
        <v>0</v>
      </c>
      <c r="O1233" s="94">
        <v>0</v>
      </c>
    </row>
    <row r="1234" spans="1:15" x14ac:dyDescent="0.25">
      <c r="A1234" s="89">
        <v>45177.833333333336</v>
      </c>
      <c r="B1234" s="94">
        <v>361</v>
      </c>
      <c r="C1234" s="94">
        <v>300.93</v>
      </c>
      <c r="D1234" s="94">
        <v>44.8</v>
      </c>
      <c r="E1234" s="94">
        <v>2.9052337680462728</v>
      </c>
      <c r="F1234" s="94">
        <v>77.453388528262877</v>
      </c>
      <c r="G1234" s="94">
        <v>6.4047503312165928</v>
      </c>
      <c r="H1234" s="94">
        <v>78.497264056129154</v>
      </c>
      <c r="I1234" s="94">
        <v>15.956640014648437</v>
      </c>
      <c r="J1234" s="94">
        <v>4416.1809815439547</v>
      </c>
      <c r="K1234" s="94">
        <v>2.7615164766489095</v>
      </c>
      <c r="L1234" s="94">
        <v>0</v>
      </c>
      <c r="M1234" s="94">
        <v>0</v>
      </c>
      <c r="N1234" s="94">
        <v>0</v>
      </c>
      <c r="O1234" s="94">
        <v>0</v>
      </c>
    </row>
    <row r="1235" spans="1:15" x14ac:dyDescent="0.25">
      <c r="A1235" s="89">
        <v>45178.333333333336</v>
      </c>
      <c r="B1235" s="94">
        <v>361</v>
      </c>
      <c r="C1235" s="94">
        <v>300.9283515496212</v>
      </c>
      <c r="D1235" s="94">
        <v>43.6</v>
      </c>
      <c r="E1235" s="94">
        <v>2.8907428685234549</v>
      </c>
      <c r="F1235" s="94">
        <v>76.85469192580635</v>
      </c>
      <c r="G1235" s="94">
        <v>6.4218591277143906</v>
      </c>
      <c r="H1235" s="94">
        <v>78.881855293083873</v>
      </c>
      <c r="I1235" s="94">
        <v>16.034595286729065</v>
      </c>
      <c r="J1235" s="94">
        <v>4387.643856978154</v>
      </c>
      <c r="K1235" s="94">
        <v>2.756629589163325</v>
      </c>
      <c r="L1235" s="94">
        <v>0</v>
      </c>
      <c r="M1235" s="94">
        <v>0</v>
      </c>
      <c r="N1235" s="94">
        <v>0</v>
      </c>
      <c r="O1235" s="94">
        <v>0</v>
      </c>
    </row>
    <row r="1236" spans="1:15" x14ac:dyDescent="0.25">
      <c r="A1236" s="89">
        <v>45178.833333333336</v>
      </c>
      <c r="B1236" s="94">
        <v>361</v>
      </c>
      <c r="C1236" s="94">
        <v>301.12</v>
      </c>
      <c r="D1236" s="94">
        <v>81.941780021189288</v>
      </c>
      <c r="E1236" s="94">
        <v>7.0204016913319238</v>
      </c>
      <c r="F1236" s="94">
        <v>83</v>
      </c>
      <c r="G1236" s="94">
        <v>6.970243760240443</v>
      </c>
      <c r="H1236" s="94">
        <v>78.811437476001956</v>
      </c>
      <c r="I1236" s="94">
        <v>15.877686398004048</v>
      </c>
      <c r="J1236" s="94">
        <v>5488.736476726529</v>
      </c>
      <c r="K1236" s="94">
        <v>2.9395046809093706</v>
      </c>
      <c r="L1236" s="94">
        <v>11</v>
      </c>
      <c r="M1236" s="94">
        <v>0</v>
      </c>
      <c r="N1236" s="94">
        <v>0</v>
      </c>
      <c r="O1236" s="94">
        <v>0</v>
      </c>
    </row>
    <row r="1237" spans="1:15" x14ac:dyDescent="0.25">
      <c r="A1237" s="89">
        <v>45179.333333333336</v>
      </c>
      <c r="B1237" s="94">
        <v>361</v>
      </c>
      <c r="C1237" s="94">
        <v>301.12</v>
      </c>
      <c r="D1237" s="94">
        <v>78.900000000000006</v>
      </c>
      <c r="E1237" s="94">
        <v>6.9997551123453672</v>
      </c>
      <c r="F1237" s="94">
        <v>82.757187765685757</v>
      </c>
      <c r="G1237" s="94">
        <v>6.9495498106538758</v>
      </c>
      <c r="H1237" s="94">
        <v>79.2</v>
      </c>
      <c r="I1237" s="94">
        <v>15.936423807599029</v>
      </c>
      <c r="J1237" s="94">
        <v>5454.3166610856742</v>
      </c>
      <c r="K1237" s="94">
        <v>2.9343318998718262</v>
      </c>
      <c r="L1237" s="94">
        <v>11</v>
      </c>
      <c r="M1237" s="94">
        <v>0</v>
      </c>
      <c r="N1237" s="94">
        <v>0</v>
      </c>
      <c r="O1237" s="94">
        <v>0</v>
      </c>
    </row>
    <row r="1238" spans="1:15" x14ac:dyDescent="0.25">
      <c r="A1238" s="89">
        <v>45179.833333333336</v>
      </c>
      <c r="B1238" s="94">
        <v>361</v>
      </c>
      <c r="C1238" s="94">
        <v>301.07417634921694</v>
      </c>
      <c r="D1238" s="94">
        <v>78.860949707031253</v>
      </c>
      <c r="E1238" s="94">
        <v>6.93</v>
      </c>
      <c r="F1238" s="94">
        <v>83.107570754906448</v>
      </c>
      <c r="G1238" s="94">
        <v>6.936179530841903</v>
      </c>
      <c r="H1238" s="94">
        <v>78.599999999999994</v>
      </c>
      <c r="I1238" s="94">
        <v>15.888513650151669</v>
      </c>
      <c r="J1238" s="94">
        <v>5133.1206630207835</v>
      </c>
      <c r="K1238" s="94">
        <v>2.883</v>
      </c>
      <c r="L1238" s="94">
        <v>0</v>
      </c>
      <c r="M1238" s="94">
        <v>0</v>
      </c>
      <c r="N1238" s="94">
        <v>0</v>
      </c>
      <c r="O1238" s="94">
        <v>0</v>
      </c>
    </row>
    <row r="1239" spans="1:15" x14ac:dyDescent="0.25">
      <c r="A1239" s="89">
        <v>45180.333333333336</v>
      </c>
      <c r="B1239" s="94">
        <v>360.84729828990493</v>
      </c>
      <c r="C1239" s="94">
        <v>301.12586586731192</v>
      </c>
      <c r="D1239" s="94">
        <v>80.827874255016255</v>
      </c>
      <c r="E1239" s="94">
        <v>6.947025340182579</v>
      </c>
      <c r="F1239" s="94">
        <v>82.597894656371835</v>
      </c>
      <c r="G1239" s="94">
        <v>6.96</v>
      </c>
      <c r="H1239" s="94">
        <v>79.202592068626771</v>
      </c>
      <c r="I1239" s="94">
        <v>15.991123296843771</v>
      </c>
      <c r="J1239" s="94">
        <v>5540.0482605620482</v>
      </c>
      <c r="K1239" s="94">
        <v>2.9469752350567728</v>
      </c>
      <c r="L1239" s="94">
        <v>12</v>
      </c>
      <c r="M1239" s="94">
        <v>0</v>
      </c>
      <c r="N1239" s="94">
        <v>0</v>
      </c>
      <c r="O1239" s="94">
        <v>0</v>
      </c>
    </row>
    <row r="1240" spans="1:15" x14ac:dyDescent="0.25">
      <c r="A1240" s="89">
        <v>45180.833333333336</v>
      </c>
      <c r="B1240" s="94">
        <v>360.8</v>
      </c>
      <c r="C1240" s="94">
        <v>301.2</v>
      </c>
      <c r="D1240" s="94">
        <v>81</v>
      </c>
      <c r="E1240" s="94">
        <v>6.9361476142131977</v>
      </c>
      <c r="F1240" s="94">
        <v>83.6</v>
      </c>
      <c r="G1240" s="94">
        <v>6.9696199035644533</v>
      </c>
      <c r="H1240" s="94">
        <v>78.641007251282232</v>
      </c>
      <c r="I1240" s="94">
        <v>15.949500152485513</v>
      </c>
      <c r="J1240" s="94">
        <v>6014.1694381267816</v>
      </c>
      <c r="K1240" s="94">
        <v>3.0187361713115943</v>
      </c>
      <c r="L1240" s="94">
        <v>27</v>
      </c>
      <c r="M1240" s="94">
        <v>0</v>
      </c>
      <c r="N1240" s="94">
        <v>0</v>
      </c>
      <c r="O1240" s="94">
        <v>0</v>
      </c>
    </row>
    <row r="1241" spans="1:15" x14ac:dyDescent="0.25">
      <c r="A1241" s="89">
        <v>45181.333333333336</v>
      </c>
      <c r="B1241" s="94">
        <v>360.79221989210657</v>
      </c>
      <c r="C1241" s="94">
        <v>301.2</v>
      </c>
      <c r="D1241" s="94">
        <v>81.599999999999994</v>
      </c>
      <c r="E1241" s="94">
        <v>6.9109051684754474</v>
      </c>
      <c r="F1241" s="94">
        <v>83.324507729944528</v>
      </c>
      <c r="G1241" s="94">
        <v>6.9644221572911453</v>
      </c>
      <c r="H1241" s="94">
        <v>79.877387068127206</v>
      </c>
      <c r="I1241" s="94">
        <v>16.11</v>
      </c>
      <c r="J1241" s="94">
        <v>5993.9922234239621</v>
      </c>
      <c r="K1241" s="94">
        <v>3.015758847397668</v>
      </c>
      <c r="L1241" s="94">
        <v>27</v>
      </c>
      <c r="M1241" s="94">
        <v>0</v>
      </c>
      <c r="N1241" s="94">
        <v>0</v>
      </c>
      <c r="O1241" s="94">
        <v>0</v>
      </c>
    </row>
    <row r="1242" spans="1:15" x14ac:dyDescent="0.25">
      <c r="A1242" s="89">
        <v>45181.833333333336</v>
      </c>
      <c r="B1242" s="94">
        <v>360.79</v>
      </c>
      <c r="C1242" s="94">
        <v>301.29000000000002</v>
      </c>
      <c r="D1242" s="94">
        <v>81.900000000000006</v>
      </c>
      <c r="E1242" s="94">
        <v>6.9378402546840778</v>
      </c>
      <c r="F1242" s="94">
        <v>84.1</v>
      </c>
      <c r="G1242" s="94">
        <v>6.9721554205308607</v>
      </c>
      <c r="H1242" s="94">
        <v>78.402037560838878</v>
      </c>
      <c r="I1242" s="94">
        <v>15.923734565064192</v>
      </c>
      <c r="J1242" s="94">
        <v>6515.7626310242995</v>
      </c>
      <c r="K1242" s="94">
        <v>3.0920000000000001</v>
      </c>
      <c r="L1242" s="94">
        <v>46</v>
      </c>
      <c r="M1242" s="94">
        <v>0</v>
      </c>
      <c r="N1242" s="94">
        <v>0</v>
      </c>
      <c r="O1242" s="94">
        <v>0</v>
      </c>
    </row>
    <row r="1243" spans="1:15" x14ac:dyDescent="0.25">
      <c r="A1243" s="89">
        <v>45182.333333333336</v>
      </c>
      <c r="B1243" s="94">
        <v>360.71183393831836</v>
      </c>
      <c r="C1243" s="94">
        <v>301.35000000000002</v>
      </c>
      <c r="D1243" s="94">
        <v>83.6</v>
      </c>
      <c r="E1243" s="94">
        <v>6.9503601074218748</v>
      </c>
      <c r="F1243" s="94">
        <v>83.794401151830897</v>
      </c>
      <c r="G1243" s="94">
        <v>6.9786798095703126</v>
      </c>
      <c r="H1243" s="94">
        <v>78.884516647380863</v>
      </c>
      <c r="I1243" s="94">
        <v>15.932211313413783</v>
      </c>
      <c r="J1243" s="94">
        <v>6832.6327804595685</v>
      </c>
      <c r="K1243" s="94">
        <v>3.1378881653295654</v>
      </c>
      <c r="L1243" s="94">
        <v>37</v>
      </c>
      <c r="M1243" s="94">
        <v>37</v>
      </c>
      <c r="N1243" s="94">
        <v>0</v>
      </c>
      <c r="O1243" s="94">
        <v>0</v>
      </c>
    </row>
    <row r="1244" spans="1:15" x14ac:dyDescent="0.25">
      <c r="A1244" s="89">
        <v>45182.833333333336</v>
      </c>
      <c r="B1244" s="94">
        <v>360.69</v>
      </c>
      <c r="C1244" s="94">
        <v>301.49532666915798</v>
      </c>
      <c r="D1244" s="94">
        <v>82.477066423748937</v>
      </c>
      <c r="E1244" s="94">
        <v>6.9411630693624966</v>
      </c>
      <c r="F1244" s="94">
        <v>84.2</v>
      </c>
      <c r="G1244" s="94">
        <v>6.9108238807334557</v>
      </c>
      <c r="H1244" s="94">
        <v>79.099999999999994</v>
      </c>
      <c r="I1244" s="94">
        <v>15.993073579538956</v>
      </c>
      <c r="J1244" s="94">
        <v>8034</v>
      </c>
      <c r="K1244" s="94">
        <v>3.2962520375571978</v>
      </c>
      <c r="L1244" s="94">
        <v>49</v>
      </c>
      <c r="M1244" s="94">
        <v>53</v>
      </c>
      <c r="N1244" s="94">
        <v>0</v>
      </c>
      <c r="O1244" s="94">
        <v>0</v>
      </c>
    </row>
    <row r="1245" spans="1:15" x14ac:dyDescent="0.25">
      <c r="A1245" s="89">
        <v>45183.333333333336</v>
      </c>
      <c r="B1245" s="94">
        <v>360.69</v>
      </c>
      <c r="C1245" s="94">
        <v>301.5</v>
      </c>
      <c r="D1245" s="94">
        <v>84.540455612027642</v>
      </c>
      <c r="E1245" s="94">
        <v>6.9595485154576062</v>
      </c>
      <c r="F1245" s="94">
        <v>84.465219561386533</v>
      </c>
      <c r="G1245" s="94">
        <v>6.9555569329660241</v>
      </c>
      <c r="H1245" s="94">
        <v>79.267954268798277</v>
      </c>
      <c r="I1245" s="94">
        <v>16.069721045090091</v>
      </c>
      <c r="J1245" s="94">
        <v>8060.168847207985</v>
      </c>
      <c r="K1245" s="94">
        <v>3.3010000000000002</v>
      </c>
      <c r="L1245" s="94">
        <v>49</v>
      </c>
      <c r="M1245" s="94">
        <v>52</v>
      </c>
      <c r="N1245" s="94">
        <v>0</v>
      </c>
      <c r="O1245" s="94">
        <v>0</v>
      </c>
    </row>
    <row r="1246" spans="1:15" x14ac:dyDescent="0.25">
      <c r="A1246" s="89">
        <v>45183.833333333336</v>
      </c>
      <c r="B1246" s="94">
        <v>360.69</v>
      </c>
      <c r="C1246" s="94">
        <v>301.5</v>
      </c>
      <c r="D1246" s="94">
        <v>84.190281916239172</v>
      </c>
      <c r="E1246" s="94">
        <v>6.9493178705071204</v>
      </c>
      <c r="F1246" s="94">
        <v>84.798148939743214</v>
      </c>
      <c r="G1246" s="94">
        <v>6.9546343476185468</v>
      </c>
      <c r="H1246" s="94">
        <v>78.900000000000006</v>
      </c>
      <c r="I1246" s="94">
        <v>15.969301323343537</v>
      </c>
      <c r="J1246" s="94">
        <v>8065.2699665894661</v>
      </c>
      <c r="K1246" s="94">
        <v>3.2997330397219846</v>
      </c>
      <c r="L1246" s="94">
        <v>49</v>
      </c>
      <c r="M1246" s="94">
        <v>53.46497771554921</v>
      </c>
      <c r="N1246" s="94">
        <v>0</v>
      </c>
      <c r="O1246" s="94">
        <v>0</v>
      </c>
    </row>
    <row r="1247" spans="1:15" x14ac:dyDescent="0.25">
      <c r="A1247" s="89">
        <v>45184.333333333336</v>
      </c>
      <c r="B1247" s="94">
        <v>360.69</v>
      </c>
      <c r="C1247" s="94">
        <v>301.5</v>
      </c>
      <c r="D1247" s="94">
        <v>84.435957853904029</v>
      </c>
      <c r="E1247" s="94">
        <v>6.9423866744521963</v>
      </c>
      <c r="F1247" s="94">
        <v>84.35652077596184</v>
      </c>
      <c r="G1247" s="94">
        <v>6.9321997070312502</v>
      </c>
      <c r="H1247" s="94">
        <v>79.032100764849716</v>
      </c>
      <c r="I1247" s="94">
        <v>15.946587253531206</v>
      </c>
      <c r="J1247" s="94">
        <v>8030.8143694354358</v>
      </c>
      <c r="K1247" s="94">
        <v>3.2966194133991822</v>
      </c>
      <c r="L1247" s="94">
        <v>49</v>
      </c>
      <c r="M1247" s="94">
        <v>53</v>
      </c>
      <c r="N1247" s="94">
        <v>0</v>
      </c>
      <c r="O1247" s="94">
        <v>0</v>
      </c>
    </row>
    <row r="1248" spans="1:15" x14ac:dyDescent="0.25">
      <c r="A1248" s="89">
        <v>45184.833333333336</v>
      </c>
      <c r="B1248" s="94">
        <v>360.69</v>
      </c>
      <c r="C1248" s="94">
        <v>301.14</v>
      </c>
      <c r="D1248" s="94">
        <v>82.427345965337338</v>
      </c>
      <c r="E1248" s="94">
        <v>6.9530144129455014</v>
      </c>
      <c r="F1248" s="94">
        <v>85</v>
      </c>
      <c r="G1248" s="94">
        <v>7.006160385327366</v>
      </c>
      <c r="H1248" s="94">
        <v>78</v>
      </c>
      <c r="I1248" s="94">
        <v>15.791211241790133</v>
      </c>
      <c r="J1248" s="94">
        <v>5545.619466814278</v>
      </c>
      <c r="K1248" s="94">
        <v>2.947757627485684</v>
      </c>
      <c r="L1248" s="94">
        <v>12</v>
      </c>
      <c r="M1248" s="94">
        <v>0</v>
      </c>
      <c r="N1248" s="94">
        <v>0</v>
      </c>
      <c r="O1248" s="94">
        <v>0</v>
      </c>
    </row>
    <row r="1249" spans="1:15" x14ac:dyDescent="0.25">
      <c r="A1249" s="89">
        <v>45185.333333333336</v>
      </c>
      <c r="B1249" s="94">
        <v>360.69</v>
      </c>
      <c r="C1249" s="94">
        <v>301.13104901181867</v>
      </c>
      <c r="D1249" s="94">
        <v>81</v>
      </c>
      <c r="E1249" s="94">
        <v>6.9586299896240238</v>
      </c>
      <c r="F1249" s="94">
        <v>84.605692797707945</v>
      </c>
      <c r="G1249" s="94">
        <v>6.9793902562339483</v>
      </c>
      <c r="H1249" s="94">
        <v>78.300950725883339</v>
      </c>
      <c r="I1249" s="94">
        <v>15.87442431648083</v>
      </c>
      <c r="J1249" s="94">
        <v>5526.0923222205001</v>
      </c>
      <c r="K1249" s="94">
        <v>2.9452447773695543</v>
      </c>
      <c r="L1249" s="94">
        <v>12</v>
      </c>
      <c r="M1249" s="94">
        <v>0</v>
      </c>
      <c r="N1249" s="94">
        <v>0</v>
      </c>
      <c r="O1249" s="94">
        <v>0</v>
      </c>
    </row>
    <row r="1250" spans="1:15" x14ac:dyDescent="0.25">
      <c r="A1250" s="89">
        <v>45185.833333333336</v>
      </c>
      <c r="B1250" s="94">
        <v>360.69</v>
      </c>
      <c r="C1250" s="94">
        <v>300.73793454310533</v>
      </c>
      <c r="D1250" s="94">
        <v>41.713039589142113</v>
      </c>
      <c r="E1250" s="94">
        <v>2.7179520129266326</v>
      </c>
      <c r="F1250" s="94">
        <v>41.136081208580102</v>
      </c>
      <c r="G1250" s="94">
        <v>2.6745355306605552</v>
      </c>
      <c r="H1250" s="94">
        <v>71.15417255960142</v>
      </c>
      <c r="I1250" s="94">
        <v>13.884316092742489</v>
      </c>
      <c r="J1250" s="94">
        <v>3543</v>
      </c>
      <c r="K1250" s="94">
        <v>2.597</v>
      </c>
      <c r="L1250" s="94">
        <v>1</v>
      </c>
      <c r="M1250" s="94">
        <v>0</v>
      </c>
      <c r="N1250" s="94">
        <v>0</v>
      </c>
      <c r="O1250" s="94">
        <v>0</v>
      </c>
    </row>
    <row r="1251" spans="1:15" x14ac:dyDescent="0.25">
      <c r="A1251" s="89">
        <v>45186.333333333336</v>
      </c>
      <c r="B1251" s="94">
        <v>360.69</v>
      </c>
      <c r="C1251" s="94">
        <v>300.74</v>
      </c>
      <c r="D1251" s="94">
        <v>41.168562921094328</v>
      </c>
      <c r="E1251" s="94">
        <v>2.6955785970821582</v>
      </c>
      <c r="F1251" s="94">
        <v>40.568448578180984</v>
      </c>
      <c r="G1251" s="94">
        <v>2.6329781060406225</v>
      </c>
      <c r="H1251" s="94">
        <v>71.8</v>
      </c>
      <c r="I1251" s="94">
        <v>14.04477996826172</v>
      </c>
      <c r="J1251" s="94">
        <v>3563.0606774106482</v>
      </c>
      <c r="K1251" s="94">
        <v>2.6007548292963247</v>
      </c>
      <c r="L1251" s="94">
        <v>0</v>
      </c>
      <c r="M1251" s="94">
        <v>0</v>
      </c>
      <c r="N1251" s="94">
        <v>0</v>
      </c>
      <c r="O1251" s="94">
        <v>0</v>
      </c>
    </row>
    <row r="1252" spans="1:15" x14ac:dyDescent="0.25">
      <c r="A1252" s="89">
        <v>45186.833333333336</v>
      </c>
      <c r="B1252" s="94">
        <v>360.69</v>
      </c>
      <c r="C1252" s="94">
        <v>300.40436270950829</v>
      </c>
      <c r="D1252" s="94">
        <v>35.1</v>
      </c>
      <c r="E1252" s="94">
        <v>2.2797850036621092</v>
      </c>
      <c r="F1252" s="94">
        <v>34.799999999999997</v>
      </c>
      <c r="G1252" s="94">
        <v>2.3276997375488282</v>
      </c>
      <c r="H1252" s="94">
        <v>37.341281750713669</v>
      </c>
      <c r="I1252" s="94">
        <v>4.4000000000000004</v>
      </c>
      <c r="J1252" s="94">
        <v>2043.7680002244847</v>
      </c>
      <c r="K1252" s="94">
        <v>2.2449947286342424</v>
      </c>
      <c r="L1252" s="94">
        <v>1</v>
      </c>
      <c r="M1252" s="94">
        <v>0</v>
      </c>
      <c r="N1252" s="94">
        <v>0</v>
      </c>
      <c r="O1252" s="94">
        <v>0</v>
      </c>
    </row>
    <row r="1253" spans="1:15" x14ac:dyDescent="0.25">
      <c r="A1253" s="89">
        <v>45187.333333333336</v>
      </c>
      <c r="B1253" s="94">
        <v>360.32</v>
      </c>
      <c r="C1253" s="94">
        <v>300.39999999999998</v>
      </c>
      <c r="D1253" s="94">
        <v>35.244709752086251</v>
      </c>
      <c r="E1253" s="94">
        <v>2.2570246173009472</v>
      </c>
      <c r="F1253" s="94">
        <v>36.777696692712169</v>
      </c>
      <c r="G1253" s="94">
        <v>2.2490181335692174</v>
      </c>
      <c r="H1253" s="94">
        <v>37.598893937668478</v>
      </c>
      <c r="I1253" s="94">
        <v>4.3165997314453124</v>
      </c>
      <c r="J1253" s="94">
        <v>2044.1923583276277</v>
      </c>
      <c r="K1253" s="94">
        <v>2.2440000000000002</v>
      </c>
      <c r="L1253" s="94">
        <v>0</v>
      </c>
      <c r="M1253" s="94">
        <v>0</v>
      </c>
      <c r="N1253" s="94">
        <v>0</v>
      </c>
      <c r="O1253" s="94">
        <v>0</v>
      </c>
    </row>
    <row r="1254" spans="1:15" x14ac:dyDescent="0.25">
      <c r="A1254" s="89">
        <v>45187.833333333336</v>
      </c>
      <c r="B1254" s="94">
        <v>360.32</v>
      </c>
      <c r="C1254" s="94">
        <v>300.14999999999998</v>
      </c>
      <c r="D1254" s="94">
        <v>46.1</v>
      </c>
      <c r="E1254" s="94">
        <v>3.1113443300212595</v>
      </c>
      <c r="F1254" s="94">
        <v>48.149719373188503</v>
      </c>
      <c r="G1254" s="94">
        <v>3.045696843761911</v>
      </c>
      <c r="H1254" s="94">
        <v>0.1</v>
      </c>
      <c r="I1254" s="94">
        <v>0</v>
      </c>
      <c r="J1254" s="94">
        <v>1203</v>
      </c>
      <c r="K1254" s="94">
        <v>1.9710000000000001</v>
      </c>
      <c r="L1254" s="94">
        <v>1</v>
      </c>
      <c r="M1254" s="94">
        <v>0</v>
      </c>
      <c r="N1254" s="94">
        <v>0</v>
      </c>
      <c r="O1254" s="94">
        <v>0</v>
      </c>
    </row>
    <row r="1255" spans="1:15" x14ac:dyDescent="0.25">
      <c r="A1255" s="89">
        <v>45188.333333333336</v>
      </c>
      <c r="B1255" s="94">
        <v>360.32</v>
      </c>
      <c r="C1255" s="94">
        <v>300.15994636325684</v>
      </c>
      <c r="D1255" s="94">
        <v>47.1</v>
      </c>
      <c r="E1255" s="94">
        <v>3.0919169445840375</v>
      </c>
      <c r="F1255" s="94">
        <v>48.290073898278919</v>
      </c>
      <c r="G1255" s="94">
        <v>3.1174542754368559</v>
      </c>
      <c r="H1255" s="94">
        <v>1.0930476873042068</v>
      </c>
      <c r="I1255" s="94">
        <v>0</v>
      </c>
      <c r="J1255" s="94">
        <v>1203.9876822814156</v>
      </c>
      <c r="K1255" s="94">
        <v>1.9718118419236563</v>
      </c>
      <c r="L1255" s="94">
        <v>1</v>
      </c>
      <c r="M1255" s="94">
        <v>0</v>
      </c>
      <c r="N1255" s="94">
        <v>0</v>
      </c>
      <c r="O1255" s="94">
        <v>0</v>
      </c>
    </row>
    <row r="1256" spans="1:15" x14ac:dyDescent="0.25">
      <c r="A1256" s="89">
        <v>45188.833333333336</v>
      </c>
      <c r="B1256" s="94">
        <v>360.32</v>
      </c>
      <c r="C1256" s="94">
        <v>300.16000000000003</v>
      </c>
      <c r="D1256" s="94">
        <v>46.8</v>
      </c>
      <c r="E1256" s="94">
        <v>3.1302493420352029</v>
      </c>
      <c r="F1256" s="94">
        <v>47.4</v>
      </c>
      <c r="G1256" s="94">
        <v>3.1077666889794924</v>
      </c>
      <c r="H1256" s="94">
        <v>1</v>
      </c>
      <c r="I1256" s="94">
        <v>0</v>
      </c>
      <c r="J1256" s="94">
        <v>1214.8005850602913</v>
      </c>
      <c r="K1256" s="94">
        <v>1.9758998531401724</v>
      </c>
      <c r="L1256" s="94">
        <v>1</v>
      </c>
      <c r="M1256" s="94">
        <v>0</v>
      </c>
      <c r="N1256" s="94">
        <v>0</v>
      </c>
      <c r="O1256" s="94">
        <v>0</v>
      </c>
    </row>
    <row r="1257" spans="1:15" x14ac:dyDescent="0.25">
      <c r="A1257" s="89">
        <v>45189.333333333336</v>
      </c>
      <c r="B1257" s="94">
        <v>360.33</v>
      </c>
      <c r="C1257" s="94">
        <v>300.16000000000003</v>
      </c>
      <c r="D1257" s="94">
        <v>46.441320659043214</v>
      </c>
      <c r="E1257" s="94">
        <v>3.0559382604570011</v>
      </c>
      <c r="F1257" s="94">
        <v>45.39943072979267</v>
      </c>
      <c r="G1257" s="94">
        <v>3.0991791660302428</v>
      </c>
      <c r="H1257" s="94">
        <v>1.0507454597637977</v>
      </c>
      <c r="I1257" s="94">
        <v>0</v>
      </c>
      <c r="J1257" s="94">
        <v>1216</v>
      </c>
      <c r="K1257" s="94">
        <v>1.976</v>
      </c>
      <c r="L1257" s="94">
        <v>1</v>
      </c>
      <c r="M1257" s="94">
        <v>0</v>
      </c>
      <c r="N1257" s="94">
        <v>0</v>
      </c>
      <c r="O1257" s="94">
        <v>0</v>
      </c>
    </row>
    <row r="1258" spans="1:15" x14ac:dyDescent="0.25">
      <c r="A1258" s="89">
        <v>45189.833333333336</v>
      </c>
      <c r="B1258" s="94">
        <v>360.33</v>
      </c>
      <c r="C1258" s="94">
        <v>300.05</v>
      </c>
      <c r="D1258" s="94">
        <v>34.829030785193808</v>
      </c>
      <c r="E1258" s="94">
        <v>2.2564266621863114</v>
      </c>
      <c r="F1258" s="94">
        <v>34.022622229689482</v>
      </c>
      <c r="G1258" s="94">
        <v>2.3218467203776041</v>
      </c>
      <c r="H1258" s="94">
        <v>1.2</v>
      </c>
      <c r="I1258" s="94">
        <v>0</v>
      </c>
      <c r="J1258" s="94">
        <v>939</v>
      </c>
      <c r="K1258" s="94">
        <v>1.8620000000000001</v>
      </c>
      <c r="L1258" s="94">
        <v>1</v>
      </c>
      <c r="M1258" s="94">
        <v>0</v>
      </c>
      <c r="N1258" s="94">
        <v>0</v>
      </c>
      <c r="O1258" s="94">
        <v>0</v>
      </c>
    </row>
    <row r="1259" spans="1:15" x14ac:dyDescent="0.25">
      <c r="A1259" s="89">
        <v>45190.333333333336</v>
      </c>
      <c r="B1259" s="94">
        <v>360.33</v>
      </c>
      <c r="C1259" s="94">
        <v>300.05</v>
      </c>
      <c r="D1259" s="94">
        <v>36.57264149708827</v>
      </c>
      <c r="E1259" s="94">
        <v>2.2883180339386904</v>
      </c>
      <c r="F1259" s="94">
        <v>33.499353930277039</v>
      </c>
      <c r="G1259" s="94">
        <v>2.3277952755905513</v>
      </c>
      <c r="H1259" s="94">
        <v>1.2</v>
      </c>
      <c r="I1259" s="94">
        <v>0</v>
      </c>
      <c r="J1259" s="94">
        <v>944</v>
      </c>
      <c r="K1259" s="94">
        <v>1.8626817727827993</v>
      </c>
      <c r="L1259" s="94">
        <v>0</v>
      </c>
      <c r="M1259" s="94">
        <v>0</v>
      </c>
      <c r="N1259" s="94">
        <v>0</v>
      </c>
      <c r="O1259" s="94">
        <v>0</v>
      </c>
    </row>
    <row r="1260" spans="1:15" x14ac:dyDescent="0.25">
      <c r="A1260" s="89">
        <v>45190.833333333336</v>
      </c>
      <c r="B1260" s="94">
        <v>360.33</v>
      </c>
      <c r="C1260" s="94">
        <v>300.39914343901029</v>
      </c>
      <c r="D1260" s="94">
        <v>68.545729438034982</v>
      </c>
      <c r="E1260" s="94">
        <v>5.4487165398919482</v>
      </c>
      <c r="F1260" s="94">
        <v>70.557063814745305</v>
      </c>
      <c r="G1260" s="94">
        <v>5.4790425432735637</v>
      </c>
      <c r="H1260" s="94">
        <v>1.2</v>
      </c>
      <c r="I1260" s="94">
        <v>0</v>
      </c>
      <c r="J1260" s="94">
        <v>1934.61720529634</v>
      </c>
      <c r="K1260" s="94">
        <v>2.2131324004198034</v>
      </c>
      <c r="L1260" s="94">
        <v>0.2204820639233048</v>
      </c>
      <c r="M1260" s="94">
        <v>0</v>
      </c>
      <c r="N1260" s="94">
        <v>0</v>
      </c>
      <c r="O1260" s="94">
        <v>0</v>
      </c>
    </row>
    <row r="1261" spans="1:15" x14ac:dyDescent="0.25">
      <c r="A1261" s="89">
        <v>45191.333333333336</v>
      </c>
      <c r="B1261" s="94">
        <v>360.33</v>
      </c>
      <c r="C1261" s="94">
        <v>300.3821191659739</v>
      </c>
      <c r="D1261" s="94">
        <v>63.9</v>
      </c>
      <c r="E1261" s="94">
        <v>5.3896663839129779</v>
      </c>
      <c r="F1261" s="94">
        <v>65.078009779301752</v>
      </c>
      <c r="G1261" s="94">
        <v>5.3515789708506833</v>
      </c>
      <c r="H1261" s="94">
        <v>1.2</v>
      </c>
      <c r="I1261" s="94">
        <v>0</v>
      </c>
      <c r="J1261" s="94">
        <v>1913.0244385457509</v>
      </c>
      <c r="K1261" s="94">
        <v>2.2067101370583311</v>
      </c>
      <c r="L1261" s="94">
        <v>0</v>
      </c>
      <c r="M1261" s="94">
        <v>0</v>
      </c>
      <c r="N1261" s="94">
        <v>0</v>
      </c>
      <c r="O1261" s="94">
        <v>0</v>
      </c>
    </row>
    <row r="1262" spans="1:15" x14ac:dyDescent="0.25">
      <c r="A1262" s="89">
        <v>45191.833333333336</v>
      </c>
      <c r="B1262" s="94">
        <v>360.33</v>
      </c>
      <c r="C1262" s="94">
        <v>300.4713142465132</v>
      </c>
      <c r="D1262" s="94">
        <v>73.998125741802028</v>
      </c>
      <c r="E1262" s="94">
        <v>6.3416466267903644</v>
      </c>
      <c r="F1262" s="94">
        <v>77.649398803710938</v>
      </c>
      <c r="G1262" s="94">
        <v>6.3435525062466347</v>
      </c>
      <c r="H1262" s="94">
        <v>1.2</v>
      </c>
      <c r="I1262" s="94">
        <v>0</v>
      </c>
      <c r="J1262" s="94">
        <v>2219</v>
      </c>
      <c r="K1262" s="94">
        <v>2.2909999999999999</v>
      </c>
      <c r="L1262" s="94">
        <v>0</v>
      </c>
      <c r="M1262" s="94">
        <v>0</v>
      </c>
      <c r="N1262" s="94">
        <v>0</v>
      </c>
      <c r="O1262" s="94">
        <v>0</v>
      </c>
    </row>
    <row r="1263" spans="1:15" x14ac:dyDescent="0.25">
      <c r="A1263" s="89">
        <v>45192.333333333336</v>
      </c>
      <c r="B1263" s="94">
        <v>360.33</v>
      </c>
      <c r="C1263" s="94">
        <v>300.47179786947078</v>
      </c>
      <c r="D1263" s="94">
        <v>73.8</v>
      </c>
      <c r="E1263" s="94">
        <v>6.3409715934743085</v>
      </c>
      <c r="F1263" s="94">
        <v>77.194332245857481</v>
      </c>
      <c r="G1263" s="94">
        <v>6.3647998046874994</v>
      </c>
      <c r="H1263" s="94">
        <v>1.2</v>
      </c>
      <c r="I1263" s="94">
        <v>0</v>
      </c>
      <c r="J1263" s="94">
        <v>2212</v>
      </c>
      <c r="K1263" s="94">
        <v>2.2923788223605301</v>
      </c>
      <c r="L1263" s="94">
        <v>0</v>
      </c>
      <c r="M1263" s="94">
        <v>0</v>
      </c>
      <c r="N1263" s="94">
        <v>0</v>
      </c>
      <c r="O1263" s="94">
        <v>0</v>
      </c>
    </row>
    <row r="1264" spans="1:15" x14ac:dyDescent="0.25">
      <c r="A1264" s="89">
        <v>45192.833333333336</v>
      </c>
      <c r="B1264" s="94">
        <v>360.33</v>
      </c>
      <c r="C1264" s="94">
        <v>300.37</v>
      </c>
      <c r="D1264" s="94">
        <v>61.941946519701936</v>
      </c>
      <c r="E1264" s="94">
        <v>5.2212287922440206</v>
      </c>
      <c r="F1264" s="94">
        <v>64.853252256670288</v>
      </c>
      <c r="G1264" s="94">
        <v>5.2305859704373452</v>
      </c>
      <c r="H1264" s="94">
        <v>1.2</v>
      </c>
      <c r="I1264" s="94">
        <v>0</v>
      </c>
      <c r="J1264" s="94">
        <v>1871</v>
      </c>
      <c r="K1264" s="94">
        <v>2.1949999999999998</v>
      </c>
      <c r="L1264" s="94">
        <v>0</v>
      </c>
      <c r="M1264" s="94">
        <v>0</v>
      </c>
      <c r="N1264" s="94">
        <v>0</v>
      </c>
      <c r="O1264" s="94">
        <v>0</v>
      </c>
    </row>
    <row r="1265" spans="1:15" x14ac:dyDescent="0.25">
      <c r="A1265" s="89">
        <v>45193.333333333336</v>
      </c>
      <c r="B1265" s="94">
        <v>360.33</v>
      </c>
      <c r="C1265" s="94">
        <v>300.37312532222882</v>
      </c>
      <c r="D1265" s="94">
        <v>61.5</v>
      </c>
      <c r="E1265" s="94">
        <v>5.2304398453525707</v>
      </c>
      <c r="F1265" s="94">
        <v>65.692028235095208</v>
      </c>
      <c r="G1265" s="94">
        <v>5.2307487779249859</v>
      </c>
      <c r="H1265" s="94">
        <v>1.2270778095945134</v>
      </c>
      <c r="I1265" s="94">
        <v>0</v>
      </c>
      <c r="J1265" s="94">
        <v>1868.5960573860218</v>
      </c>
      <c r="K1265" s="94">
        <v>2.1956895713983196</v>
      </c>
      <c r="L1265" s="94">
        <v>0</v>
      </c>
      <c r="M1265" s="94">
        <v>0</v>
      </c>
      <c r="N1265" s="94">
        <v>0</v>
      </c>
      <c r="O1265" s="94">
        <v>0</v>
      </c>
    </row>
    <row r="1266" spans="1:15" x14ac:dyDescent="0.25">
      <c r="A1266" s="89">
        <v>45193.833333333336</v>
      </c>
      <c r="B1266" s="94">
        <v>360.33</v>
      </c>
      <c r="C1266" s="94">
        <v>300.28322293822691</v>
      </c>
      <c r="D1266" s="94">
        <v>56.535370489876051</v>
      </c>
      <c r="E1266" s="94">
        <v>4.1782704162597657</v>
      </c>
      <c r="F1266" s="94">
        <v>60.06900457692759</v>
      </c>
      <c r="G1266" s="94">
        <v>4.1679718848929657</v>
      </c>
      <c r="H1266" s="94">
        <v>1.2</v>
      </c>
      <c r="I1266" s="94">
        <v>0</v>
      </c>
      <c r="J1266" s="94">
        <v>1564.7042142910602</v>
      </c>
      <c r="K1266" s="94">
        <v>2.0997621390476269</v>
      </c>
      <c r="L1266" s="94">
        <v>0</v>
      </c>
      <c r="M1266" s="94">
        <v>0</v>
      </c>
      <c r="N1266" s="94">
        <v>0</v>
      </c>
      <c r="O1266" s="94">
        <v>0</v>
      </c>
    </row>
    <row r="1267" spans="1:15" x14ac:dyDescent="0.25">
      <c r="A1267" s="89">
        <v>45194.333333333336</v>
      </c>
      <c r="B1267" s="94">
        <v>360.32</v>
      </c>
      <c r="C1267" s="94">
        <v>300.27999999999997</v>
      </c>
      <c r="D1267" s="94">
        <v>56.4</v>
      </c>
      <c r="E1267" s="94">
        <v>4.21</v>
      </c>
      <c r="F1267" s="94">
        <v>58.502731551606708</v>
      </c>
      <c r="G1267" s="94">
        <v>4.1891216288242195</v>
      </c>
      <c r="H1267" s="94">
        <v>1.2</v>
      </c>
      <c r="I1267" s="94">
        <v>0</v>
      </c>
      <c r="J1267" s="94">
        <v>1569.8038521667929</v>
      </c>
      <c r="K1267" s="94">
        <v>2.1018790347787983</v>
      </c>
      <c r="L1267" s="94">
        <v>0</v>
      </c>
      <c r="M1267" s="94">
        <v>0</v>
      </c>
      <c r="N1267" s="94">
        <v>0</v>
      </c>
      <c r="O1267" s="94">
        <v>0</v>
      </c>
    </row>
    <row r="1268" spans="1:15" x14ac:dyDescent="0.25">
      <c r="A1268" s="89">
        <v>45194.833333333336</v>
      </c>
      <c r="B1268" s="94">
        <v>360.32</v>
      </c>
      <c r="C1268" s="94">
        <v>300.11740504331055</v>
      </c>
      <c r="D1268" s="94">
        <v>43</v>
      </c>
      <c r="E1268" s="94">
        <v>2.7776548342394198</v>
      </c>
      <c r="F1268" s="94">
        <v>46.5</v>
      </c>
      <c r="G1268" s="94">
        <v>2.7990977753994342</v>
      </c>
      <c r="H1268" s="94">
        <v>1.2315045376592149</v>
      </c>
      <c r="I1268" s="94">
        <v>0</v>
      </c>
      <c r="J1268" s="94">
        <v>1113.5994900009287</v>
      </c>
      <c r="K1268" s="94">
        <v>1.9352741637458934</v>
      </c>
      <c r="L1268" s="94">
        <v>0</v>
      </c>
      <c r="M1268" s="94">
        <v>0</v>
      </c>
      <c r="N1268" s="94">
        <v>0</v>
      </c>
      <c r="O1268" s="94">
        <v>0</v>
      </c>
    </row>
    <row r="1269" spans="1:15" x14ac:dyDescent="0.25">
      <c r="A1269" s="89">
        <v>45195.333333333336</v>
      </c>
      <c r="B1269" s="94">
        <v>360.32066037992951</v>
      </c>
      <c r="C1269" s="94">
        <v>300.11451636950039</v>
      </c>
      <c r="D1269" s="94">
        <v>43.729246978682028</v>
      </c>
      <c r="E1269" s="94">
        <v>2.7613549550283683</v>
      </c>
      <c r="F1269" s="94">
        <v>46.077754777082532</v>
      </c>
      <c r="G1269" s="94">
        <v>2.8248623455451982</v>
      </c>
      <c r="H1269" s="94">
        <v>1.2946990966796876</v>
      </c>
      <c r="I1269" s="94">
        <v>0</v>
      </c>
      <c r="J1269" s="94">
        <v>1112</v>
      </c>
      <c r="K1269" s="94">
        <v>1.9357557715633189</v>
      </c>
      <c r="L1269" s="94">
        <v>0</v>
      </c>
      <c r="M1269" s="94">
        <v>0</v>
      </c>
      <c r="N1269" s="94">
        <v>0</v>
      </c>
      <c r="O1269" s="94">
        <v>0</v>
      </c>
    </row>
    <row r="1270" spans="1:15" x14ac:dyDescent="0.25">
      <c r="A1270" s="89">
        <v>45195.833333333336</v>
      </c>
      <c r="B1270" s="94">
        <v>360.33</v>
      </c>
      <c r="C1270" s="94">
        <v>300.1111415217473</v>
      </c>
      <c r="D1270" s="94">
        <v>45.044460376426343</v>
      </c>
      <c r="E1270" s="94">
        <v>2.7714873805688116</v>
      </c>
      <c r="F1270" s="94">
        <v>43.494369468748765</v>
      </c>
      <c r="G1270" s="94">
        <v>2.7990995788574216</v>
      </c>
      <c r="H1270" s="94">
        <v>1.2246678238485209</v>
      </c>
      <c r="I1270" s="94">
        <v>0</v>
      </c>
      <c r="J1270" s="94">
        <v>1112</v>
      </c>
      <c r="K1270" s="94">
        <v>1.9362605573572991</v>
      </c>
      <c r="L1270" s="94">
        <v>0</v>
      </c>
      <c r="M1270" s="94">
        <v>0</v>
      </c>
      <c r="N1270" s="94">
        <v>0</v>
      </c>
      <c r="O1270" s="94">
        <v>0</v>
      </c>
    </row>
    <row r="1271" spans="1:15" x14ac:dyDescent="0.25">
      <c r="A1271" s="89">
        <v>45196.333333333336</v>
      </c>
      <c r="B1271" s="94">
        <v>360.33</v>
      </c>
      <c r="C1271" s="94">
        <v>300.11497177553929</v>
      </c>
      <c r="D1271" s="94">
        <v>44</v>
      </c>
      <c r="E1271" s="94">
        <v>2.8018075668424745</v>
      </c>
      <c r="F1271" s="94">
        <v>42.859840524930654</v>
      </c>
      <c r="G1271" s="94">
        <v>2.8145504659803859</v>
      </c>
      <c r="H1271" s="94">
        <v>1.2769428061507913</v>
      </c>
      <c r="I1271" s="94">
        <v>0</v>
      </c>
      <c r="J1271" s="94">
        <v>1117.9922371619004</v>
      </c>
      <c r="K1271" s="94">
        <v>1.9369854670457305</v>
      </c>
      <c r="L1271" s="94">
        <v>0</v>
      </c>
      <c r="M1271" s="94">
        <v>0</v>
      </c>
      <c r="N1271" s="94">
        <v>0</v>
      </c>
      <c r="O1271" s="94">
        <v>0</v>
      </c>
    </row>
    <row r="1272" spans="1:15" x14ac:dyDescent="0.25">
      <c r="A1272" s="89">
        <v>45196.833333333336</v>
      </c>
      <c r="B1272" s="94">
        <v>360.33</v>
      </c>
      <c r="C1272" s="94">
        <v>300.18</v>
      </c>
      <c r="D1272" s="94">
        <v>50.384564523472946</v>
      </c>
      <c r="E1272" s="94">
        <v>3.3444944060974304</v>
      </c>
      <c r="F1272" s="94">
        <v>47.7</v>
      </c>
      <c r="G1272" s="94">
        <v>3.2676631108526299</v>
      </c>
      <c r="H1272" s="94">
        <v>1.2</v>
      </c>
      <c r="I1272" s="94">
        <v>0</v>
      </c>
      <c r="J1272" s="94">
        <v>1287</v>
      </c>
      <c r="K1272" s="94">
        <v>2.0019460100202173</v>
      </c>
      <c r="L1272" s="94">
        <v>0</v>
      </c>
      <c r="M1272" s="94">
        <v>0</v>
      </c>
      <c r="N1272" s="94">
        <v>0</v>
      </c>
      <c r="O1272" s="94">
        <v>0</v>
      </c>
    </row>
    <row r="1273" spans="1:15" x14ac:dyDescent="0.25">
      <c r="A1273" s="89">
        <v>45197.333333333336</v>
      </c>
      <c r="B1273" s="94">
        <v>360.33078209142855</v>
      </c>
      <c r="C1273" s="94">
        <v>300.18</v>
      </c>
      <c r="D1273" s="94">
        <v>49.464152058101511</v>
      </c>
      <c r="E1273" s="94">
        <v>3.254501043141913</v>
      </c>
      <c r="F1273" s="94">
        <v>48.725373997018067</v>
      </c>
      <c r="G1273" s="94">
        <v>3.2695308145643929</v>
      </c>
      <c r="H1273" s="94">
        <v>1.2413816326946272</v>
      </c>
      <c r="I1273" s="94">
        <v>0</v>
      </c>
      <c r="J1273" s="94">
        <v>1283.5792538049511</v>
      </c>
      <c r="K1273" s="94">
        <v>2.0017801505441883</v>
      </c>
      <c r="L1273" s="94">
        <v>0</v>
      </c>
      <c r="M1273" s="94">
        <v>0</v>
      </c>
      <c r="N1273" s="94">
        <v>0</v>
      </c>
      <c r="O1273" s="94">
        <v>0</v>
      </c>
    </row>
    <row r="1274" spans="1:15" x14ac:dyDescent="0.25">
      <c r="A1274" s="89">
        <v>45197.833333333336</v>
      </c>
      <c r="B1274" s="94">
        <v>360.34</v>
      </c>
      <c r="C1274" s="94">
        <v>300.18</v>
      </c>
      <c r="D1274" s="94">
        <v>49.79589583015121</v>
      </c>
      <c r="E1274" s="94">
        <v>3.313693752863907</v>
      </c>
      <c r="F1274" s="94">
        <v>50.395895830151211</v>
      </c>
      <c r="G1274" s="94">
        <v>3.3190806612653674</v>
      </c>
      <c r="H1274" s="94">
        <v>1.2</v>
      </c>
      <c r="I1274" s="94">
        <v>0</v>
      </c>
      <c r="J1274" s="94">
        <v>1290</v>
      </c>
      <c r="K1274" s="94">
        <v>2.004</v>
      </c>
      <c r="L1274" s="94">
        <v>0</v>
      </c>
      <c r="M1274" s="94">
        <v>0</v>
      </c>
      <c r="N1274" s="94">
        <v>0</v>
      </c>
      <c r="O1274" s="94">
        <v>0</v>
      </c>
    </row>
    <row r="1275" spans="1:15" x14ac:dyDescent="0.25">
      <c r="A1275" s="89">
        <v>45198.333333333336</v>
      </c>
      <c r="B1275" s="94">
        <v>360.34</v>
      </c>
      <c r="C1275" s="94">
        <v>300.18</v>
      </c>
      <c r="D1275" s="94">
        <v>50.370687720136111</v>
      </c>
      <c r="E1275" s="94">
        <v>3.3814977081334612</v>
      </c>
      <c r="F1275" s="94">
        <v>51.351400756835936</v>
      </c>
      <c r="G1275" s="94">
        <v>3.2571925732839437</v>
      </c>
      <c r="H1275" s="94">
        <v>1.227409691510799</v>
      </c>
      <c r="I1275" s="94">
        <v>0</v>
      </c>
      <c r="J1275" s="94">
        <v>1290</v>
      </c>
      <c r="K1275" s="94">
        <v>2.004</v>
      </c>
      <c r="L1275" s="94">
        <v>0</v>
      </c>
      <c r="M1275" s="94">
        <v>0</v>
      </c>
      <c r="N1275" s="94">
        <v>0</v>
      </c>
      <c r="O1275" s="94">
        <v>0</v>
      </c>
    </row>
    <row r="1276" spans="1:15" x14ac:dyDescent="0.25">
      <c r="A1276" s="89">
        <v>45198.833333333336</v>
      </c>
      <c r="B1276" s="94">
        <v>360.34</v>
      </c>
      <c r="C1276" s="94">
        <v>299.75370869322825</v>
      </c>
      <c r="D1276" s="94">
        <v>34.1</v>
      </c>
      <c r="E1276" s="94">
        <v>2.2722522357397605</v>
      </c>
      <c r="F1276" s="94">
        <v>1.5292728179699995</v>
      </c>
      <c r="G1276" s="94">
        <v>0</v>
      </c>
      <c r="H1276" s="94">
        <v>1.2</v>
      </c>
      <c r="I1276" s="94">
        <v>0</v>
      </c>
      <c r="J1276" s="94">
        <v>501.19741390042162</v>
      </c>
      <c r="K1276" s="94">
        <v>1.5802617711488445</v>
      </c>
      <c r="L1276" s="94">
        <v>0.12445169396191212</v>
      </c>
      <c r="M1276" s="94">
        <v>0</v>
      </c>
      <c r="N1276" s="94">
        <v>0</v>
      </c>
      <c r="O1276" s="94">
        <v>0</v>
      </c>
    </row>
    <row r="1277" spans="1:15" x14ac:dyDescent="0.25">
      <c r="A1277" s="89">
        <v>45199.333333333336</v>
      </c>
      <c r="B1277" s="94">
        <v>360.34</v>
      </c>
      <c r="C1277" s="94">
        <v>299.75294344594437</v>
      </c>
      <c r="D1277" s="94">
        <v>37.273096093570828</v>
      </c>
      <c r="E1277" s="94">
        <v>2.2987675254185458</v>
      </c>
      <c r="F1277" s="94">
        <v>2.2000000000000002</v>
      </c>
      <c r="G1277" s="94">
        <v>0</v>
      </c>
      <c r="H1277" s="94">
        <v>1.3</v>
      </c>
      <c r="I1277" s="94">
        <v>0</v>
      </c>
      <c r="J1277" s="94">
        <v>508</v>
      </c>
      <c r="K1277" s="94">
        <v>1.5862821925773445</v>
      </c>
      <c r="L1277" s="94">
        <v>0</v>
      </c>
      <c r="M1277" s="94">
        <v>0</v>
      </c>
      <c r="N1277" s="94">
        <v>0</v>
      </c>
      <c r="O1277" s="94">
        <v>0</v>
      </c>
    </row>
    <row r="1278" spans="1:15" x14ac:dyDescent="0.25">
      <c r="A1278" s="89">
        <v>45199.833333333336</v>
      </c>
      <c r="B1278" s="94">
        <v>360.34</v>
      </c>
      <c r="C1278" s="94">
        <v>299.75</v>
      </c>
      <c r="D1278" s="94">
        <v>32.694035917971121</v>
      </c>
      <c r="E1278" s="94">
        <v>2.263538851093688</v>
      </c>
      <c r="F1278" s="94">
        <v>2.7367631198862834</v>
      </c>
      <c r="G1278" s="94">
        <v>0</v>
      </c>
      <c r="H1278" s="94">
        <v>1.2761786789190575</v>
      </c>
      <c r="I1278" s="94">
        <v>0</v>
      </c>
      <c r="J1278" s="94">
        <v>502.58953590389223</v>
      </c>
      <c r="K1278" s="94">
        <v>1.5827201238330471</v>
      </c>
      <c r="L1278" s="94">
        <v>0.12652158490531606</v>
      </c>
      <c r="M1278" s="94">
        <v>0</v>
      </c>
      <c r="N1278" s="94">
        <v>0</v>
      </c>
      <c r="O1278" s="94">
        <v>0</v>
      </c>
    </row>
    <row r="1279" spans="1:15" x14ac:dyDescent="0.25">
      <c r="A1279" s="89">
        <v>45200.333333333336</v>
      </c>
      <c r="B1279" s="94">
        <v>360.34</v>
      </c>
      <c r="C1279" s="94">
        <v>299.75485992431641</v>
      </c>
      <c r="D1279" s="94">
        <v>35.11614344754576</v>
      </c>
      <c r="E1279" s="94">
        <v>2.3147002074188414</v>
      </c>
      <c r="F1279" s="94">
        <v>2.3423174627148375</v>
      </c>
      <c r="G1279" s="94">
        <v>0</v>
      </c>
      <c r="H1279" s="94">
        <v>1.245329078719082</v>
      </c>
      <c r="I1279" s="94">
        <v>0</v>
      </c>
      <c r="J1279" s="94">
        <v>506.34705591135008</v>
      </c>
      <c r="K1279" s="94">
        <v>1.5860000000000001</v>
      </c>
      <c r="L1279" s="94">
        <v>0</v>
      </c>
      <c r="M1279" s="94">
        <v>0</v>
      </c>
      <c r="N1279" s="94">
        <v>0</v>
      </c>
      <c r="O1279" s="94">
        <v>0</v>
      </c>
    </row>
    <row r="1280" spans="1:15" x14ac:dyDescent="0.25">
      <c r="A1280" s="89">
        <v>45200.833333333336</v>
      </c>
      <c r="B1280" s="94">
        <v>360.34</v>
      </c>
      <c r="C1280" s="94">
        <v>299.75638683209161</v>
      </c>
      <c r="D1280" s="94">
        <v>34.630451986241397</v>
      </c>
      <c r="E1280" s="94">
        <v>2.2696266682942707</v>
      </c>
      <c r="F1280" s="94">
        <v>2.9886443108315679</v>
      </c>
      <c r="G1280" s="94">
        <v>0</v>
      </c>
      <c r="H1280" s="94">
        <v>1.2</v>
      </c>
      <c r="I1280" s="94">
        <v>0</v>
      </c>
      <c r="J1280" s="94">
        <v>507.70151428834674</v>
      </c>
      <c r="K1280" s="94">
        <v>1.5858077841173988</v>
      </c>
      <c r="L1280" s="94">
        <v>1</v>
      </c>
      <c r="M1280" s="94">
        <v>0</v>
      </c>
      <c r="N1280" s="94">
        <v>0</v>
      </c>
      <c r="O1280" s="94">
        <v>0</v>
      </c>
    </row>
    <row r="1281" spans="1:15" x14ac:dyDescent="0.25">
      <c r="A1281" s="89">
        <v>45201.333333333336</v>
      </c>
      <c r="B1281" s="94">
        <v>360.34</v>
      </c>
      <c r="C1281" s="94">
        <v>299.76</v>
      </c>
      <c r="D1281" s="94">
        <v>34.700000000000003</v>
      </c>
      <c r="E1281" s="94">
        <v>2.2948124876084735</v>
      </c>
      <c r="F1281" s="94">
        <v>2.5939937591552735</v>
      </c>
      <c r="G1281" s="94">
        <v>0</v>
      </c>
      <c r="H1281" s="94">
        <v>1.2734630694383016</v>
      </c>
      <c r="I1281" s="94">
        <v>0</v>
      </c>
      <c r="J1281" s="94">
        <v>505.2007643100398</v>
      </c>
      <c r="K1281" s="94">
        <v>1.5844926224460065</v>
      </c>
      <c r="L1281" s="94">
        <v>0</v>
      </c>
      <c r="M1281" s="94">
        <v>0</v>
      </c>
      <c r="N1281" s="94">
        <v>0</v>
      </c>
      <c r="O1281" s="94">
        <v>0</v>
      </c>
    </row>
    <row r="1282" spans="1:15" x14ac:dyDescent="0.25">
      <c r="A1282" s="89">
        <v>45201.833333333336</v>
      </c>
      <c r="B1282" s="94">
        <v>360.34</v>
      </c>
      <c r="C1282" s="94">
        <v>299.7563026527024</v>
      </c>
      <c r="D1282" s="94">
        <v>33.200000000000003</v>
      </c>
      <c r="E1282" s="94">
        <v>2.2852204781355363</v>
      </c>
      <c r="F1282" s="94">
        <v>2.9</v>
      </c>
      <c r="G1282" s="94">
        <v>0</v>
      </c>
      <c r="H1282" s="94">
        <v>1.2</v>
      </c>
      <c r="I1282" s="94">
        <v>0</v>
      </c>
      <c r="J1282" s="94">
        <v>505</v>
      </c>
      <c r="K1282" s="94">
        <v>1.583</v>
      </c>
      <c r="L1282" s="94">
        <v>6.4434772439925014E-2</v>
      </c>
      <c r="M1282" s="94">
        <v>0</v>
      </c>
      <c r="N1282" s="94">
        <v>0</v>
      </c>
      <c r="O1282" s="94">
        <v>0</v>
      </c>
    </row>
    <row r="1283" spans="1:15" x14ac:dyDescent="0.25">
      <c r="A1283" s="89">
        <v>45202.333333333336</v>
      </c>
      <c r="B1283" s="94">
        <v>360.34</v>
      </c>
      <c r="C1283" s="94">
        <v>299.75086669921876</v>
      </c>
      <c r="D1283" s="94">
        <v>34.134605916213921</v>
      </c>
      <c r="E1283" s="94">
        <v>2.2754202270507808</v>
      </c>
      <c r="F1283" s="94">
        <v>2.8847238339542742</v>
      </c>
      <c r="G1283" s="94">
        <v>0</v>
      </c>
      <c r="H1283" s="94">
        <v>1.2</v>
      </c>
      <c r="I1283" s="94">
        <v>0</v>
      </c>
      <c r="J1283" s="94">
        <v>505.59497688048265</v>
      </c>
      <c r="K1283" s="94">
        <v>1.5837732369663058</v>
      </c>
      <c r="L1283" s="94">
        <v>0</v>
      </c>
      <c r="M1283" s="94">
        <v>0</v>
      </c>
      <c r="N1283" s="94">
        <v>0</v>
      </c>
      <c r="O1283" s="94">
        <v>0</v>
      </c>
    </row>
    <row r="1284" spans="1:15" x14ac:dyDescent="0.25">
      <c r="A1284" s="89">
        <v>45202.833333333336</v>
      </c>
      <c r="B1284" s="94">
        <v>360.34</v>
      </c>
      <c r="C1284" s="94">
        <v>299.75119902674339</v>
      </c>
      <c r="D1284" s="94">
        <v>34.195666503906253</v>
      </c>
      <c r="E1284" s="94">
        <v>2.3095996093749998</v>
      </c>
      <c r="F1284" s="94">
        <v>2.9506341741484965</v>
      </c>
      <c r="G1284" s="94">
        <v>0</v>
      </c>
      <c r="H1284" s="94">
        <v>1.2</v>
      </c>
      <c r="I1284" s="94">
        <v>0</v>
      </c>
      <c r="J1284" s="94">
        <v>506</v>
      </c>
      <c r="K1284" s="94">
        <v>1.583</v>
      </c>
      <c r="L1284" s="94">
        <v>1</v>
      </c>
      <c r="M1284" s="94">
        <v>0</v>
      </c>
      <c r="N1284" s="94">
        <v>0</v>
      </c>
      <c r="O1284" s="94">
        <v>0</v>
      </c>
    </row>
    <row r="1285" spans="1:15" x14ac:dyDescent="0.25">
      <c r="A1285" s="89">
        <v>45203.333333333336</v>
      </c>
      <c r="B1285" s="94">
        <v>360.34</v>
      </c>
      <c r="C1285" s="94">
        <v>299.75882034822706</v>
      </c>
      <c r="D1285" s="94">
        <v>33.6289506558401</v>
      </c>
      <c r="E1285" s="94">
        <v>2.36</v>
      </c>
      <c r="F1285" s="94">
        <v>2.9</v>
      </c>
      <c r="G1285" s="94">
        <v>0</v>
      </c>
      <c r="H1285" s="94">
        <v>1.2</v>
      </c>
      <c r="I1285" s="94">
        <v>0</v>
      </c>
      <c r="J1285" s="94">
        <v>504.20737002635633</v>
      </c>
      <c r="K1285" s="94">
        <v>1.5822302184998558</v>
      </c>
      <c r="L1285" s="94">
        <v>0</v>
      </c>
      <c r="M1285" s="94">
        <v>0</v>
      </c>
      <c r="N1285" s="94">
        <v>0</v>
      </c>
      <c r="O1285" s="94">
        <v>0</v>
      </c>
    </row>
    <row r="1286" spans="1:15" x14ac:dyDescent="0.25">
      <c r="A1286" s="89">
        <v>45203.833333333336</v>
      </c>
      <c r="B1286" s="94">
        <v>360.34</v>
      </c>
      <c r="C1286" s="94">
        <v>299.75536231012074</v>
      </c>
      <c r="D1286" s="94">
        <v>33.200000000000003</v>
      </c>
      <c r="E1286" s="94">
        <v>2.29</v>
      </c>
      <c r="F1286" s="94">
        <v>2.6213840586391211</v>
      </c>
      <c r="G1286" s="94">
        <v>0</v>
      </c>
      <c r="H1286" s="94">
        <v>1.2</v>
      </c>
      <c r="I1286" s="94">
        <v>0</v>
      </c>
      <c r="J1286" s="94">
        <v>505.80286442548311</v>
      </c>
      <c r="K1286" s="94">
        <v>1.5844275651246933</v>
      </c>
      <c r="L1286" s="94">
        <v>0</v>
      </c>
      <c r="M1286" s="94">
        <v>0</v>
      </c>
      <c r="N1286" s="94">
        <v>0</v>
      </c>
      <c r="O1286" s="94">
        <v>0</v>
      </c>
    </row>
    <row r="1287" spans="1:15" x14ac:dyDescent="0.25">
      <c r="A1287" s="89">
        <v>45204.333333333336</v>
      </c>
      <c r="B1287" s="94">
        <v>360.34</v>
      </c>
      <c r="C1287" s="94">
        <v>299.7567786671849</v>
      </c>
      <c r="D1287" s="94">
        <v>32.541978035390294</v>
      </c>
      <c r="E1287" s="94">
        <v>2.2799999999999998</v>
      </c>
      <c r="F1287" s="94">
        <v>2.2534355835983746</v>
      </c>
      <c r="G1287" s="94">
        <v>0</v>
      </c>
      <c r="H1287" s="94">
        <v>1.2172632347935499</v>
      </c>
      <c r="I1287" s="94">
        <v>0</v>
      </c>
      <c r="J1287" s="94">
        <v>508</v>
      </c>
      <c r="K1287" s="94">
        <v>1.5849538535335463</v>
      </c>
      <c r="L1287" s="94">
        <v>0</v>
      </c>
      <c r="M1287" s="94">
        <v>0</v>
      </c>
      <c r="N1287" s="94">
        <v>0</v>
      </c>
      <c r="O1287" s="94">
        <v>0</v>
      </c>
    </row>
    <row r="1288" spans="1:15" x14ac:dyDescent="0.25">
      <c r="A1288" s="89">
        <v>45204.833333333336</v>
      </c>
      <c r="B1288" s="94">
        <v>360.34</v>
      </c>
      <c r="C1288" s="94">
        <v>300.41000000000003</v>
      </c>
      <c r="D1288" s="94">
        <v>60.45675956719284</v>
      </c>
      <c r="E1288" s="94">
        <v>4.3542313758573892</v>
      </c>
      <c r="F1288" s="94">
        <v>77.417378875744504</v>
      </c>
      <c r="G1288" s="94">
        <v>6.7642155040975789</v>
      </c>
      <c r="H1288" s="94">
        <v>1.2712733580546987</v>
      </c>
      <c r="I1288" s="94">
        <v>0</v>
      </c>
      <c r="J1288" s="94">
        <v>1992</v>
      </c>
      <c r="K1288" s="94">
        <v>2.2309999999999999</v>
      </c>
      <c r="L1288" s="94">
        <v>0</v>
      </c>
      <c r="M1288" s="94">
        <v>0</v>
      </c>
      <c r="N1288" s="94">
        <v>0</v>
      </c>
      <c r="O1288" s="94">
        <v>0</v>
      </c>
    </row>
    <row r="1289" spans="1:15" x14ac:dyDescent="0.25">
      <c r="A1289" s="89">
        <v>45205.333333333336</v>
      </c>
      <c r="B1289" s="94">
        <v>360.34</v>
      </c>
      <c r="C1289" s="94">
        <v>300.41000000000003</v>
      </c>
      <c r="D1289" s="94">
        <v>60.637244040656057</v>
      </c>
      <c r="E1289" s="94">
        <v>4.4339257023520986</v>
      </c>
      <c r="F1289" s="94">
        <v>77.064838785524742</v>
      </c>
      <c r="G1289" s="94">
        <v>6.7547233912778282</v>
      </c>
      <c r="H1289" s="94">
        <v>1.318593293247122</v>
      </c>
      <c r="I1289" s="94">
        <v>0</v>
      </c>
      <c r="J1289" s="94">
        <v>1985</v>
      </c>
      <c r="K1289" s="94">
        <v>2.2292521385017294</v>
      </c>
      <c r="L1289" s="94">
        <v>0</v>
      </c>
      <c r="M1289" s="94">
        <v>0</v>
      </c>
      <c r="N1289" s="94">
        <v>0</v>
      </c>
      <c r="O1289" s="94">
        <v>0</v>
      </c>
    </row>
    <row r="1290" spans="1:15" x14ac:dyDescent="0.25">
      <c r="A1290" s="89">
        <v>45205.833333333336</v>
      </c>
      <c r="B1290" s="94">
        <v>360.34</v>
      </c>
      <c r="C1290" s="94">
        <v>299.75648508529065</v>
      </c>
      <c r="D1290" s="94">
        <v>34.242844552700568</v>
      </c>
      <c r="E1290" s="94">
        <v>2.2572226456510474</v>
      </c>
      <c r="F1290" s="94">
        <v>1.2494001117488698</v>
      </c>
      <c r="G1290" s="94">
        <v>0</v>
      </c>
      <c r="H1290" s="94">
        <v>1.2676770541112607</v>
      </c>
      <c r="I1290" s="94">
        <v>0</v>
      </c>
      <c r="J1290" s="94">
        <v>504.40145407354817</v>
      </c>
      <c r="K1290" s="94">
        <v>1.582744953189668</v>
      </c>
      <c r="L1290" s="94">
        <v>0</v>
      </c>
      <c r="M1290" s="94">
        <v>0</v>
      </c>
      <c r="N1290" s="94">
        <v>0</v>
      </c>
      <c r="O1290" s="94">
        <v>0</v>
      </c>
    </row>
    <row r="1291" spans="1:15" x14ac:dyDescent="0.25">
      <c r="A1291" s="89">
        <v>45206.333333333336</v>
      </c>
      <c r="B1291" s="94">
        <v>360.34</v>
      </c>
      <c r="C1291" s="94">
        <v>299.7596252944677</v>
      </c>
      <c r="D1291" s="94">
        <v>34.336091794660177</v>
      </c>
      <c r="E1291" s="94">
        <v>2.2574066216519451</v>
      </c>
      <c r="F1291" s="94">
        <v>1.9</v>
      </c>
      <c r="G1291" s="94">
        <v>0</v>
      </c>
      <c r="H1291" s="94">
        <v>1.3</v>
      </c>
      <c r="I1291" s="94">
        <v>0</v>
      </c>
      <c r="J1291" s="94">
        <v>504.19444134484331</v>
      </c>
      <c r="K1291" s="94">
        <v>1.5822343304379307</v>
      </c>
      <c r="L1291" s="94">
        <v>0</v>
      </c>
      <c r="M1291" s="94">
        <v>0</v>
      </c>
      <c r="N1291" s="94">
        <v>0</v>
      </c>
      <c r="O1291" s="94">
        <v>0</v>
      </c>
    </row>
    <row r="1292" spans="1:15" x14ac:dyDescent="0.25">
      <c r="A1292" s="89">
        <v>45206.833333333336</v>
      </c>
      <c r="B1292" s="94">
        <v>360.34</v>
      </c>
      <c r="C1292" s="94">
        <v>300.02575596173267</v>
      </c>
      <c r="D1292" s="94">
        <v>63.8</v>
      </c>
      <c r="E1292" s="94">
        <v>5.4426867772134866</v>
      </c>
      <c r="F1292" s="94">
        <v>2.3543625615153672</v>
      </c>
      <c r="G1292" s="94">
        <v>0</v>
      </c>
      <c r="H1292" s="94">
        <v>1.2348271256786281</v>
      </c>
      <c r="I1292" s="94">
        <v>0</v>
      </c>
      <c r="J1292" s="94">
        <v>898.394791188829</v>
      </c>
      <c r="K1292" s="94">
        <v>1.843</v>
      </c>
      <c r="L1292" s="94">
        <v>0</v>
      </c>
      <c r="M1292" s="94">
        <v>0</v>
      </c>
      <c r="N1292" s="94">
        <v>0</v>
      </c>
      <c r="O1292" s="94">
        <v>0</v>
      </c>
    </row>
    <row r="1293" spans="1:15" x14ac:dyDescent="0.25">
      <c r="A1293" s="89">
        <v>45207.333333333336</v>
      </c>
      <c r="B1293" s="94">
        <v>360.34</v>
      </c>
      <c r="C1293" s="94">
        <v>300.02</v>
      </c>
      <c r="D1293" s="94">
        <v>61.968825924238935</v>
      </c>
      <c r="E1293" s="94">
        <v>5.4305326357494801</v>
      </c>
      <c r="F1293" s="94">
        <v>2.1771657012706624</v>
      </c>
      <c r="G1293" s="94">
        <v>0</v>
      </c>
      <c r="H1293" s="94">
        <v>1.3</v>
      </c>
      <c r="I1293" s="94">
        <v>0</v>
      </c>
      <c r="J1293" s="94">
        <v>899.18262155558966</v>
      </c>
      <c r="K1293" s="94">
        <v>1.8437602880283019</v>
      </c>
      <c r="L1293" s="94">
        <v>0</v>
      </c>
      <c r="M1293" s="94">
        <v>0</v>
      </c>
      <c r="N1293" s="94">
        <v>0</v>
      </c>
      <c r="O1293" s="94">
        <v>0</v>
      </c>
    </row>
    <row r="1294" spans="1:15" x14ac:dyDescent="0.25">
      <c r="A1294" s="89">
        <v>45207.833333333336</v>
      </c>
      <c r="B1294" s="94">
        <v>360.34</v>
      </c>
      <c r="C1294" s="94">
        <v>300.42</v>
      </c>
      <c r="D1294" s="94">
        <v>67.2</v>
      </c>
      <c r="E1294" s="94">
        <v>5.4352104579160621</v>
      </c>
      <c r="F1294" s="94">
        <v>70.400000000000006</v>
      </c>
      <c r="G1294" s="94">
        <v>6.1323761325730688</v>
      </c>
      <c r="H1294" s="94">
        <v>0.22674046913928456</v>
      </c>
      <c r="I1294" s="94">
        <v>0</v>
      </c>
      <c r="J1294" s="94">
        <v>2045</v>
      </c>
      <c r="K1294" s="94">
        <v>2.2448762597835534</v>
      </c>
      <c r="L1294" s="94">
        <v>0</v>
      </c>
      <c r="M1294" s="94">
        <v>0</v>
      </c>
      <c r="N1294" s="94">
        <v>0</v>
      </c>
      <c r="O1294" s="94">
        <v>0</v>
      </c>
    </row>
    <row r="1295" spans="1:15" x14ac:dyDescent="0.25">
      <c r="A1295" s="89">
        <v>45208.333333333336</v>
      </c>
      <c r="B1295" s="94">
        <v>360.56</v>
      </c>
      <c r="C1295" s="94">
        <v>300.42</v>
      </c>
      <c r="D1295" s="94">
        <v>66.586988650881764</v>
      </c>
      <c r="E1295" s="94">
        <v>5.4232084208808473</v>
      </c>
      <c r="F1295" s="94">
        <v>71.266534275245348</v>
      </c>
      <c r="G1295" s="94">
        <v>6.1469391228625714</v>
      </c>
      <c r="H1295" s="94">
        <v>1.2</v>
      </c>
      <c r="I1295" s="94">
        <v>0</v>
      </c>
      <c r="J1295" s="94">
        <v>2049.8086810022974</v>
      </c>
      <c r="K1295" s="94">
        <v>2.2467461860186706</v>
      </c>
      <c r="L1295" s="94">
        <v>0</v>
      </c>
      <c r="M1295" s="94">
        <v>0</v>
      </c>
      <c r="N1295" s="94">
        <v>0</v>
      </c>
      <c r="O1295" s="94">
        <v>0</v>
      </c>
    </row>
    <row r="1296" spans="1:15" x14ac:dyDescent="0.25">
      <c r="A1296" s="89">
        <v>45208.833333333336</v>
      </c>
      <c r="B1296" s="94">
        <v>360.56</v>
      </c>
      <c r="C1296" s="94">
        <v>300.42</v>
      </c>
      <c r="D1296" s="94">
        <v>67.599999999999994</v>
      </c>
      <c r="E1296" s="94">
        <v>5.4686184074099673</v>
      </c>
      <c r="F1296" s="94">
        <v>72.936559738406515</v>
      </c>
      <c r="G1296" s="94">
        <v>6.1469426420706306</v>
      </c>
      <c r="H1296" s="94">
        <v>1.2</v>
      </c>
      <c r="I1296" s="94">
        <v>0</v>
      </c>
      <c r="J1296" s="94">
        <v>2035.390750959149</v>
      </c>
      <c r="K1296" s="94">
        <v>2.2440000000000002</v>
      </c>
      <c r="L1296" s="94">
        <v>0</v>
      </c>
      <c r="M1296" s="94">
        <v>0</v>
      </c>
      <c r="N1296" s="94">
        <v>0</v>
      </c>
      <c r="O1296" s="94">
        <v>0</v>
      </c>
    </row>
    <row r="1297" spans="1:15" x14ac:dyDescent="0.25">
      <c r="A1297" s="89">
        <v>45209.333333333336</v>
      </c>
      <c r="B1297" s="94">
        <v>360.56</v>
      </c>
      <c r="C1297" s="94">
        <v>300.42</v>
      </c>
      <c r="D1297" s="94">
        <v>66.013717531133025</v>
      </c>
      <c r="E1297" s="94">
        <v>5.4290806732883459</v>
      </c>
      <c r="F1297" s="94">
        <v>72.400000000000006</v>
      </c>
      <c r="G1297" s="94">
        <v>6.1359655525033583</v>
      </c>
      <c r="H1297" s="94">
        <v>1.2</v>
      </c>
      <c r="I1297" s="94">
        <v>0</v>
      </c>
      <c r="J1297" s="94">
        <v>2041</v>
      </c>
      <c r="K1297" s="94">
        <v>2.2425010394153642</v>
      </c>
      <c r="L1297" s="94">
        <v>0</v>
      </c>
      <c r="M1297" s="94">
        <v>0</v>
      </c>
      <c r="N1297" s="94">
        <v>0</v>
      </c>
      <c r="O1297" s="94">
        <v>0</v>
      </c>
    </row>
    <row r="1298" spans="1:15" x14ac:dyDescent="0.25">
      <c r="A1298" s="89">
        <v>45209.833333333336</v>
      </c>
      <c r="B1298" s="94">
        <v>360.56</v>
      </c>
      <c r="C1298" s="94">
        <v>300.42</v>
      </c>
      <c r="D1298" s="94">
        <v>67.607809684357377</v>
      </c>
      <c r="E1298" s="94">
        <v>5.4694626376153668</v>
      </c>
      <c r="F1298" s="94">
        <v>73.804019687041858</v>
      </c>
      <c r="G1298" s="94">
        <v>6.1488741060498686</v>
      </c>
      <c r="H1298" s="94">
        <v>1.2</v>
      </c>
      <c r="I1298" s="94">
        <v>0</v>
      </c>
      <c r="J1298" s="94">
        <v>2041</v>
      </c>
      <c r="K1298" s="94">
        <v>2.2435006326315601</v>
      </c>
      <c r="L1298" s="94">
        <v>0</v>
      </c>
      <c r="M1298" s="94">
        <v>0</v>
      </c>
      <c r="N1298" s="94">
        <v>0</v>
      </c>
      <c r="O1298" s="94">
        <v>0</v>
      </c>
    </row>
    <row r="1299" spans="1:15" x14ac:dyDescent="0.25">
      <c r="A1299" s="89">
        <v>45210.333333333336</v>
      </c>
      <c r="B1299" s="94">
        <v>360.56</v>
      </c>
      <c r="C1299" s="94">
        <v>300.42</v>
      </c>
      <c r="D1299" s="94">
        <v>67.384711945599818</v>
      </c>
      <c r="E1299" s="94">
        <v>5.45</v>
      </c>
      <c r="F1299" s="94">
        <v>73.356332108057643</v>
      </c>
      <c r="G1299" s="94">
        <v>6.16</v>
      </c>
      <c r="H1299" s="94">
        <v>1.2738611751735118</v>
      </c>
      <c r="I1299" s="94">
        <v>0</v>
      </c>
      <c r="J1299" s="94">
        <v>2043.0350596106005</v>
      </c>
      <c r="K1299" s="94">
        <v>2.2427698431017187</v>
      </c>
      <c r="L1299" s="94">
        <v>0</v>
      </c>
      <c r="M1299" s="94">
        <v>0</v>
      </c>
      <c r="N1299" s="94">
        <v>0</v>
      </c>
      <c r="O1299" s="94">
        <v>0</v>
      </c>
    </row>
    <row r="1300" spans="1:15" x14ac:dyDescent="0.25">
      <c r="A1300" s="89">
        <v>45210.833333333336</v>
      </c>
      <c r="B1300" s="94">
        <v>360.56</v>
      </c>
      <c r="C1300" s="94">
        <v>300.42137584129699</v>
      </c>
      <c r="D1300" s="94">
        <v>68</v>
      </c>
      <c r="E1300" s="94">
        <v>5.4497102222493217</v>
      </c>
      <c r="F1300" s="94">
        <v>73.711272891583633</v>
      </c>
      <c r="G1300" s="94">
        <v>6.1456623212143722</v>
      </c>
      <c r="H1300" s="94">
        <v>1.2</v>
      </c>
      <c r="I1300" s="94">
        <v>0</v>
      </c>
      <c r="J1300" s="94">
        <v>2044.2092033734941</v>
      </c>
      <c r="K1300" s="94">
        <v>2.2450000000000001</v>
      </c>
      <c r="L1300" s="94">
        <v>0</v>
      </c>
      <c r="M1300" s="94">
        <v>0</v>
      </c>
      <c r="N1300" s="94">
        <v>0</v>
      </c>
      <c r="O1300" s="94">
        <v>0</v>
      </c>
    </row>
    <row r="1301" spans="1:15" x14ac:dyDescent="0.25">
      <c r="A1301" s="89">
        <v>45211.333333333336</v>
      </c>
      <c r="B1301" s="94">
        <v>360.56</v>
      </c>
      <c r="C1301" s="94">
        <v>300.42</v>
      </c>
      <c r="D1301" s="94">
        <v>66.817364830152371</v>
      </c>
      <c r="E1301" s="94">
        <v>5.4443810556848788</v>
      </c>
      <c r="F1301" s="94">
        <v>73.2</v>
      </c>
      <c r="G1301" s="94">
        <v>6.1527896766233097</v>
      </c>
      <c r="H1301" s="94">
        <v>1.2665524539348576</v>
      </c>
      <c r="I1301" s="94">
        <v>0</v>
      </c>
      <c r="J1301" s="94">
        <v>2043.8054399204368</v>
      </c>
      <c r="K1301" s="94">
        <v>2.2450700496406824</v>
      </c>
      <c r="L1301" s="94">
        <v>0</v>
      </c>
      <c r="M1301" s="94">
        <v>0</v>
      </c>
      <c r="N1301" s="94">
        <v>0</v>
      </c>
      <c r="O1301" s="94">
        <v>0</v>
      </c>
    </row>
    <row r="1302" spans="1:15" x14ac:dyDescent="0.25">
      <c r="A1302" s="89">
        <v>45211.833333333336</v>
      </c>
      <c r="B1302" s="94">
        <v>360.56</v>
      </c>
      <c r="C1302" s="94">
        <v>300.53288975732664</v>
      </c>
      <c r="D1302" s="94">
        <v>79.599999999999994</v>
      </c>
      <c r="E1302" s="94">
        <v>6.9870209016140006</v>
      </c>
      <c r="F1302" s="94">
        <v>82.904631794093532</v>
      </c>
      <c r="G1302" s="94">
        <v>6.9867084506338397</v>
      </c>
      <c r="H1302" s="94">
        <v>1.2</v>
      </c>
      <c r="I1302" s="94">
        <v>0</v>
      </c>
      <c r="J1302" s="94">
        <v>2424</v>
      </c>
      <c r="K1302" s="94">
        <v>2.3454572905071602</v>
      </c>
      <c r="L1302" s="94">
        <v>0</v>
      </c>
      <c r="M1302" s="94">
        <v>0</v>
      </c>
      <c r="N1302" s="94">
        <v>0</v>
      </c>
      <c r="O1302" s="94">
        <v>0</v>
      </c>
    </row>
    <row r="1303" spans="1:15" x14ac:dyDescent="0.25">
      <c r="A1303" s="89">
        <v>45212.333333333336</v>
      </c>
      <c r="B1303" s="94">
        <v>360.56</v>
      </c>
      <c r="C1303" s="94">
        <v>300.5352674039159</v>
      </c>
      <c r="D1303" s="94">
        <v>79.802527240630639</v>
      </c>
      <c r="E1303" s="94">
        <v>6.9594945518738713</v>
      </c>
      <c r="F1303" s="94">
        <v>82.5</v>
      </c>
      <c r="G1303" s="94">
        <v>6.96</v>
      </c>
      <c r="H1303" s="94">
        <v>1.210317246531863</v>
      </c>
      <c r="I1303" s="94">
        <v>0</v>
      </c>
      <c r="J1303" s="94">
        <v>2412.7978952076483</v>
      </c>
      <c r="K1303" s="94">
        <v>2.3435589246695314</v>
      </c>
      <c r="L1303" s="94">
        <v>0</v>
      </c>
      <c r="M1303" s="94">
        <v>0</v>
      </c>
      <c r="N1303" s="94">
        <v>0</v>
      </c>
      <c r="O1303" s="94">
        <v>0</v>
      </c>
    </row>
    <row r="1304" spans="1:15" x14ac:dyDescent="0.25">
      <c r="A1304" s="89">
        <v>45212.833333333336</v>
      </c>
      <c r="B1304" s="94">
        <v>360.56</v>
      </c>
      <c r="C1304" s="94">
        <v>300.53248363148083</v>
      </c>
      <c r="D1304" s="94">
        <v>79.749699347363787</v>
      </c>
      <c r="E1304" s="94">
        <v>6.9625974817840914</v>
      </c>
      <c r="F1304" s="94">
        <v>82.652001953124994</v>
      </c>
      <c r="G1304" s="94">
        <v>6.9626348089603605</v>
      </c>
      <c r="H1304" s="94">
        <v>1.2</v>
      </c>
      <c r="I1304" s="94">
        <v>0</v>
      </c>
      <c r="J1304" s="94">
        <v>2421.5880983170873</v>
      </c>
      <c r="K1304" s="94">
        <v>2.343725743521464</v>
      </c>
      <c r="L1304" s="94">
        <v>0</v>
      </c>
      <c r="M1304" s="94">
        <v>0</v>
      </c>
      <c r="N1304" s="94">
        <v>0</v>
      </c>
      <c r="O1304" s="94">
        <v>0</v>
      </c>
    </row>
    <row r="1305" spans="1:15" x14ac:dyDescent="0.25">
      <c r="A1305" s="89">
        <v>45213.333333333336</v>
      </c>
      <c r="B1305" s="94">
        <v>360.56</v>
      </c>
      <c r="C1305" s="94">
        <v>300.52999999999997</v>
      </c>
      <c r="D1305" s="94">
        <v>80.242127790510978</v>
      </c>
      <c r="E1305" s="94">
        <v>6.94</v>
      </c>
      <c r="F1305" s="94">
        <v>82.7</v>
      </c>
      <c r="G1305" s="94">
        <v>6.9394388722402303</v>
      </c>
      <c r="H1305" s="94">
        <v>1.2</v>
      </c>
      <c r="I1305" s="94">
        <v>0</v>
      </c>
      <c r="J1305" s="94">
        <v>2412.3971446369105</v>
      </c>
      <c r="K1305" s="94">
        <v>2.344365931684413</v>
      </c>
      <c r="L1305" s="94">
        <v>0</v>
      </c>
      <c r="M1305" s="94">
        <v>0</v>
      </c>
      <c r="N1305" s="94">
        <v>0</v>
      </c>
      <c r="O1305" s="94">
        <v>0</v>
      </c>
    </row>
    <row r="1306" spans="1:15" x14ac:dyDescent="0.25">
      <c r="A1306" s="89">
        <v>45213.833333333336</v>
      </c>
      <c r="B1306" s="94">
        <v>360.56</v>
      </c>
      <c r="C1306" s="94">
        <v>300.61376415843927</v>
      </c>
      <c r="D1306" s="94">
        <v>37.200000000000003</v>
      </c>
      <c r="E1306" s="94">
        <v>2.4525798656494122</v>
      </c>
      <c r="F1306" s="94">
        <v>66.248146774928102</v>
      </c>
      <c r="G1306" s="94">
        <v>5.4991648718337629</v>
      </c>
      <c r="H1306" s="94">
        <v>46.35813502876173</v>
      </c>
      <c r="I1306" s="94">
        <v>6.8606945201332126</v>
      </c>
      <c r="J1306" s="94">
        <v>2895.5565233277389</v>
      </c>
      <c r="K1306" s="94">
        <v>2.4595864532973786</v>
      </c>
      <c r="L1306" s="94">
        <v>0</v>
      </c>
      <c r="M1306" s="94">
        <v>0</v>
      </c>
      <c r="N1306" s="94">
        <v>0</v>
      </c>
      <c r="O1306" s="94">
        <v>0</v>
      </c>
    </row>
    <row r="1307" spans="1:15" x14ac:dyDescent="0.25">
      <c r="A1307" s="89">
        <v>45214.333333333336</v>
      </c>
      <c r="B1307" s="94">
        <v>360.56</v>
      </c>
      <c r="C1307" s="94">
        <v>300.61</v>
      </c>
      <c r="D1307" s="94">
        <v>37.830193752304197</v>
      </c>
      <c r="E1307" s="94">
        <v>2.5099999999999998</v>
      </c>
      <c r="F1307" s="94">
        <v>65.83582422280584</v>
      </c>
      <c r="G1307" s="94">
        <v>5.4912589555196494</v>
      </c>
      <c r="H1307" s="94">
        <v>46.463407893211013</v>
      </c>
      <c r="I1307" s="94">
        <v>6.9074832107451227</v>
      </c>
      <c r="J1307" s="94">
        <v>2890.8669483298472</v>
      </c>
      <c r="K1307" s="94">
        <v>2.4570525316937588</v>
      </c>
      <c r="L1307" s="94">
        <v>0</v>
      </c>
      <c r="M1307" s="94">
        <v>0</v>
      </c>
      <c r="N1307" s="94">
        <v>0</v>
      </c>
      <c r="O1307" s="94">
        <v>0</v>
      </c>
    </row>
    <row r="1308" spans="1:15" x14ac:dyDescent="0.25">
      <c r="A1308" s="89">
        <v>45214.833333333336</v>
      </c>
      <c r="B1308" s="94">
        <v>360.56</v>
      </c>
      <c r="C1308" s="94">
        <v>300.61</v>
      </c>
      <c r="D1308" s="94">
        <v>40.6</v>
      </c>
      <c r="E1308" s="94">
        <v>2.4568972332015813</v>
      </c>
      <c r="F1308" s="94">
        <v>68</v>
      </c>
      <c r="G1308" s="94">
        <v>5.4554775487670222</v>
      </c>
      <c r="H1308" s="94">
        <v>46.337970360437104</v>
      </c>
      <c r="I1308" s="94">
        <v>6.7464044755415316</v>
      </c>
      <c r="J1308" s="94">
        <v>2867.2956210953739</v>
      </c>
      <c r="K1308" s="94">
        <v>2.452634482682265</v>
      </c>
      <c r="L1308" s="94">
        <v>0</v>
      </c>
      <c r="M1308" s="94">
        <v>0</v>
      </c>
      <c r="N1308" s="94">
        <v>0</v>
      </c>
      <c r="O1308" s="94">
        <v>0</v>
      </c>
    </row>
    <row r="1309" spans="1:15" x14ac:dyDescent="0.25">
      <c r="A1309" s="89">
        <v>45215.333333333336</v>
      </c>
      <c r="B1309" s="94">
        <v>360.46</v>
      </c>
      <c r="C1309" s="94">
        <v>299.46414755269194</v>
      </c>
      <c r="D1309" s="94">
        <v>0.80410735281796153</v>
      </c>
      <c r="E1309" s="94">
        <v>0</v>
      </c>
      <c r="F1309" s="94">
        <v>0.9</v>
      </c>
      <c r="G1309" s="94">
        <v>0</v>
      </c>
      <c r="H1309" s="94">
        <v>0.2</v>
      </c>
      <c r="I1309" s="94">
        <v>0</v>
      </c>
      <c r="J1309" s="94">
        <v>350.44837690292883</v>
      </c>
      <c r="K1309" s="94">
        <v>1.4502776074981689</v>
      </c>
      <c r="L1309" s="94">
        <v>0</v>
      </c>
      <c r="M1309" s="94">
        <v>9</v>
      </c>
      <c r="N1309" s="94">
        <v>0</v>
      </c>
      <c r="O1309" s="94">
        <v>0</v>
      </c>
    </row>
    <row r="1310" spans="1:15" x14ac:dyDescent="0.25">
      <c r="A1310" s="89">
        <v>45215.833333333336</v>
      </c>
      <c r="B1310" s="94">
        <v>360.46</v>
      </c>
      <c r="C1310" s="94">
        <v>300.53771280678279</v>
      </c>
      <c r="D1310" s="94">
        <v>82.239040080240969</v>
      </c>
      <c r="E1310" s="94">
        <v>6.9574653049207615</v>
      </c>
      <c r="F1310" s="94">
        <v>82.617611730635133</v>
      </c>
      <c r="G1310" s="94">
        <v>6.94</v>
      </c>
      <c r="H1310" s="94">
        <v>1</v>
      </c>
      <c r="I1310" s="94">
        <v>0</v>
      </c>
      <c r="J1310" s="94">
        <v>2410.4001358688552</v>
      </c>
      <c r="K1310" s="94">
        <v>2.3423188250294009</v>
      </c>
      <c r="L1310" s="94">
        <v>0</v>
      </c>
      <c r="M1310" s="94">
        <v>0</v>
      </c>
      <c r="N1310" s="94">
        <v>0</v>
      </c>
      <c r="O1310" s="94">
        <v>0</v>
      </c>
    </row>
    <row r="1311" spans="1:15" x14ac:dyDescent="0.25">
      <c r="A1311" s="89">
        <v>45216.333333333336</v>
      </c>
      <c r="B1311" s="94">
        <v>360.44</v>
      </c>
      <c r="C1311" s="94">
        <v>300.5042975625546</v>
      </c>
      <c r="D1311" s="94">
        <v>46.856541094838967</v>
      </c>
      <c r="E1311" s="94">
        <v>3.7639246569033804</v>
      </c>
      <c r="F1311" s="94">
        <v>0.75748069129977169</v>
      </c>
      <c r="G1311" s="94">
        <v>0</v>
      </c>
      <c r="H1311" s="94">
        <v>1.2881500244140625</v>
      </c>
      <c r="I1311" s="94">
        <v>0</v>
      </c>
      <c r="J1311" s="94">
        <v>2404.1585885547947</v>
      </c>
      <c r="K1311" s="94">
        <v>2.3402557234225192</v>
      </c>
      <c r="L1311" s="94">
        <v>0</v>
      </c>
      <c r="M1311" s="94">
        <v>0</v>
      </c>
      <c r="N1311" s="94">
        <v>0</v>
      </c>
      <c r="O1311" s="94">
        <v>0</v>
      </c>
    </row>
    <row r="1312" spans="1:15" x14ac:dyDescent="0.25">
      <c r="A1312" s="89">
        <v>45216.833333333336</v>
      </c>
      <c r="B1312" s="94">
        <v>360.44</v>
      </c>
      <c r="C1312" s="94">
        <v>300.11764824670155</v>
      </c>
      <c r="D1312" s="94">
        <v>79.051643729596321</v>
      </c>
      <c r="E1312" s="94">
        <v>6.9655701149144553</v>
      </c>
      <c r="F1312" s="94">
        <v>1.2</v>
      </c>
      <c r="G1312" s="94">
        <v>0</v>
      </c>
      <c r="H1312" s="94">
        <v>1.2034811793287601</v>
      </c>
      <c r="I1312" s="94">
        <v>0</v>
      </c>
      <c r="J1312" s="94">
        <v>1144.6002610558053</v>
      </c>
      <c r="K1312" s="94">
        <v>1.9490000000000001</v>
      </c>
      <c r="L1312" s="94">
        <v>1</v>
      </c>
      <c r="M1312" s="94">
        <v>0</v>
      </c>
      <c r="N1312" s="94">
        <v>0</v>
      </c>
      <c r="O1312" s="94">
        <v>0</v>
      </c>
    </row>
    <row r="1313" spans="1:15" x14ac:dyDescent="0.25">
      <c r="A1313" s="89">
        <v>45217.333333333336</v>
      </c>
      <c r="B1313" s="94">
        <v>360.4373818750995</v>
      </c>
      <c r="C1313" s="94">
        <v>300.04620572731716</v>
      </c>
      <c r="D1313" s="94">
        <v>0.7</v>
      </c>
      <c r="E1313" s="94">
        <v>0</v>
      </c>
      <c r="F1313" s="94">
        <v>2.1</v>
      </c>
      <c r="G1313" s="94">
        <v>0</v>
      </c>
      <c r="H1313" s="94">
        <v>1.2</v>
      </c>
      <c r="I1313" s="94">
        <v>0</v>
      </c>
      <c r="J1313" s="94">
        <v>1090.3428301315491</v>
      </c>
      <c r="K1313" s="94">
        <v>1.9244439772265141</v>
      </c>
      <c r="L1313" s="94">
        <v>1</v>
      </c>
      <c r="M1313" s="94">
        <v>0</v>
      </c>
      <c r="N1313" s="94">
        <v>0</v>
      </c>
      <c r="O1313" s="94">
        <v>0</v>
      </c>
    </row>
    <row r="1314" spans="1:15" x14ac:dyDescent="0.25">
      <c r="A1314" s="89">
        <v>45217.833333333336</v>
      </c>
      <c r="B1314" s="94">
        <v>360.42</v>
      </c>
      <c r="C1314" s="94">
        <v>300.17</v>
      </c>
      <c r="D1314" s="94">
        <v>46.442163115301518</v>
      </c>
      <c r="E1314" s="94">
        <v>3.1839477104196927</v>
      </c>
      <c r="F1314" s="94">
        <v>47.365257956542642</v>
      </c>
      <c r="G1314" s="94">
        <v>3.2128988812194863</v>
      </c>
      <c r="H1314" s="94">
        <v>1.2333904124938895</v>
      </c>
      <c r="I1314" s="94">
        <v>0</v>
      </c>
      <c r="J1314" s="94">
        <v>1242</v>
      </c>
      <c r="K1314" s="94">
        <v>1.9872081012611515</v>
      </c>
      <c r="L1314" s="94">
        <v>1</v>
      </c>
      <c r="M1314" s="94">
        <v>0</v>
      </c>
      <c r="N1314" s="94">
        <v>0</v>
      </c>
      <c r="O1314" s="94">
        <v>0</v>
      </c>
    </row>
    <row r="1315" spans="1:15" x14ac:dyDescent="0.25">
      <c r="A1315" s="89">
        <v>45218.333333333336</v>
      </c>
      <c r="B1315" s="94">
        <v>360.4</v>
      </c>
      <c r="C1315" s="94">
        <v>301.61246784767303</v>
      </c>
      <c r="D1315" s="94">
        <v>84.781972197646866</v>
      </c>
      <c r="E1315" s="94">
        <v>6.9654156102031459</v>
      </c>
      <c r="F1315" s="94">
        <v>84.454579772949216</v>
      </c>
      <c r="G1315" s="94">
        <v>6.9467632444002758</v>
      </c>
      <c r="H1315" s="94">
        <v>1.2044197670264156</v>
      </c>
      <c r="I1315" s="94">
        <v>0</v>
      </c>
      <c r="J1315" s="94">
        <v>8903.915362455944</v>
      </c>
      <c r="K1315" s="94">
        <v>3.4031027839536327</v>
      </c>
      <c r="L1315" s="94">
        <v>100.63496368163355</v>
      </c>
      <c r="M1315" s="94">
        <v>0</v>
      </c>
      <c r="N1315" s="94">
        <v>98.719300245184002</v>
      </c>
      <c r="O1315" s="94">
        <v>99.691660851770109</v>
      </c>
    </row>
    <row r="1316" spans="1:15" x14ac:dyDescent="0.25">
      <c r="A1316" s="89">
        <v>45218.833333333336</v>
      </c>
      <c r="B1316" s="94">
        <v>360.39963849048917</v>
      </c>
      <c r="C1316" s="94">
        <v>300.13145029453636</v>
      </c>
      <c r="D1316" s="94">
        <v>1.4731229830306085</v>
      </c>
      <c r="E1316" s="94">
        <v>6.2816697492735583E-3</v>
      </c>
      <c r="F1316" s="94">
        <v>77.404025151952283</v>
      </c>
      <c r="G1316" s="94">
        <v>7.009476044318264</v>
      </c>
      <c r="H1316" s="94">
        <v>1.2770493280224986</v>
      </c>
      <c r="I1316" s="94">
        <v>1.7057395064295319E-2</v>
      </c>
      <c r="J1316" s="94">
        <v>1157.5320742107447</v>
      </c>
      <c r="K1316" s="94">
        <v>1.9505014734178532</v>
      </c>
      <c r="L1316" s="94">
        <v>1.0421453056084538</v>
      </c>
      <c r="M1316" s="94">
        <v>4.5540827823262457E-2</v>
      </c>
      <c r="N1316" s="94">
        <v>4.2989965053041326E-2</v>
      </c>
      <c r="O1316" s="94">
        <v>1.4106630384997048E-2</v>
      </c>
    </row>
    <row r="1317" spans="1:15" x14ac:dyDescent="0.25">
      <c r="A1317" s="89">
        <v>45219.333333333336</v>
      </c>
      <c r="B1317" s="94">
        <v>360.39785340790723</v>
      </c>
      <c r="C1317" s="94">
        <v>300.13892847376889</v>
      </c>
      <c r="D1317" s="94">
        <v>1.848923439032149</v>
      </c>
      <c r="E1317" s="94">
        <v>3.7444549531881553E-2</v>
      </c>
      <c r="F1317" s="94">
        <v>77.424769001610244</v>
      </c>
      <c r="G1317" s="94">
        <v>7.0067745188081165</v>
      </c>
      <c r="H1317" s="94">
        <v>1.6735940033238528</v>
      </c>
      <c r="I1317" s="94">
        <v>9.9207290385784921E-2</v>
      </c>
      <c r="J1317" s="94">
        <v>1201.1035419653936</v>
      </c>
      <c r="K1317" s="94">
        <v>1.9578869737794253</v>
      </c>
      <c r="L1317" s="94">
        <v>1.2592718135158842</v>
      </c>
      <c r="M1317" s="94">
        <v>0.27230102543698809</v>
      </c>
      <c r="N1317" s="94">
        <v>0.26016282117894696</v>
      </c>
      <c r="O1317" s="94">
        <v>8.6529508171894171E-2</v>
      </c>
    </row>
    <row r="1318" spans="1:15" x14ac:dyDescent="0.25">
      <c r="A1318" s="89">
        <v>45219.833333333336</v>
      </c>
      <c r="B1318" s="94">
        <v>360.39606832532536</v>
      </c>
      <c r="C1318" s="94">
        <v>300.14640665300141</v>
      </c>
      <c r="D1318" s="94">
        <v>2.2247238950336889</v>
      </c>
      <c r="E1318" s="94">
        <v>6.8607429314489557E-2</v>
      </c>
      <c r="F1318" s="94">
        <v>77.445512851268205</v>
      </c>
      <c r="G1318" s="94">
        <v>7.0040729932979682</v>
      </c>
      <c r="H1318" s="94">
        <v>2.0701386786252072</v>
      </c>
      <c r="I1318" s="94">
        <v>0.18135718570727452</v>
      </c>
      <c r="J1318" s="94">
        <v>1244.6750097200425</v>
      </c>
      <c r="K1318" s="94">
        <v>1.9652724741409975</v>
      </c>
      <c r="L1318" s="94">
        <v>1.4763983214233147</v>
      </c>
      <c r="M1318" s="94">
        <v>0.49906122305071371</v>
      </c>
      <c r="N1318" s="94">
        <v>0.47733567730485255</v>
      </c>
      <c r="O1318" s="94">
        <v>0.15895238595879127</v>
      </c>
    </row>
    <row r="1319" spans="1:15" x14ac:dyDescent="0.25">
      <c r="A1319" s="89">
        <v>45220.333333333336</v>
      </c>
      <c r="B1319" s="94">
        <v>360.39428324274348</v>
      </c>
      <c r="C1319" s="94">
        <v>300.15388483223398</v>
      </c>
      <c r="D1319" s="94">
        <v>2.6005243510352294</v>
      </c>
      <c r="E1319" s="94">
        <v>9.9770309097097554E-2</v>
      </c>
      <c r="F1319" s="94">
        <v>77.466256700926166</v>
      </c>
      <c r="G1319" s="94">
        <v>7.0013714677878207</v>
      </c>
      <c r="H1319" s="94">
        <v>2.4666833539265616</v>
      </c>
      <c r="I1319" s="94">
        <v>0.26350708102876413</v>
      </c>
      <c r="J1319" s="94">
        <v>1288.2464774746911</v>
      </c>
      <c r="K1319" s="94">
        <v>1.9726579745025696</v>
      </c>
      <c r="L1319" s="94">
        <v>1.693524829330745</v>
      </c>
      <c r="M1319" s="94">
        <v>0.72582142066443944</v>
      </c>
      <c r="N1319" s="94">
        <v>0.69450853343075813</v>
      </c>
      <c r="O1319" s="94">
        <v>0.2313752637456884</v>
      </c>
    </row>
    <row r="1320" spans="1:15" x14ac:dyDescent="0.25">
      <c r="A1320" s="89">
        <v>45220.833333333336</v>
      </c>
      <c r="B1320" s="94">
        <v>360.39249816016155</v>
      </c>
      <c r="C1320" s="94">
        <v>300.16136301146651</v>
      </c>
      <c r="D1320" s="94">
        <v>2.9763248070367698</v>
      </c>
      <c r="E1320" s="94">
        <v>0.13093318887970554</v>
      </c>
      <c r="F1320" s="94">
        <v>77.487000550584128</v>
      </c>
      <c r="G1320" s="94">
        <v>6.9986699422776733</v>
      </c>
      <c r="H1320" s="94">
        <v>2.8632280292279155</v>
      </c>
      <c r="I1320" s="94">
        <v>0.34565697635025366</v>
      </c>
      <c r="J1320" s="94">
        <v>1331.81794522934</v>
      </c>
      <c r="K1320" s="94">
        <v>1.9800434748641418</v>
      </c>
      <c r="L1320" s="94">
        <v>1.9106513372381753</v>
      </c>
      <c r="M1320" s="94">
        <v>0.95258161827816501</v>
      </c>
      <c r="N1320" s="94">
        <v>0.91168138955666378</v>
      </c>
      <c r="O1320" s="94">
        <v>0.30379814153258555</v>
      </c>
    </row>
    <row r="1321" spans="1:15" x14ac:dyDescent="0.25">
      <c r="A1321" s="89">
        <v>45221.333333333336</v>
      </c>
      <c r="B1321" s="94">
        <v>360.39071307757968</v>
      </c>
      <c r="C1321" s="94">
        <v>300.16884119069903</v>
      </c>
      <c r="D1321" s="94">
        <v>3.3521252630383098</v>
      </c>
      <c r="E1321" s="94">
        <v>0.16209606866231355</v>
      </c>
      <c r="F1321" s="94">
        <v>77.507744400242089</v>
      </c>
      <c r="G1321" s="94">
        <v>6.9959684167675249</v>
      </c>
      <c r="H1321" s="94">
        <v>3.2597727045292695</v>
      </c>
      <c r="I1321" s="94">
        <v>0.42780687167174331</v>
      </c>
      <c r="J1321" s="94">
        <v>1375.3894129839887</v>
      </c>
      <c r="K1321" s="94">
        <v>1.9874289752257139</v>
      </c>
      <c r="L1321" s="94">
        <v>2.127777845145606</v>
      </c>
      <c r="M1321" s="94">
        <v>1.1793418158918907</v>
      </c>
      <c r="N1321" s="94">
        <v>1.1288542456825694</v>
      </c>
      <c r="O1321" s="94">
        <v>0.37622101931948265</v>
      </c>
    </row>
    <row r="1322" spans="1:15" x14ac:dyDescent="0.25">
      <c r="A1322" s="89">
        <v>45221.833333333336</v>
      </c>
      <c r="B1322" s="94">
        <v>360.3889279949978</v>
      </c>
      <c r="C1322" s="94">
        <v>300.17631936993155</v>
      </c>
      <c r="D1322" s="94">
        <v>3.7279257190398498</v>
      </c>
      <c r="E1322" s="94">
        <v>0.19325894844492153</v>
      </c>
      <c r="F1322" s="94">
        <v>77.52848824990005</v>
      </c>
      <c r="G1322" s="94">
        <v>6.9932668912573774</v>
      </c>
      <c r="H1322" s="94">
        <v>3.6563173798306243</v>
      </c>
      <c r="I1322" s="94">
        <v>0.50995676699323289</v>
      </c>
      <c r="J1322" s="94">
        <v>1418.9608807386376</v>
      </c>
      <c r="K1322" s="94">
        <v>1.9948144755872861</v>
      </c>
      <c r="L1322" s="94">
        <v>2.3449043530530362</v>
      </c>
      <c r="M1322" s="94">
        <v>1.4061020135056164</v>
      </c>
      <c r="N1322" s="94">
        <v>1.3460271018084751</v>
      </c>
      <c r="O1322" s="94">
        <v>0.44864389710637975</v>
      </c>
    </row>
    <row r="1323" spans="1:15" x14ac:dyDescent="0.25">
      <c r="A1323" s="89">
        <v>45222.333333333336</v>
      </c>
      <c r="B1323" s="94">
        <v>360.38714291241587</v>
      </c>
      <c r="C1323" s="94">
        <v>300.18379754916407</v>
      </c>
      <c r="D1323" s="94">
        <v>4.1037261750413903</v>
      </c>
      <c r="E1323" s="94">
        <v>0.22442182822752957</v>
      </c>
      <c r="F1323" s="94">
        <v>77.549232099558012</v>
      </c>
      <c r="G1323" s="94">
        <v>6.9905653657472291</v>
      </c>
      <c r="H1323" s="94">
        <v>4.0528620551319783</v>
      </c>
      <c r="I1323" s="94">
        <v>0.59210666231472242</v>
      </c>
      <c r="J1323" s="94">
        <v>1462.5323484932865</v>
      </c>
      <c r="K1323" s="94">
        <v>2.0021999759488582</v>
      </c>
      <c r="L1323" s="94">
        <v>2.5620308609604665</v>
      </c>
      <c r="M1323" s="94">
        <v>1.6328622111193418</v>
      </c>
      <c r="N1323" s="94">
        <v>1.5631999579343805</v>
      </c>
      <c r="O1323" s="94">
        <v>0.5210667748932768</v>
      </c>
    </row>
    <row r="1324" spans="1:15" x14ac:dyDescent="0.25">
      <c r="A1324" s="89">
        <v>45222.833333333336</v>
      </c>
      <c r="B1324" s="94">
        <v>360.38535782983399</v>
      </c>
      <c r="C1324" s="94">
        <v>300.19127572839659</v>
      </c>
      <c r="D1324" s="94">
        <v>4.4795266310429298</v>
      </c>
      <c r="E1324" s="94">
        <v>0.2555847080101375</v>
      </c>
      <c r="F1324" s="94">
        <v>77.569975949215973</v>
      </c>
      <c r="G1324" s="94">
        <v>6.9878638402370816</v>
      </c>
      <c r="H1324" s="94">
        <v>4.4494067304333331</v>
      </c>
      <c r="I1324" s="94">
        <v>0.67425655763621217</v>
      </c>
      <c r="J1324" s="94">
        <v>1506.1038162479351</v>
      </c>
      <c r="K1324" s="94">
        <v>2.0095854763104306</v>
      </c>
      <c r="L1324" s="94">
        <v>2.7791573688678968</v>
      </c>
      <c r="M1324" s="94">
        <v>1.8596224087330675</v>
      </c>
      <c r="N1324" s="94">
        <v>1.7803728140602861</v>
      </c>
      <c r="O1324" s="94">
        <v>0.59348965268017395</v>
      </c>
    </row>
    <row r="1325" spans="1:15" x14ac:dyDescent="0.25">
      <c r="A1325" s="89">
        <v>45223.333333333336</v>
      </c>
      <c r="B1325" s="94">
        <v>360.38357274725212</v>
      </c>
      <c r="C1325" s="94">
        <v>300.19875390762911</v>
      </c>
      <c r="D1325" s="94">
        <v>4.8553270870444711</v>
      </c>
      <c r="E1325" s="94">
        <v>0.28674758779274556</v>
      </c>
      <c r="F1325" s="94">
        <v>77.590719798873934</v>
      </c>
      <c r="G1325" s="94">
        <v>6.9851623147269333</v>
      </c>
      <c r="H1325" s="94">
        <v>4.8459514057346871</v>
      </c>
      <c r="I1325" s="94">
        <v>0.7564064529577017</v>
      </c>
      <c r="J1325" s="94">
        <v>1549.675284002584</v>
      </c>
      <c r="K1325" s="94">
        <v>2.0169709766720025</v>
      </c>
      <c r="L1325" s="94">
        <v>2.996283876775327</v>
      </c>
      <c r="M1325" s="94">
        <v>2.0863826063467932</v>
      </c>
      <c r="N1325" s="94">
        <v>1.9975456701861918</v>
      </c>
      <c r="O1325" s="94">
        <v>0.66591253046707111</v>
      </c>
    </row>
    <row r="1326" spans="1:15" x14ac:dyDescent="0.25">
      <c r="A1326" s="89">
        <v>45223.833333333336</v>
      </c>
      <c r="B1326" s="94">
        <v>360.38178766467018</v>
      </c>
      <c r="C1326" s="94">
        <v>300.20623208686169</v>
      </c>
      <c r="D1326" s="94">
        <v>5.2311275430460107</v>
      </c>
      <c r="E1326" s="94">
        <v>0.31791046757535357</v>
      </c>
      <c r="F1326" s="94">
        <v>77.611463648531895</v>
      </c>
      <c r="G1326" s="94">
        <v>6.9824607892167858</v>
      </c>
      <c r="H1326" s="94">
        <v>5.2424960810360419</v>
      </c>
      <c r="I1326" s="94">
        <v>0.83855634827919134</v>
      </c>
      <c r="J1326" s="94">
        <v>1593.2467517572327</v>
      </c>
      <c r="K1326" s="94">
        <v>2.0243564770335749</v>
      </c>
      <c r="L1326" s="94">
        <v>3.2134103846827577</v>
      </c>
      <c r="M1326" s="94">
        <v>2.3131428039605186</v>
      </c>
      <c r="N1326" s="94">
        <v>2.2147185263120974</v>
      </c>
      <c r="O1326" s="94">
        <v>0.73833540825396826</v>
      </c>
    </row>
    <row r="1327" spans="1:15" x14ac:dyDescent="0.25">
      <c r="A1327" s="89">
        <v>45224.333333333336</v>
      </c>
      <c r="B1327" s="94">
        <v>360.38000258208831</v>
      </c>
      <c r="C1327" s="94">
        <v>300.21371026609421</v>
      </c>
      <c r="D1327" s="94">
        <v>5.6069279990475511</v>
      </c>
      <c r="E1327" s="94">
        <v>0.34907334735796153</v>
      </c>
      <c r="F1327" s="94">
        <v>77.632207498189857</v>
      </c>
      <c r="G1327" s="94">
        <v>6.9797592637066384</v>
      </c>
      <c r="H1327" s="94">
        <v>5.6390407563373959</v>
      </c>
      <c r="I1327" s="94">
        <v>0.92070624360068087</v>
      </c>
      <c r="J1327" s="94">
        <v>1636.8182195118816</v>
      </c>
      <c r="K1327" s="94">
        <v>2.0317419773951468</v>
      </c>
      <c r="L1327" s="94">
        <v>3.430536892590188</v>
      </c>
      <c r="M1327" s="94">
        <v>2.5399030015742445</v>
      </c>
      <c r="N1327" s="94">
        <v>2.4318913824380033</v>
      </c>
      <c r="O1327" s="94">
        <v>0.81075828604086531</v>
      </c>
    </row>
    <row r="1328" spans="1:15" x14ac:dyDescent="0.25">
      <c r="A1328" s="89">
        <v>45224.833333333336</v>
      </c>
      <c r="B1328" s="94">
        <v>360.37821749950643</v>
      </c>
      <c r="C1328" s="94">
        <v>300.22118844532673</v>
      </c>
      <c r="D1328" s="94">
        <v>5.9827284550490916</v>
      </c>
      <c r="E1328" s="94">
        <v>0.38023622714056954</v>
      </c>
      <c r="F1328" s="94">
        <v>77.652951347847832</v>
      </c>
      <c r="G1328" s="94">
        <v>6.97705773819649</v>
      </c>
      <c r="H1328" s="94">
        <v>6.0355854316387498</v>
      </c>
      <c r="I1328" s="94">
        <v>1.0028561389221706</v>
      </c>
      <c r="J1328" s="94">
        <v>1680.3896872665305</v>
      </c>
      <c r="K1328" s="94">
        <v>2.0391274777567192</v>
      </c>
      <c r="L1328" s="94">
        <v>3.6476634004976187</v>
      </c>
      <c r="M1328" s="94">
        <v>2.76666319918797</v>
      </c>
      <c r="N1328" s="94">
        <v>2.6490642385639087</v>
      </c>
      <c r="O1328" s="94">
        <v>0.88318116382776246</v>
      </c>
    </row>
    <row r="1329" spans="1:15" x14ac:dyDescent="0.25">
      <c r="A1329" s="89">
        <v>45225.333333333336</v>
      </c>
      <c r="B1329" s="94">
        <v>360.3764324169245</v>
      </c>
      <c r="C1329" s="94">
        <v>300.22866662455925</v>
      </c>
      <c r="D1329" s="94">
        <v>6.358528911050632</v>
      </c>
      <c r="E1329" s="94">
        <v>0.41139910692317749</v>
      </c>
      <c r="F1329" s="94">
        <v>77.673695197505793</v>
      </c>
      <c r="G1329" s="94">
        <v>6.9743562126863425</v>
      </c>
      <c r="H1329" s="94">
        <v>6.4321301069401047</v>
      </c>
      <c r="I1329" s="94">
        <v>1.0850060342436603</v>
      </c>
      <c r="J1329" s="94">
        <v>1723.9611550211791</v>
      </c>
      <c r="K1329" s="94">
        <v>2.0465129781182911</v>
      </c>
      <c r="L1329" s="94">
        <v>3.864789908405049</v>
      </c>
      <c r="M1329" s="94">
        <v>2.9934233968016959</v>
      </c>
      <c r="N1329" s="94">
        <v>2.8662370946898146</v>
      </c>
      <c r="O1329" s="94">
        <v>0.95560404161465951</v>
      </c>
    </row>
    <row r="1330" spans="1:15" x14ac:dyDescent="0.25">
      <c r="A1330" s="89">
        <v>45225.833333333336</v>
      </c>
      <c r="B1330" s="94">
        <v>360.37464733434263</v>
      </c>
      <c r="C1330" s="94">
        <v>300.23614480379177</v>
      </c>
      <c r="D1330" s="94">
        <v>6.7343293670521724</v>
      </c>
      <c r="E1330" s="94">
        <v>0.4425619867057855</v>
      </c>
      <c r="F1330" s="94">
        <v>77.694439047163755</v>
      </c>
      <c r="G1330" s="94">
        <v>6.9716546871761942</v>
      </c>
      <c r="H1330" s="94">
        <v>6.8286747822414586</v>
      </c>
      <c r="I1330" s="94">
        <v>1.1671559295651497</v>
      </c>
      <c r="J1330" s="94">
        <v>1767.5326227758278</v>
      </c>
      <c r="K1330" s="94">
        <v>2.0538984784798635</v>
      </c>
      <c r="L1330" s="94">
        <v>4.0819164163124793</v>
      </c>
      <c r="M1330" s="94">
        <v>3.2201835944154213</v>
      </c>
      <c r="N1330" s="94">
        <v>3.08340995081572</v>
      </c>
      <c r="O1330" s="94">
        <v>1.0280269194015565</v>
      </c>
    </row>
    <row r="1331" spans="1:15" x14ac:dyDescent="0.25">
      <c r="A1331" s="89">
        <v>45226.333333333336</v>
      </c>
      <c r="B1331" s="94">
        <v>360.37286225176075</v>
      </c>
      <c r="C1331" s="94">
        <v>300.2436229830243</v>
      </c>
      <c r="D1331" s="94">
        <v>7.1101298230537111</v>
      </c>
      <c r="E1331" s="94">
        <v>0.47372486648839351</v>
      </c>
      <c r="F1331" s="94">
        <v>77.715182896821716</v>
      </c>
      <c r="G1331" s="94">
        <v>6.9689531616660467</v>
      </c>
      <c r="H1331" s="94">
        <v>7.2252194575428126</v>
      </c>
      <c r="I1331" s="94">
        <v>1.2493058248866393</v>
      </c>
      <c r="J1331" s="94">
        <v>1811.1040905304767</v>
      </c>
      <c r="K1331" s="94">
        <v>2.0612839788414354</v>
      </c>
      <c r="L1331" s="94">
        <v>4.2990429242199095</v>
      </c>
      <c r="M1331" s="94">
        <v>3.4469437920291472</v>
      </c>
      <c r="N1331" s="94">
        <v>3.3005828069416259</v>
      </c>
      <c r="O1331" s="94">
        <v>1.1004497971884537</v>
      </c>
    </row>
    <row r="1332" spans="1:15" x14ac:dyDescent="0.25">
      <c r="A1332" s="89">
        <v>45226.833333333336</v>
      </c>
      <c r="B1332" s="94">
        <v>360.37107716917882</v>
      </c>
      <c r="C1332" s="94">
        <v>300.25110116225682</v>
      </c>
      <c r="D1332" s="94">
        <v>7.4859302790552515</v>
      </c>
      <c r="E1332" s="94">
        <v>0.50488774627100153</v>
      </c>
      <c r="F1332" s="94">
        <v>77.735926746479677</v>
      </c>
      <c r="G1332" s="94">
        <v>6.9662516361558984</v>
      </c>
      <c r="H1332" s="94">
        <v>7.6217641328441665</v>
      </c>
      <c r="I1332" s="94">
        <v>1.331455720208129</v>
      </c>
      <c r="J1332" s="94">
        <v>1854.6755582851256</v>
      </c>
      <c r="K1332" s="94">
        <v>2.0686694792030078</v>
      </c>
      <c r="L1332" s="94">
        <v>4.5161694321273398</v>
      </c>
      <c r="M1332" s="94">
        <v>3.6737039896428727</v>
      </c>
      <c r="N1332" s="94">
        <v>3.5177556630675313</v>
      </c>
      <c r="O1332" s="94">
        <v>1.1728726749753509</v>
      </c>
    </row>
    <row r="1333" spans="1:15" x14ac:dyDescent="0.25">
      <c r="A1333" s="89">
        <v>45227.333333333336</v>
      </c>
      <c r="B1333" s="94">
        <v>360.36929208659694</v>
      </c>
      <c r="C1333" s="94">
        <v>300.25857934148939</v>
      </c>
      <c r="D1333" s="94">
        <v>7.861730735056792</v>
      </c>
      <c r="E1333" s="94">
        <v>0.53605062605360954</v>
      </c>
      <c r="F1333" s="94">
        <v>77.756670596137639</v>
      </c>
      <c r="G1333" s="94">
        <v>6.9635501106457509</v>
      </c>
      <c r="H1333" s="94">
        <v>8.0183088081455214</v>
      </c>
      <c r="I1333" s="94">
        <v>1.4136056155296184</v>
      </c>
      <c r="J1333" s="94">
        <v>1898.2470260397745</v>
      </c>
      <c r="K1333" s="94">
        <v>2.0760549795645802</v>
      </c>
      <c r="L1333" s="94">
        <v>4.7332959400347701</v>
      </c>
      <c r="M1333" s="94">
        <v>3.9004641872565986</v>
      </c>
      <c r="N1333" s="94">
        <v>3.7349285191934372</v>
      </c>
      <c r="O1333" s="94">
        <v>1.245295552762248</v>
      </c>
    </row>
    <row r="1334" spans="1:15" x14ac:dyDescent="0.25">
      <c r="A1334" s="89">
        <v>45227.833333333336</v>
      </c>
      <c r="B1334" s="94">
        <v>360.36750700401507</v>
      </c>
      <c r="C1334" s="94">
        <v>300.26605752072192</v>
      </c>
      <c r="D1334" s="94">
        <v>8.2375311910583324</v>
      </c>
      <c r="E1334" s="94">
        <v>0.56721350583621744</v>
      </c>
      <c r="F1334" s="94">
        <v>77.7774144457956</v>
      </c>
      <c r="G1334" s="94">
        <v>6.9608485851356026</v>
      </c>
      <c r="H1334" s="94">
        <v>8.4148534834468744</v>
      </c>
      <c r="I1334" s="94">
        <v>1.495755510851108</v>
      </c>
      <c r="J1334" s="94">
        <v>1941.8184937944231</v>
      </c>
      <c r="K1334" s="94">
        <v>2.0834404799261521</v>
      </c>
      <c r="L1334" s="94">
        <v>4.9504224479422003</v>
      </c>
      <c r="M1334" s="94">
        <v>4.1272243848703241</v>
      </c>
      <c r="N1334" s="94">
        <v>3.9521013753193421</v>
      </c>
      <c r="O1334" s="94">
        <v>1.3177184305491452</v>
      </c>
    </row>
    <row r="1335" spans="1:15" x14ac:dyDescent="0.25">
      <c r="A1335" s="89">
        <v>45228.333333333336</v>
      </c>
      <c r="B1335" s="94">
        <v>360.36572192143313</v>
      </c>
      <c r="C1335" s="94">
        <v>300.27353569995444</v>
      </c>
      <c r="D1335" s="94">
        <v>8.6133316470598729</v>
      </c>
      <c r="E1335" s="94">
        <v>0.59837638561882545</v>
      </c>
      <c r="F1335" s="94">
        <v>77.798158295453561</v>
      </c>
      <c r="G1335" s="94">
        <v>6.9581470596254551</v>
      </c>
      <c r="H1335" s="94">
        <v>8.8113981587482293</v>
      </c>
      <c r="I1335" s="94">
        <v>1.5779054061725977</v>
      </c>
      <c r="J1335" s="94">
        <v>1985.3899615490718</v>
      </c>
      <c r="K1335" s="94">
        <v>2.0908259802877245</v>
      </c>
      <c r="L1335" s="94">
        <v>5.1675489558496315</v>
      </c>
      <c r="M1335" s="94">
        <v>4.35398458248405</v>
      </c>
      <c r="N1335" s="94">
        <v>4.1692742314452476</v>
      </c>
      <c r="O1335" s="94">
        <v>1.3901413083360423</v>
      </c>
    </row>
    <row r="1336" spans="1:15" x14ac:dyDescent="0.25">
      <c r="A1336" s="89">
        <v>45228.833333333336</v>
      </c>
      <c r="B1336" s="94">
        <v>360.36393683885126</v>
      </c>
      <c r="C1336" s="94">
        <v>300.28101387918696</v>
      </c>
      <c r="D1336" s="94">
        <v>8.9891321030614133</v>
      </c>
      <c r="E1336" s="94">
        <v>0.62953926540143346</v>
      </c>
      <c r="F1336" s="94">
        <v>77.818902145111522</v>
      </c>
      <c r="G1336" s="94">
        <v>6.9554455341153076</v>
      </c>
      <c r="H1336" s="94">
        <v>9.2079428340495824</v>
      </c>
      <c r="I1336" s="94">
        <v>1.6600553014940871</v>
      </c>
      <c r="J1336" s="94">
        <v>2028.9614293037207</v>
      </c>
      <c r="K1336" s="94">
        <v>2.0982114806492964</v>
      </c>
      <c r="L1336" s="94">
        <v>5.3846754637570609</v>
      </c>
      <c r="M1336" s="94">
        <v>4.580744780097775</v>
      </c>
      <c r="N1336" s="94">
        <v>4.3864470875711534</v>
      </c>
      <c r="O1336" s="94">
        <v>1.4625641861229395</v>
      </c>
    </row>
    <row r="1337" spans="1:15" x14ac:dyDescent="0.25">
      <c r="A1337" s="89">
        <v>45229.333333333336</v>
      </c>
      <c r="B1337" s="94">
        <v>360.36215175626938</v>
      </c>
      <c r="C1337" s="94">
        <v>300.28849205841948</v>
      </c>
      <c r="D1337" s="94">
        <v>9.3649325590629537</v>
      </c>
      <c r="E1337" s="94">
        <v>0.66070214518404147</v>
      </c>
      <c r="F1337" s="94">
        <v>77.839645994769484</v>
      </c>
      <c r="G1337" s="94">
        <v>6.9527440086051593</v>
      </c>
      <c r="H1337" s="94">
        <v>9.604487509350939</v>
      </c>
      <c r="I1337" s="94">
        <v>1.742205196815577</v>
      </c>
      <c r="J1337" s="94">
        <v>2072.5328970583696</v>
      </c>
      <c r="K1337" s="94">
        <v>2.1055969810108688</v>
      </c>
      <c r="L1337" s="94">
        <v>5.601801971664492</v>
      </c>
      <c r="M1337" s="94">
        <v>4.8075049777115009</v>
      </c>
      <c r="N1337" s="94">
        <v>4.6036199436970593</v>
      </c>
      <c r="O1337" s="94">
        <v>1.5349870639098366</v>
      </c>
    </row>
    <row r="1338" spans="1:15" x14ac:dyDescent="0.25">
      <c r="A1338" s="89">
        <v>45229.833333333336</v>
      </c>
      <c r="B1338" s="94">
        <v>360.36036667368745</v>
      </c>
      <c r="C1338" s="94">
        <v>300.295970237652</v>
      </c>
      <c r="D1338" s="94">
        <v>9.7407330150644942</v>
      </c>
      <c r="E1338" s="94">
        <v>0.69186502496664948</v>
      </c>
      <c r="F1338" s="94">
        <v>77.860389844427445</v>
      </c>
      <c r="G1338" s="94">
        <v>6.9500424830950118</v>
      </c>
      <c r="H1338" s="94">
        <v>10.001032184652292</v>
      </c>
      <c r="I1338" s="94">
        <v>1.8243550921370666</v>
      </c>
      <c r="J1338" s="94">
        <v>2116.1043648130185</v>
      </c>
      <c r="K1338" s="94">
        <v>2.1129824813724407</v>
      </c>
      <c r="L1338" s="94">
        <v>5.8189284795719223</v>
      </c>
      <c r="M1338" s="94">
        <v>5.0342651753252268</v>
      </c>
      <c r="N1338" s="94">
        <v>4.8207927998229643</v>
      </c>
      <c r="O1338" s="94">
        <v>1.6074099416967336</v>
      </c>
    </row>
    <row r="1339" spans="1:15" x14ac:dyDescent="0.25">
      <c r="A1339" s="89">
        <v>45230.333333333336</v>
      </c>
      <c r="B1339" s="94">
        <v>360.35858159110558</v>
      </c>
      <c r="C1339" s="94">
        <v>300.30344841688452</v>
      </c>
      <c r="D1339" s="94">
        <v>10.116533471066035</v>
      </c>
      <c r="E1339" s="94">
        <v>0.72302790474925749</v>
      </c>
      <c r="F1339" s="94">
        <v>77.881133694085406</v>
      </c>
      <c r="G1339" s="94">
        <v>6.9473409575848635</v>
      </c>
      <c r="H1339" s="94">
        <v>10.397576859953647</v>
      </c>
      <c r="I1339" s="94">
        <v>1.9065049874585562</v>
      </c>
      <c r="J1339" s="94">
        <v>2159.6758325676674</v>
      </c>
      <c r="K1339" s="94">
        <v>2.1203679817340131</v>
      </c>
      <c r="L1339" s="94">
        <v>6.0360549874793525</v>
      </c>
      <c r="M1339" s="94">
        <v>5.2610253729389527</v>
      </c>
      <c r="N1339" s="94">
        <v>5.0379656559488701</v>
      </c>
      <c r="O1339" s="94">
        <v>1.6798328194836307</v>
      </c>
    </row>
    <row r="1340" spans="1:15" x14ac:dyDescent="0.25">
      <c r="A1340" s="89">
        <v>45230.833333333336</v>
      </c>
      <c r="B1340" s="94">
        <v>360.3567965085237</v>
      </c>
      <c r="C1340" s="94">
        <v>300.3109265961171</v>
      </c>
      <c r="D1340" s="94">
        <v>10.492333927067575</v>
      </c>
      <c r="E1340" s="94">
        <v>0.7541907845318655</v>
      </c>
      <c r="F1340" s="94">
        <v>77.901877543743367</v>
      </c>
      <c r="G1340" s="94">
        <v>6.944639432074716</v>
      </c>
      <c r="H1340" s="94">
        <v>10.794121535255002</v>
      </c>
      <c r="I1340" s="94">
        <v>1.9886548827800457</v>
      </c>
      <c r="J1340" s="94">
        <v>2203.2473003223158</v>
      </c>
      <c r="K1340" s="94">
        <v>2.127753482095585</v>
      </c>
      <c r="L1340" s="94">
        <v>6.2531814953867828</v>
      </c>
      <c r="M1340" s="94">
        <v>5.4877855705526777</v>
      </c>
      <c r="N1340" s="94">
        <v>5.255138512074776</v>
      </c>
      <c r="O1340" s="94">
        <v>1.7522556972705279</v>
      </c>
    </row>
    <row r="1341" spans="1:15" x14ac:dyDescent="0.25">
      <c r="A1341" s="89">
        <v>45231.333333333336</v>
      </c>
      <c r="B1341" s="94">
        <v>360.35501142594177</v>
      </c>
      <c r="C1341" s="94">
        <v>300.31840477534962</v>
      </c>
      <c r="D1341" s="94">
        <v>10.868134383069116</v>
      </c>
      <c r="E1341" s="94">
        <v>0.78535366431447351</v>
      </c>
      <c r="F1341" s="94">
        <v>77.922621393401329</v>
      </c>
      <c r="G1341" s="94">
        <v>6.9419379065645677</v>
      </c>
      <c r="H1341" s="94">
        <v>11.190666210556355</v>
      </c>
      <c r="I1341" s="94">
        <v>2.0708047781015355</v>
      </c>
      <c r="J1341" s="94">
        <v>2246.8187680769647</v>
      </c>
      <c r="K1341" s="94">
        <v>2.1351389824571574</v>
      </c>
      <c r="L1341" s="94">
        <v>6.470308003294214</v>
      </c>
      <c r="M1341" s="94">
        <v>5.7145457681664036</v>
      </c>
      <c r="N1341" s="94">
        <v>5.4723113682006819</v>
      </c>
      <c r="O1341" s="94">
        <v>1.824678575057425</v>
      </c>
    </row>
    <row r="1342" spans="1:15" x14ac:dyDescent="0.25">
      <c r="A1342" s="89">
        <v>45231.833333333336</v>
      </c>
      <c r="B1342" s="94">
        <v>360.35322634335989</v>
      </c>
      <c r="C1342" s="94">
        <v>300.32588295458214</v>
      </c>
      <c r="D1342" s="94">
        <v>11.243934839070656</v>
      </c>
      <c r="E1342" s="94">
        <v>0.81651654409708152</v>
      </c>
      <c r="F1342" s="94">
        <v>77.94336524305929</v>
      </c>
      <c r="G1342" s="94">
        <v>6.9392363810544202</v>
      </c>
      <c r="H1342" s="94">
        <v>11.58721088585771</v>
      </c>
      <c r="I1342" s="94">
        <v>2.1529546734230252</v>
      </c>
      <c r="J1342" s="94">
        <v>2290.3902358316136</v>
      </c>
      <c r="K1342" s="94">
        <v>2.1425244828187293</v>
      </c>
      <c r="L1342" s="94">
        <v>6.6874345112016442</v>
      </c>
      <c r="M1342" s="94">
        <v>5.9413059657801295</v>
      </c>
      <c r="N1342" s="94">
        <v>5.6894842243265868</v>
      </c>
      <c r="O1342" s="94">
        <v>1.8971014528443222</v>
      </c>
    </row>
    <row r="1343" spans="1:15" x14ac:dyDescent="0.25">
      <c r="A1343" s="89">
        <v>45232.333333333336</v>
      </c>
      <c r="B1343" s="94">
        <v>360.35144126077802</v>
      </c>
      <c r="C1343" s="94">
        <v>300.33336113381466</v>
      </c>
      <c r="D1343" s="94">
        <v>11.619735295072196</v>
      </c>
      <c r="E1343" s="94">
        <v>0.84767942387968953</v>
      </c>
      <c r="F1343" s="94">
        <v>77.964109092717251</v>
      </c>
      <c r="G1343" s="94">
        <v>6.9365348555442727</v>
      </c>
      <c r="H1343" s="94">
        <v>11.983755561159064</v>
      </c>
      <c r="I1343" s="94">
        <v>2.2351045687445148</v>
      </c>
      <c r="J1343" s="94">
        <v>2333.961703586262</v>
      </c>
      <c r="K1343" s="94">
        <v>2.1499099831803017</v>
      </c>
      <c r="L1343" s="94">
        <v>6.9045610191090745</v>
      </c>
      <c r="M1343" s="94">
        <v>6.1680661633938545</v>
      </c>
      <c r="N1343" s="94">
        <v>5.9066570804524918</v>
      </c>
      <c r="O1343" s="94">
        <v>1.9695243306312193</v>
      </c>
    </row>
    <row r="1344" spans="1:15" x14ac:dyDescent="0.25">
      <c r="A1344" s="89">
        <v>45232.833333333336</v>
      </c>
      <c r="B1344" s="94">
        <v>360.34965617819608</v>
      </c>
      <c r="C1344" s="94">
        <v>300.34083931304718</v>
      </c>
      <c r="D1344" s="94">
        <v>11.995535751073737</v>
      </c>
      <c r="E1344" s="94">
        <v>0.87884230366229754</v>
      </c>
      <c r="F1344" s="94">
        <v>77.984852942375227</v>
      </c>
      <c r="G1344" s="94">
        <v>6.9338333300341244</v>
      </c>
      <c r="H1344" s="94">
        <v>12.380300236460418</v>
      </c>
      <c r="I1344" s="94">
        <v>2.3172544640660044</v>
      </c>
      <c r="J1344" s="94">
        <v>2377.5331713409114</v>
      </c>
      <c r="K1344" s="94">
        <v>2.1572954835418736</v>
      </c>
      <c r="L1344" s="94">
        <v>7.1216875270165039</v>
      </c>
      <c r="M1344" s="94">
        <v>6.3948263610075795</v>
      </c>
      <c r="N1344" s="94">
        <v>6.1238299365783977</v>
      </c>
      <c r="O1344" s="94">
        <v>2.0419472084181165</v>
      </c>
    </row>
    <row r="1345" spans="1:15" x14ac:dyDescent="0.25">
      <c r="A1345" s="89">
        <v>45233.333333333336</v>
      </c>
      <c r="B1345" s="94">
        <v>360.34787109561421</v>
      </c>
      <c r="C1345" s="94">
        <v>300.3483174922797</v>
      </c>
      <c r="D1345" s="94">
        <v>12.371336207075277</v>
      </c>
      <c r="E1345" s="94">
        <v>0.91000518344490555</v>
      </c>
      <c r="F1345" s="94">
        <v>78.005596792033188</v>
      </c>
      <c r="G1345" s="94">
        <v>6.9311318045239769</v>
      </c>
      <c r="H1345" s="94">
        <v>12.776844911761772</v>
      </c>
      <c r="I1345" s="94">
        <v>2.3994043593874936</v>
      </c>
      <c r="J1345" s="94">
        <v>2421.1046390955598</v>
      </c>
      <c r="K1345" s="94">
        <v>2.164680983903446</v>
      </c>
      <c r="L1345" s="94">
        <v>7.3388140349239359</v>
      </c>
      <c r="M1345" s="94">
        <v>6.6215865586213063</v>
      </c>
      <c r="N1345" s="94">
        <v>6.3410027927043036</v>
      </c>
      <c r="O1345" s="94">
        <v>2.1143700862050134</v>
      </c>
    </row>
    <row r="1346" spans="1:15" x14ac:dyDescent="0.25">
      <c r="A1346" s="89">
        <v>45233.833333333336</v>
      </c>
      <c r="B1346" s="94">
        <v>360.34608601303233</v>
      </c>
      <c r="C1346" s="94">
        <v>300.35579567151223</v>
      </c>
      <c r="D1346" s="94">
        <v>12.747136663076818</v>
      </c>
      <c r="E1346" s="94">
        <v>0.94116806322751356</v>
      </c>
      <c r="F1346" s="94">
        <v>78.026340641691149</v>
      </c>
      <c r="G1346" s="94">
        <v>6.9284302790138286</v>
      </c>
      <c r="H1346" s="94">
        <v>13.173389587063127</v>
      </c>
      <c r="I1346" s="94">
        <v>2.4815542547089833</v>
      </c>
      <c r="J1346" s="94">
        <v>2464.6761068502087</v>
      </c>
      <c r="K1346" s="94">
        <v>2.1720664842650179</v>
      </c>
      <c r="L1346" s="94">
        <v>7.5559405428313653</v>
      </c>
      <c r="M1346" s="94">
        <v>6.8483467562350322</v>
      </c>
      <c r="N1346" s="94">
        <v>6.5581756488302094</v>
      </c>
      <c r="O1346" s="94">
        <v>2.1867929639919108</v>
      </c>
    </row>
    <row r="1347" spans="1:15" x14ac:dyDescent="0.25">
      <c r="A1347" s="89">
        <v>45234.333333333336</v>
      </c>
      <c r="B1347" s="94">
        <v>360.3443009304504</v>
      </c>
      <c r="C1347" s="94">
        <v>300.3632738507448</v>
      </c>
      <c r="D1347" s="94">
        <v>13.122937119078356</v>
      </c>
      <c r="E1347" s="94">
        <v>0.97233094301012157</v>
      </c>
      <c r="F1347" s="94">
        <v>78.047084491349111</v>
      </c>
      <c r="G1347" s="94">
        <v>6.9257287535036811</v>
      </c>
      <c r="H1347" s="94">
        <v>13.56993426236448</v>
      </c>
      <c r="I1347" s="94">
        <v>2.5637041500304729</v>
      </c>
      <c r="J1347" s="94">
        <v>2508.2475746048576</v>
      </c>
      <c r="K1347" s="94">
        <v>2.1794519846265903</v>
      </c>
      <c r="L1347" s="94">
        <v>7.7730670507387956</v>
      </c>
      <c r="M1347" s="94">
        <v>7.0751069538487572</v>
      </c>
      <c r="N1347" s="94">
        <v>6.7753485049561144</v>
      </c>
      <c r="O1347" s="94">
        <v>2.2592158417788077</v>
      </c>
    </row>
    <row r="1348" spans="1:15" x14ac:dyDescent="0.25">
      <c r="A1348" s="89">
        <v>45234.833333333336</v>
      </c>
      <c r="B1348" s="94">
        <v>360.34251584786853</v>
      </c>
      <c r="C1348" s="94">
        <v>300.37075202997733</v>
      </c>
      <c r="D1348" s="94">
        <v>13.498737575079897</v>
      </c>
      <c r="E1348" s="94">
        <v>1.0034938227927295</v>
      </c>
      <c r="F1348" s="94">
        <v>78.067828341007072</v>
      </c>
      <c r="G1348" s="94">
        <v>6.9230272279935328</v>
      </c>
      <c r="H1348" s="94">
        <v>13.966478937665835</v>
      </c>
      <c r="I1348" s="94">
        <v>2.6458540453519626</v>
      </c>
      <c r="J1348" s="94">
        <v>2551.8190423595061</v>
      </c>
      <c r="K1348" s="94">
        <v>2.1868374849881627</v>
      </c>
      <c r="L1348" s="94">
        <v>7.9901935586462267</v>
      </c>
      <c r="M1348" s="94">
        <v>7.3018671514624822</v>
      </c>
      <c r="N1348" s="94">
        <v>6.9925213610820203</v>
      </c>
      <c r="O1348" s="94">
        <v>2.3316387195657047</v>
      </c>
    </row>
    <row r="1349" spans="1:15" x14ac:dyDescent="0.25">
      <c r="A1349" s="89">
        <v>45235.333333333336</v>
      </c>
      <c r="B1349" s="94">
        <v>360.34073076528665</v>
      </c>
      <c r="C1349" s="94">
        <v>300.37823020920985</v>
      </c>
      <c r="D1349" s="94">
        <v>13.874538031081437</v>
      </c>
      <c r="E1349" s="94">
        <v>1.0346567025753375</v>
      </c>
      <c r="F1349" s="94">
        <v>78.088572190665033</v>
      </c>
      <c r="G1349" s="94">
        <v>6.9203257024833853</v>
      </c>
      <c r="H1349" s="94">
        <v>14.36302361296719</v>
      </c>
      <c r="I1349" s="94">
        <v>2.7280039406734522</v>
      </c>
      <c r="J1349" s="94">
        <v>2595.3905101141549</v>
      </c>
      <c r="K1349" s="94">
        <v>2.1942229853497346</v>
      </c>
      <c r="L1349" s="94">
        <v>8.2073200665536561</v>
      </c>
      <c r="M1349" s="94">
        <v>7.528627349076209</v>
      </c>
      <c r="N1349" s="94">
        <v>7.2096942172079261</v>
      </c>
      <c r="O1349" s="94">
        <v>2.4040615973526021</v>
      </c>
    </row>
    <row r="1350" spans="1:15" x14ac:dyDescent="0.25">
      <c r="A1350" s="89">
        <v>45235.833333333336</v>
      </c>
      <c r="B1350" s="94">
        <v>360.33894568270472</v>
      </c>
      <c r="C1350" s="94">
        <v>300.38570838844237</v>
      </c>
      <c r="D1350" s="94">
        <v>14.250338487082978</v>
      </c>
      <c r="E1350" s="94">
        <v>1.0658195823579455</v>
      </c>
      <c r="F1350" s="94">
        <v>78.109316040322994</v>
      </c>
      <c r="G1350" s="94">
        <v>6.9176241769732369</v>
      </c>
      <c r="H1350" s="94">
        <v>14.759568288268543</v>
      </c>
      <c r="I1350" s="94">
        <v>2.8101538359949418</v>
      </c>
      <c r="J1350" s="94">
        <v>2638.9619778688038</v>
      </c>
      <c r="K1350" s="94">
        <v>2.201608485711307</v>
      </c>
      <c r="L1350" s="94">
        <v>8.4244465744610864</v>
      </c>
      <c r="M1350" s="94">
        <v>7.7553875466899349</v>
      </c>
      <c r="N1350" s="94">
        <v>7.426867073333832</v>
      </c>
      <c r="O1350" s="94">
        <v>2.476484475139499</v>
      </c>
    </row>
    <row r="1351" spans="1:15" x14ac:dyDescent="0.25">
      <c r="A1351" s="89">
        <v>45236.333333333336</v>
      </c>
      <c r="B1351" s="94">
        <v>360.33716060012284</v>
      </c>
      <c r="C1351" s="94">
        <v>300.39318656767489</v>
      </c>
      <c r="D1351" s="94">
        <v>14.626138943084518</v>
      </c>
      <c r="E1351" s="94">
        <v>1.0969824621405535</v>
      </c>
      <c r="F1351" s="94">
        <v>78.130059889980956</v>
      </c>
      <c r="G1351" s="94">
        <v>6.9149226514630895</v>
      </c>
      <c r="H1351" s="94">
        <v>15.156112963569898</v>
      </c>
      <c r="I1351" s="94">
        <v>2.8923037313164315</v>
      </c>
      <c r="J1351" s="94">
        <v>2682.5334456234523</v>
      </c>
      <c r="K1351" s="94">
        <v>2.2089939860728789</v>
      </c>
      <c r="L1351" s="94">
        <v>8.6415730823685184</v>
      </c>
      <c r="M1351" s="94">
        <v>7.9821477443036599</v>
      </c>
      <c r="N1351" s="94">
        <v>7.644039929459737</v>
      </c>
      <c r="O1351" s="94">
        <v>2.5489073529263964</v>
      </c>
    </row>
    <row r="1352" spans="1:15" x14ac:dyDescent="0.25">
      <c r="A1352" s="89">
        <v>45236.833333333336</v>
      </c>
      <c r="B1352" s="94">
        <v>360.33537551754097</v>
      </c>
      <c r="C1352" s="94">
        <v>300.40066474690741</v>
      </c>
      <c r="D1352" s="94">
        <v>15.001939399086059</v>
      </c>
      <c r="E1352" s="94">
        <v>1.1281453419231615</v>
      </c>
      <c r="F1352" s="94">
        <v>78.150803739638917</v>
      </c>
      <c r="G1352" s="94">
        <v>6.912221125952942</v>
      </c>
      <c r="H1352" s="94">
        <v>15.552657638871253</v>
      </c>
      <c r="I1352" s="94">
        <v>2.9744536266379207</v>
      </c>
      <c r="J1352" s="94">
        <v>2726.1049133781016</v>
      </c>
      <c r="K1352" s="94">
        <v>2.2163794864344513</v>
      </c>
      <c r="L1352" s="94">
        <v>8.8586995902759469</v>
      </c>
      <c r="M1352" s="94">
        <v>8.2089079419173849</v>
      </c>
      <c r="N1352" s="94">
        <v>7.8612127855856428</v>
      </c>
      <c r="O1352" s="94">
        <v>2.6213302307132933</v>
      </c>
    </row>
    <row r="1353" spans="1:15" x14ac:dyDescent="0.25">
      <c r="A1353" s="89">
        <v>45237.333333333336</v>
      </c>
      <c r="B1353" s="94">
        <v>360.33359043495904</v>
      </c>
      <c r="C1353" s="94">
        <v>300.40814292613993</v>
      </c>
      <c r="D1353" s="94">
        <v>15.377739855087597</v>
      </c>
      <c r="E1353" s="94">
        <v>1.1593082217057695</v>
      </c>
      <c r="F1353" s="94">
        <v>78.171547589296878</v>
      </c>
      <c r="G1353" s="94">
        <v>6.9095196004427937</v>
      </c>
      <c r="H1353" s="94">
        <v>15.949202314172606</v>
      </c>
      <c r="I1353" s="94">
        <v>3.0566035219594103</v>
      </c>
      <c r="J1353" s="94">
        <v>2769.6763811327501</v>
      </c>
      <c r="K1353" s="94">
        <v>2.2237649867960232</v>
      </c>
      <c r="L1353" s="94">
        <v>9.0758260981833772</v>
      </c>
      <c r="M1353" s="94">
        <v>8.4356681395311117</v>
      </c>
      <c r="N1353" s="94">
        <v>8.0783856417115487</v>
      </c>
      <c r="O1353" s="94">
        <v>2.6937531085001902</v>
      </c>
    </row>
    <row r="1354" spans="1:15" x14ac:dyDescent="0.25">
      <c r="A1354" s="89">
        <v>45237.833333333336</v>
      </c>
      <c r="B1354" s="94">
        <v>360.33180535237716</v>
      </c>
      <c r="C1354" s="94">
        <v>300.41562110537245</v>
      </c>
      <c r="D1354" s="94">
        <v>15.753540311089138</v>
      </c>
      <c r="E1354" s="94">
        <v>1.1904711014883775</v>
      </c>
      <c r="F1354" s="94">
        <v>78.19229143895484</v>
      </c>
      <c r="G1354" s="94">
        <v>6.9068180749326462</v>
      </c>
      <c r="H1354" s="94">
        <v>16.345746989473962</v>
      </c>
      <c r="I1354" s="94">
        <v>3.1387534172809</v>
      </c>
      <c r="J1354" s="94">
        <v>2813.2478488873994</v>
      </c>
      <c r="K1354" s="94">
        <v>2.2311504871575956</v>
      </c>
      <c r="L1354" s="94">
        <v>9.2929526060908074</v>
      </c>
      <c r="M1354" s="94">
        <v>8.6624283371448367</v>
      </c>
      <c r="N1354" s="94">
        <v>8.2955584978374546</v>
      </c>
      <c r="O1354" s="94">
        <v>2.7661759862870876</v>
      </c>
    </row>
    <row r="1355" spans="1:15" x14ac:dyDescent="0.25">
      <c r="A1355" s="89">
        <v>45238.333333333336</v>
      </c>
      <c r="B1355" s="94">
        <v>360.33002026979528</v>
      </c>
      <c r="C1355" s="94">
        <v>300.42309928460503</v>
      </c>
      <c r="D1355" s="94">
        <v>16.129340767090678</v>
      </c>
      <c r="E1355" s="94">
        <v>1.2216339812709855</v>
      </c>
      <c r="F1355" s="94">
        <v>78.213035288612801</v>
      </c>
      <c r="G1355" s="94">
        <v>6.9041165494224979</v>
      </c>
      <c r="H1355" s="94">
        <v>16.742291664775315</v>
      </c>
      <c r="I1355" s="94">
        <v>3.2209033126023896</v>
      </c>
      <c r="J1355" s="94">
        <v>2856.8193166420479</v>
      </c>
      <c r="K1355" s="94">
        <v>2.2385359875191675</v>
      </c>
      <c r="L1355" s="94">
        <v>9.5100791139982395</v>
      </c>
      <c r="M1355" s="94">
        <v>8.8891885347585635</v>
      </c>
      <c r="N1355" s="94">
        <v>8.5127313539633604</v>
      </c>
      <c r="O1355" s="94">
        <v>2.8385988640739845</v>
      </c>
    </row>
    <row r="1356" spans="1:15" x14ac:dyDescent="0.25">
      <c r="A1356" s="89">
        <v>45238.833333333336</v>
      </c>
      <c r="B1356" s="94">
        <v>360.32823518721335</v>
      </c>
      <c r="C1356" s="94">
        <v>300.43057746383755</v>
      </c>
      <c r="D1356" s="94">
        <v>16.505141223092217</v>
      </c>
      <c r="E1356" s="94">
        <v>1.2527968610535936</v>
      </c>
      <c r="F1356" s="94">
        <v>78.233779138270762</v>
      </c>
      <c r="G1356" s="94">
        <v>6.9014150239123504</v>
      </c>
      <c r="H1356" s="94">
        <v>17.138836340076669</v>
      </c>
      <c r="I1356" s="94">
        <v>3.3030532079238792</v>
      </c>
      <c r="J1356" s="94">
        <v>2900.3907843966967</v>
      </c>
      <c r="K1356" s="94">
        <v>2.2459214878807399</v>
      </c>
      <c r="L1356" s="94">
        <v>9.7272056219056697</v>
      </c>
      <c r="M1356" s="94">
        <v>9.1159487323722885</v>
      </c>
      <c r="N1356" s="94">
        <v>8.7299042100892663</v>
      </c>
      <c r="O1356" s="94">
        <v>2.9110217418608815</v>
      </c>
    </row>
    <row r="1357" spans="1:15" x14ac:dyDescent="0.25">
      <c r="A1357" s="89">
        <v>45239.333333333336</v>
      </c>
      <c r="B1357" s="94">
        <v>360.32645010463148</v>
      </c>
      <c r="C1357" s="94">
        <v>300.43805564307007</v>
      </c>
      <c r="D1357" s="94">
        <v>16.880941679093759</v>
      </c>
      <c r="E1357" s="94">
        <v>1.2839597408362016</v>
      </c>
      <c r="F1357" s="94">
        <v>78.254522987928723</v>
      </c>
      <c r="G1357" s="94">
        <v>6.898713498402202</v>
      </c>
      <c r="H1357" s="94">
        <v>17.535381015378022</v>
      </c>
      <c r="I1357" s="94">
        <v>3.3852031032453689</v>
      </c>
      <c r="J1357" s="94">
        <v>2943.9622521513456</v>
      </c>
      <c r="K1357" s="94">
        <v>2.2533069882423118</v>
      </c>
      <c r="L1357" s="94">
        <v>9.9443321298131</v>
      </c>
      <c r="M1357" s="94">
        <v>9.3427089299860135</v>
      </c>
      <c r="N1357" s="94">
        <v>8.9470770662151704</v>
      </c>
      <c r="O1357" s="94">
        <v>2.9834446196477789</v>
      </c>
    </row>
    <row r="1358" spans="1:15" x14ac:dyDescent="0.25">
      <c r="A1358" s="89">
        <v>45239.833333333336</v>
      </c>
      <c r="B1358" s="94">
        <v>360.3246650220496</v>
      </c>
      <c r="C1358" s="94">
        <v>300.44553382230259</v>
      </c>
      <c r="D1358" s="94">
        <v>17.256742135095298</v>
      </c>
      <c r="E1358" s="94">
        <v>1.3151226206188096</v>
      </c>
      <c r="F1358" s="94">
        <v>78.275266837586685</v>
      </c>
      <c r="G1358" s="94">
        <v>6.8960119728920546</v>
      </c>
      <c r="H1358" s="94">
        <v>17.931925690679378</v>
      </c>
      <c r="I1358" s="94">
        <v>3.4673529985668585</v>
      </c>
      <c r="J1358" s="94">
        <v>2987.5337199059941</v>
      </c>
      <c r="K1358" s="94">
        <v>2.2606924886038842</v>
      </c>
      <c r="L1358" s="94">
        <v>10.16145863772053</v>
      </c>
      <c r="M1358" s="94">
        <v>9.5694691275997403</v>
      </c>
      <c r="N1358" s="94">
        <v>9.1642499223410763</v>
      </c>
      <c r="O1358" s="94">
        <v>3.0558674974346758</v>
      </c>
    </row>
    <row r="1359" spans="1:15" x14ac:dyDescent="0.25">
      <c r="A1359" s="89">
        <v>45240.333333333336</v>
      </c>
      <c r="B1359" s="94">
        <v>360.32287993946767</v>
      </c>
      <c r="C1359" s="94">
        <v>300.45301200153511</v>
      </c>
      <c r="D1359" s="94">
        <v>17.632542591096836</v>
      </c>
      <c r="E1359" s="94">
        <v>1.3462855004014174</v>
      </c>
      <c r="F1359" s="94">
        <v>78.29601068724466</v>
      </c>
      <c r="G1359" s="94">
        <v>6.8933104473819071</v>
      </c>
      <c r="H1359" s="94">
        <v>18.328470365980731</v>
      </c>
      <c r="I1359" s="94">
        <v>3.5495028938883477</v>
      </c>
      <c r="J1359" s="94">
        <v>3031.105187660643</v>
      </c>
      <c r="K1359" s="94">
        <v>2.2680779889654561</v>
      </c>
      <c r="L1359" s="94">
        <v>10.378585145627961</v>
      </c>
      <c r="M1359" s="94">
        <v>9.7962293252134653</v>
      </c>
      <c r="N1359" s="94">
        <v>9.3814227784669821</v>
      </c>
      <c r="O1359" s="94">
        <v>3.1282903752215727</v>
      </c>
    </row>
    <row r="1360" spans="1:15" x14ac:dyDescent="0.25">
      <c r="A1360" s="89">
        <v>45240.833333333336</v>
      </c>
      <c r="B1360" s="94">
        <v>360.32109485688579</v>
      </c>
      <c r="C1360" s="94">
        <v>300.46049018076764</v>
      </c>
      <c r="D1360" s="94">
        <v>18.008343047098379</v>
      </c>
      <c r="E1360" s="94">
        <v>1.3774483801840254</v>
      </c>
      <c r="F1360" s="94">
        <v>78.316754536902621</v>
      </c>
      <c r="G1360" s="94">
        <v>6.8906089218717588</v>
      </c>
      <c r="H1360" s="94">
        <v>18.725015041282084</v>
      </c>
      <c r="I1360" s="94">
        <v>3.6316527892098374</v>
      </c>
      <c r="J1360" s="94">
        <v>3074.6766554152919</v>
      </c>
      <c r="K1360" s="94">
        <v>2.2754634893270285</v>
      </c>
      <c r="L1360" s="94">
        <v>10.595711653535391</v>
      </c>
      <c r="M1360" s="94">
        <v>10.02298952282719</v>
      </c>
      <c r="N1360" s="94">
        <v>9.598595634592888</v>
      </c>
      <c r="O1360" s="94">
        <v>3.2007132530084701</v>
      </c>
    </row>
    <row r="1361" spans="1:15" x14ac:dyDescent="0.25">
      <c r="A1361" s="89">
        <v>45241.333333333336</v>
      </c>
      <c r="B1361" s="94">
        <v>360.31930977430392</v>
      </c>
      <c r="C1361" s="94">
        <v>300.46796836000016</v>
      </c>
      <c r="D1361" s="94">
        <v>18.384143503099917</v>
      </c>
      <c r="E1361" s="94">
        <v>1.4086112599666334</v>
      </c>
      <c r="F1361" s="94">
        <v>78.337498386560583</v>
      </c>
      <c r="G1361" s="94">
        <v>6.8879073963616113</v>
      </c>
      <c r="H1361" s="94">
        <v>19.121559716583441</v>
      </c>
      <c r="I1361" s="94">
        <v>3.7138026845313274</v>
      </c>
      <c r="J1361" s="94">
        <v>3118.2481231699403</v>
      </c>
      <c r="K1361" s="94">
        <v>2.2828489896886004</v>
      </c>
      <c r="L1361" s="94">
        <v>10.812838161442821</v>
      </c>
      <c r="M1361" s="94">
        <v>10.249749720440915</v>
      </c>
      <c r="N1361" s="94">
        <v>9.8157684907187939</v>
      </c>
      <c r="O1361" s="94">
        <v>3.273136130795367</v>
      </c>
    </row>
    <row r="1362" spans="1:15" x14ac:dyDescent="0.25">
      <c r="A1362" s="89">
        <v>45241.833333333336</v>
      </c>
      <c r="B1362" s="94">
        <v>360.31752469172199</v>
      </c>
      <c r="C1362" s="94">
        <v>300.47544653923273</v>
      </c>
      <c r="D1362" s="94">
        <v>18.759943959101456</v>
      </c>
      <c r="E1362" s="94">
        <v>1.4397741397492414</v>
      </c>
      <c r="F1362" s="94">
        <v>78.358242236218544</v>
      </c>
      <c r="G1362" s="94">
        <v>6.885205870851463</v>
      </c>
      <c r="H1362" s="94">
        <v>19.518104391884794</v>
      </c>
      <c r="I1362" s="94">
        <v>3.7959525798528171</v>
      </c>
      <c r="J1362" s="94">
        <v>3161.8195909245896</v>
      </c>
      <c r="K1362" s="94">
        <v>2.2902344900501728</v>
      </c>
      <c r="L1362" s="94">
        <v>11.029964669350251</v>
      </c>
      <c r="M1362" s="94">
        <v>10.476509918054642</v>
      </c>
      <c r="N1362" s="94">
        <v>10.0329413468447</v>
      </c>
      <c r="O1362" s="94">
        <v>3.3455590085822644</v>
      </c>
    </row>
    <row r="1363" spans="1:15" x14ac:dyDescent="0.25">
      <c r="A1363" s="89">
        <v>45242.333333333336</v>
      </c>
      <c r="B1363" s="94">
        <v>360.31573960914011</v>
      </c>
      <c r="C1363" s="94">
        <v>300.48292471846526</v>
      </c>
      <c r="D1363" s="94">
        <v>19.135744415102998</v>
      </c>
      <c r="E1363" s="94">
        <v>1.4709370195318494</v>
      </c>
      <c r="F1363" s="94">
        <v>78.378986085876505</v>
      </c>
      <c r="G1363" s="94">
        <v>6.8825043453413155</v>
      </c>
      <c r="H1363" s="94">
        <v>19.914649067186147</v>
      </c>
      <c r="I1363" s="94">
        <v>3.8781024751743067</v>
      </c>
      <c r="J1363" s="94">
        <v>3205.3910586792381</v>
      </c>
      <c r="K1363" s="94">
        <v>2.2976199904117447</v>
      </c>
      <c r="L1363" s="94">
        <v>11.247091177257682</v>
      </c>
      <c r="M1363" s="94">
        <v>10.703270115668367</v>
      </c>
      <c r="N1363" s="94">
        <v>10.250114202970606</v>
      </c>
      <c r="O1363" s="94">
        <v>3.4179818863691613</v>
      </c>
    </row>
    <row r="1364" spans="1:15" x14ac:dyDescent="0.25">
      <c r="A1364" s="89">
        <v>45242.833333333336</v>
      </c>
      <c r="B1364" s="94">
        <v>360.31395452655823</v>
      </c>
      <c r="C1364" s="94">
        <v>300.49040289769778</v>
      </c>
      <c r="D1364" s="94">
        <v>19.511544871104537</v>
      </c>
      <c r="E1364" s="94">
        <v>1.5020998993144574</v>
      </c>
      <c r="F1364" s="94">
        <v>78.399729935534467</v>
      </c>
      <c r="G1364" s="94">
        <v>6.8798028198311671</v>
      </c>
      <c r="H1364" s="94">
        <v>20.311193742487504</v>
      </c>
      <c r="I1364" s="94">
        <v>3.9602523704957964</v>
      </c>
      <c r="J1364" s="94">
        <v>3248.962526433887</v>
      </c>
      <c r="K1364" s="94">
        <v>2.3050054907733171</v>
      </c>
      <c r="L1364" s="94">
        <v>11.464217685165114</v>
      </c>
      <c r="M1364" s="94">
        <v>10.930030313282094</v>
      </c>
      <c r="N1364" s="94">
        <v>10.467287059096511</v>
      </c>
      <c r="O1364" s="94">
        <v>3.4904047641560583</v>
      </c>
    </row>
    <row r="1365" spans="1:15" x14ac:dyDescent="0.25">
      <c r="A1365" s="89">
        <v>45243.333333333336</v>
      </c>
      <c r="B1365" s="94">
        <v>360.3121694439763</v>
      </c>
      <c r="C1365" s="94">
        <v>300.4978810769303</v>
      </c>
      <c r="D1365" s="94">
        <v>19.887345327106079</v>
      </c>
      <c r="E1365" s="94">
        <v>1.5332627790970654</v>
      </c>
      <c r="F1365" s="94">
        <v>78.420473785192428</v>
      </c>
      <c r="G1365" s="94">
        <v>6.8771012943210197</v>
      </c>
      <c r="H1365" s="94">
        <v>20.707738417788857</v>
      </c>
      <c r="I1365" s="94">
        <v>4.0424022658172856</v>
      </c>
      <c r="J1365" s="94">
        <v>3292.5339941885359</v>
      </c>
      <c r="K1365" s="94">
        <v>2.3123909911348894</v>
      </c>
      <c r="L1365" s="94">
        <v>11.681344193072542</v>
      </c>
      <c r="M1365" s="94">
        <v>11.156790510895819</v>
      </c>
      <c r="N1365" s="94">
        <v>10.684459915222416</v>
      </c>
      <c r="O1365" s="94">
        <v>3.5628276419429561</v>
      </c>
    </row>
    <row r="1366" spans="1:15" x14ac:dyDescent="0.25">
      <c r="A1366" s="89">
        <v>45243.833333333336</v>
      </c>
      <c r="B1366" s="94">
        <v>360.31038436139443</v>
      </c>
      <c r="C1366" s="94">
        <v>300.50535925616282</v>
      </c>
      <c r="D1366" s="94">
        <v>20.263145783107618</v>
      </c>
      <c r="E1366" s="94">
        <v>1.5644256588796734</v>
      </c>
      <c r="F1366" s="94">
        <v>78.441217634850389</v>
      </c>
      <c r="G1366" s="94">
        <v>6.8743997688108713</v>
      </c>
      <c r="H1366" s="94">
        <v>21.10428309309021</v>
      </c>
      <c r="I1366" s="94">
        <v>4.1245521611387748</v>
      </c>
      <c r="J1366" s="94">
        <v>3336.1054619431848</v>
      </c>
      <c r="K1366" s="94">
        <v>2.3197764914964614</v>
      </c>
      <c r="L1366" s="94">
        <v>11.898470700979972</v>
      </c>
      <c r="M1366" s="94">
        <v>11.383550708509546</v>
      </c>
      <c r="N1366" s="94">
        <v>10.901632771348321</v>
      </c>
      <c r="O1366" s="94">
        <v>3.635250519729853</v>
      </c>
    </row>
    <row r="1367" spans="1:15" x14ac:dyDescent="0.25">
      <c r="A1367" s="89">
        <v>45244.333333333336</v>
      </c>
      <c r="B1367" s="94">
        <v>360.30859927881255</v>
      </c>
      <c r="C1367" s="94">
        <v>300.51283743539534</v>
      </c>
      <c r="D1367" s="94">
        <v>20.63894623910916</v>
      </c>
      <c r="E1367" s="94">
        <v>1.5955885386622815</v>
      </c>
      <c r="F1367" s="94">
        <v>78.46196148450835</v>
      </c>
      <c r="G1367" s="94">
        <v>6.8716982433007239</v>
      </c>
      <c r="H1367" s="94">
        <v>21.500827768391567</v>
      </c>
      <c r="I1367" s="94">
        <v>4.2067020564602648</v>
      </c>
      <c r="J1367" s="94">
        <v>3379.6769296978337</v>
      </c>
      <c r="K1367" s="94">
        <v>2.3271619918580337</v>
      </c>
      <c r="L1367" s="94">
        <v>12.115597208887404</v>
      </c>
      <c r="M1367" s="94">
        <v>11.610310906123271</v>
      </c>
      <c r="N1367" s="94">
        <v>11.118805627474227</v>
      </c>
      <c r="O1367" s="94">
        <v>3.70767339751675</v>
      </c>
    </row>
    <row r="1368" spans="1:15" x14ac:dyDescent="0.25">
      <c r="A1368" s="89">
        <v>45244.833333333336</v>
      </c>
      <c r="B1368" s="94">
        <v>360.30681419623062</v>
      </c>
      <c r="C1368" s="94">
        <v>300.52031561462786</v>
      </c>
      <c r="D1368" s="94">
        <v>21.014746695110702</v>
      </c>
      <c r="E1368" s="94">
        <v>1.6267514184448895</v>
      </c>
      <c r="F1368" s="94">
        <v>78.482705334166312</v>
      </c>
      <c r="G1368" s="94">
        <v>6.8689967177905764</v>
      </c>
      <c r="H1368" s="94">
        <v>21.897372443692923</v>
      </c>
      <c r="I1368" s="94">
        <v>4.288851951781754</v>
      </c>
      <c r="J1368" s="94">
        <v>3423.2483974524821</v>
      </c>
      <c r="K1368" s="94">
        <v>2.3345474922196057</v>
      </c>
      <c r="L1368" s="94">
        <v>12.332723716794833</v>
      </c>
      <c r="M1368" s="94">
        <v>11.837071103736996</v>
      </c>
      <c r="N1368" s="94">
        <v>11.335978483600131</v>
      </c>
      <c r="O1368" s="94">
        <v>3.7800962753036469</v>
      </c>
    </row>
    <row r="1369" spans="1:15" x14ac:dyDescent="0.25">
      <c r="A1369" s="89">
        <v>45245.333333333336</v>
      </c>
      <c r="B1369" s="94">
        <v>360.30502911364874</v>
      </c>
      <c r="C1369" s="94">
        <v>300.52779379386044</v>
      </c>
      <c r="D1369" s="94">
        <v>21.390547151112237</v>
      </c>
      <c r="E1369" s="94">
        <v>1.6579142982274973</v>
      </c>
      <c r="F1369" s="94">
        <v>78.503449183824273</v>
      </c>
      <c r="G1369" s="94">
        <v>6.8662951922804281</v>
      </c>
      <c r="H1369" s="94">
        <v>22.293917118994276</v>
      </c>
      <c r="I1369" s="94">
        <v>4.3710018471032441</v>
      </c>
      <c r="J1369" s="94">
        <v>3466.819865207131</v>
      </c>
      <c r="K1369" s="94">
        <v>2.341932992581178</v>
      </c>
      <c r="L1369" s="94">
        <v>12.549850224702265</v>
      </c>
      <c r="M1369" s="94">
        <v>12.063831301350721</v>
      </c>
      <c r="N1369" s="94">
        <v>11.553151339726037</v>
      </c>
      <c r="O1369" s="94">
        <v>3.8525191530905438</v>
      </c>
    </row>
    <row r="1370" spans="1:15" x14ac:dyDescent="0.25">
      <c r="A1370" s="89">
        <v>45245.833333333336</v>
      </c>
      <c r="B1370" s="94">
        <v>360.30324403106687</v>
      </c>
      <c r="C1370" s="94">
        <v>300.53527197309296</v>
      </c>
      <c r="D1370" s="94">
        <v>21.766347607113779</v>
      </c>
      <c r="E1370" s="94">
        <v>1.6890771780101055</v>
      </c>
      <c r="F1370" s="94">
        <v>78.524193033482234</v>
      </c>
      <c r="G1370" s="94">
        <v>6.8635936667702806</v>
      </c>
      <c r="H1370" s="94">
        <v>22.690461794295629</v>
      </c>
      <c r="I1370" s="94">
        <v>4.4531517424247342</v>
      </c>
      <c r="J1370" s="94">
        <v>3510.3913329617799</v>
      </c>
      <c r="K1370" s="94">
        <v>2.34931849294275</v>
      </c>
      <c r="L1370" s="94">
        <v>12.766976732609695</v>
      </c>
      <c r="M1370" s="94">
        <v>12.290591498964448</v>
      </c>
      <c r="N1370" s="94">
        <v>11.770324195851943</v>
      </c>
      <c r="O1370" s="94">
        <v>3.9249420308774412</v>
      </c>
    </row>
    <row r="1371" spans="1:15" x14ac:dyDescent="0.25">
      <c r="A1371" s="89">
        <v>45246.333333333336</v>
      </c>
      <c r="B1371" s="94">
        <v>360.30145894848494</v>
      </c>
      <c r="C1371" s="94">
        <v>300.54275015232548</v>
      </c>
      <c r="D1371" s="94">
        <v>22.142148063115318</v>
      </c>
      <c r="E1371" s="94">
        <v>1.7202400577927133</v>
      </c>
      <c r="F1371" s="94">
        <v>78.544936883140196</v>
      </c>
      <c r="G1371" s="94">
        <v>6.8608921412601322</v>
      </c>
      <c r="H1371" s="94">
        <v>23.087006469596986</v>
      </c>
      <c r="I1371" s="94">
        <v>4.5353016377462234</v>
      </c>
      <c r="J1371" s="94">
        <v>3553.9628007164288</v>
      </c>
      <c r="K1371" s="94">
        <v>2.3567039933043223</v>
      </c>
      <c r="L1371" s="94">
        <v>12.984103240517125</v>
      </c>
      <c r="M1371" s="94">
        <v>12.517351696578173</v>
      </c>
      <c r="N1371" s="94">
        <v>11.987497051977849</v>
      </c>
      <c r="O1371" s="94">
        <v>3.9973649086643381</v>
      </c>
    </row>
    <row r="1372" spans="1:15" x14ac:dyDescent="0.25">
      <c r="A1372" s="89">
        <v>45246.833333333336</v>
      </c>
      <c r="B1372" s="94">
        <v>360.29967386590306</v>
      </c>
      <c r="C1372" s="94">
        <v>300.550228331558</v>
      </c>
      <c r="D1372" s="94">
        <v>22.51794851911686</v>
      </c>
      <c r="E1372" s="94">
        <v>1.7514029375753215</v>
      </c>
      <c r="F1372" s="94">
        <v>78.565680732798157</v>
      </c>
      <c r="G1372" s="94">
        <v>6.8581906157499848</v>
      </c>
      <c r="H1372" s="94">
        <v>23.483551144898339</v>
      </c>
      <c r="I1372" s="94">
        <v>4.6174515330677135</v>
      </c>
      <c r="J1372" s="94">
        <v>3597.5342684710772</v>
      </c>
      <c r="K1372" s="94">
        <v>2.3640894936658943</v>
      </c>
      <c r="L1372" s="94">
        <v>13.201229748424556</v>
      </c>
      <c r="M1372" s="94">
        <v>12.744111894191898</v>
      </c>
      <c r="N1372" s="94">
        <v>12.204669908103755</v>
      </c>
      <c r="O1372" s="94">
        <v>4.0697877864512355</v>
      </c>
    </row>
    <row r="1373" spans="1:15" x14ac:dyDescent="0.25">
      <c r="A1373" s="89">
        <v>45247.333333333336</v>
      </c>
      <c r="B1373" s="94">
        <v>360.29788878332118</v>
      </c>
      <c r="C1373" s="94">
        <v>300.55770651079052</v>
      </c>
      <c r="D1373" s="94">
        <v>22.893748975118399</v>
      </c>
      <c r="E1373" s="94">
        <v>1.7825658173579293</v>
      </c>
      <c r="F1373" s="94">
        <v>78.586424582456118</v>
      </c>
      <c r="G1373" s="94">
        <v>6.8554890902398364</v>
      </c>
      <c r="H1373" s="94">
        <v>23.880095820199692</v>
      </c>
      <c r="I1373" s="94">
        <v>4.6996014283892027</v>
      </c>
      <c r="J1373" s="94">
        <v>3641.1057362257266</v>
      </c>
      <c r="K1373" s="94">
        <v>2.3714749940274666</v>
      </c>
      <c r="L1373" s="94">
        <v>13.418356256331986</v>
      </c>
      <c r="M1373" s="94">
        <v>12.970872091805626</v>
      </c>
      <c r="N1373" s="94">
        <v>12.421842764229661</v>
      </c>
      <c r="O1373" s="94">
        <v>4.1422106642381324</v>
      </c>
    </row>
    <row r="1374" spans="1:15" x14ac:dyDescent="0.25">
      <c r="A1374" s="89">
        <v>45247.833333333336</v>
      </c>
      <c r="B1374" s="94">
        <v>360.29610370073925</v>
      </c>
      <c r="C1374" s="94">
        <v>300.56518469002305</v>
      </c>
      <c r="D1374" s="94">
        <v>23.269549431119941</v>
      </c>
      <c r="E1374" s="94">
        <v>1.8137286971405375</v>
      </c>
      <c r="F1374" s="94">
        <v>78.607168432114094</v>
      </c>
      <c r="G1374" s="94">
        <v>6.852787564729689</v>
      </c>
      <c r="H1374" s="94">
        <v>24.276640495501049</v>
      </c>
      <c r="I1374" s="94">
        <v>4.7817513237106928</v>
      </c>
      <c r="J1374" s="94">
        <v>3684.677203980375</v>
      </c>
      <c r="K1374" s="94">
        <v>2.3788604943890386</v>
      </c>
      <c r="L1374" s="94">
        <v>13.635482764239415</v>
      </c>
      <c r="M1374" s="94">
        <v>13.197632289419351</v>
      </c>
      <c r="N1374" s="94">
        <v>12.639015620355567</v>
      </c>
      <c r="O1374" s="94">
        <v>4.2146335420250294</v>
      </c>
    </row>
    <row r="1375" spans="1:15" x14ac:dyDescent="0.25">
      <c r="A1375" s="89">
        <v>45248.333333333336</v>
      </c>
      <c r="B1375" s="94">
        <v>360.29431861815738</v>
      </c>
      <c r="C1375" s="94">
        <v>300.57266286925557</v>
      </c>
      <c r="D1375" s="94">
        <v>23.64534988712148</v>
      </c>
      <c r="E1375" s="94">
        <v>1.8448915769231453</v>
      </c>
      <c r="F1375" s="94">
        <v>78.627912281772055</v>
      </c>
      <c r="G1375" s="94">
        <v>6.8500860392195415</v>
      </c>
      <c r="H1375" s="94">
        <v>24.673185170802402</v>
      </c>
      <c r="I1375" s="94">
        <v>4.863901219032182</v>
      </c>
      <c r="J1375" s="94">
        <v>3728.2486717350239</v>
      </c>
      <c r="K1375" s="94">
        <v>2.3862459947506109</v>
      </c>
      <c r="L1375" s="94">
        <v>13.852609272146848</v>
      </c>
      <c r="M1375" s="94">
        <v>13.424392487033076</v>
      </c>
      <c r="N1375" s="94">
        <v>12.856188476481471</v>
      </c>
      <c r="O1375" s="94">
        <v>4.2870564198119263</v>
      </c>
    </row>
    <row r="1376" spans="1:15" x14ac:dyDescent="0.25">
      <c r="A1376" s="89">
        <v>45248.833333333336</v>
      </c>
      <c r="B1376" s="94">
        <v>360.2925335355755</v>
      </c>
      <c r="C1376" s="94">
        <v>300.58014104848814</v>
      </c>
      <c r="D1376" s="94">
        <v>24.021150343123022</v>
      </c>
      <c r="E1376" s="94">
        <v>1.8760544567057533</v>
      </c>
      <c r="F1376" s="94">
        <v>78.648656131430016</v>
      </c>
      <c r="G1376" s="94">
        <v>6.8473845137093932</v>
      </c>
      <c r="H1376" s="94">
        <v>25.069729846103755</v>
      </c>
      <c r="I1376" s="94">
        <v>4.9460511143536712</v>
      </c>
      <c r="J1376" s="94">
        <v>3771.8201394896723</v>
      </c>
      <c r="K1376" s="94">
        <v>2.3936314951121829</v>
      </c>
      <c r="L1376" s="94">
        <v>14.069735780054277</v>
      </c>
      <c r="M1376" s="94">
        <v>13.651152684646801</v>
      </c>
      <c r="N1376" s="94">
        <v>13.073361332607377</v>
      </c>
      <c r="O1376" s="94">
        <v>4.3594792975988232</v>
      </c>
    </row>
    <row r="1377" spans="1:15" x14ac:dyDescent="0.25">
      <c r="A1377" s="89">
        <v>45249.333333333336</v>
      </c>
      <c r="B1377" s="94">
        <v>360.29074845299357</v>
      </c>
      <c r="C1377" s="94">
        <v>300.58761922772067</v>
      </c>
      <c r="D1377" s="94">
        <v>24.396950799124561</v>
      </c>
      <c r="E1377" s="94">
        <v>1.9072173364883613</v>
      </c>
      <c r="F1377" s="94">
        <v>78.669399981087977</v>
      </c>
      <c r="G1377" s="94">
        <v>6.8446829881992457</v>
      </c>
      <c r="H1377" s="94">
        <v>25.466274521405111</v>
      </c>
      <c r="I1377" s="94">
        <v>5.0282010096751604</v>
      </c>
      <c r="J1377" s="94">
        <v>3815.3916072443217</v>
      </c>
      <c r="K1377" s="94">
        <v>2.4010169954737552</v>
      </c>
      <c r="L1377" s="94">
        <v>14.286862287961707</v>
      </c>
      <c r="M1377" s="94">
        <v>13.877912882260526</v>
      </c>
      <c r="N1377" s="94">
        <v>13.290534188733282</v>
      </c>
      <c r="O1377" s="94">
        <v>4.4319021753857211</v>
      </c>
    </row>
    <row r="1378" spans="1:15" x14ac:dyDescent="0.25">
      <c r="A1378" s="89">
        <v>45249.833333333336</v>
      </c>
      <c r="B1378" s="94">
        <v>360.28896337041169</v>
      </c>
      <c r="C1378" s="94">
        <v>300.59509740695319</v>
      </c>
      <c r="D1378" s="94">
        <v>24.772751255126103</v>
      </c>
      <c r="E1378" s="94">
        <v>1.9383802162709693</v>
      </c>
      <c r="F1378" s="94">
        <v>78.690143830745939</v>
      </c>
      <c r="G1378" s="94">
        <v>6.8419814626890973</v>
      </c>
      <c r="H1378" s="94">
        <v>25.862819196706464</v>
      </c>
      <c r="I1378" s="94">
        <v>5.1103509049966505</v>
      </c>
      <c r="J1378" s="94">
        <v>3858.9630749989701</v>
      </c>
      <c r="K1378" s="94">
        <v>2.4084024958353272</v>
      </c>
      <c r="L1378" s="94">
        <v>14.503988795869137</v>
      </c>
      <c r="M1378" s="94">
        <v>14.104673079874253</v>
      </c>
      <c r="N1378" s="94">
        <v>13.507707044859188</v>
      </c>
      <c r="O1378" s="94">
        <v>4.5043250531726189</v>
      </c>
    </row>
    <row r="1379" spans="1:15" x14ac:dyDescent="0.25">
      <c r="A1379" s="89">
        <v>45250.333333333336</v>
      </c>
      <c r="B1379" s="94">
        <v>360.28717828782982</v>
      </c>
      <c r="C1379" s="94">
        <v>300.60257558618571</v>
      </c>
      <c r="D1379" s="94">
        <v>25.148551711127642</v>
      </c>
      <c r="E1379" s="94">
        <v>1.9695430960535774</v>
      </c>
      <c r="F1379" s="94">
        <v>78.7108876804039</v>
      </c>
      <c r="G1379" s="94">
        <v>6.8392799371789499</v>
      </c>
      <c r="H1379" s="94">
        <v>26.259363872007818</v>
      </c>
      <c r="I1379" s="94">
        <v>5.1925008003181397</v>
      </c>
      <c r="J1379" s="94">
        <v>3902.534542753619</v>
      </c>
      <c r="K1379" s="94">
        <v>2.4157879961968995</v>
      </c>
      <c r="L1379" s="94">
        <v>14.721115303776568</v>
      </c>
      <c r="M1379" s="94">
        <v>14.331433277487978</v>
      </c>
      <c r="N1379" s="94">
        <v>13.724879900985094</v>
      </c>
      <c r="O1379" s="94">
        <v>4.5767479309595158</v>
      </c>
    </row>
    <row r="1380" spans="1:15" x14ac:dyDescent="0.25">
      <c r="A1380" s="89">
        <v>45250.833333333336</v>
      </c>
      <c r="B1380" s="94">
        <v>360.28539320524789</v>
      </c>
      <c r="C1380" s="94">
        <v>300.61005376541823</v>
      </c>
      <c r="D1380" s="94">
        <v>25.524352167129184</v>
      </c>
      <c r="E1380" s="94">
        <v>2.0007059758361851</v>
      </c>
      <c r="F1380" s="94">
        <v>78.731631530061861</v>
      </c>
      <c r="G1380" s="94">
        <v>6.8365784116688015</v>
      </c>
      <c r="H1380" s="94">
        <v>26.655908547309174</v>
      </c>
      <c r="I1380" s="94">
        <v>5.2746506956396297</v>
      </c>
      <c r="J1380" s="94">
        <v>3946.1060105082674</v>
      </c>
      <c r="K1380" s="94">
        <v>2.4231734965584719</v>
      </c>
      <c r="L1380" s="94">
        <v>14.938241811683998</v>
      </c>
      <c r="M1380" s="94">
        <v>14.558193475101703</v>
      </c>
      <c r="N1380" s="94">
        <v>13.942052757111</v>
      </c>
      <c r="O1380" s="94">
        <v>4.6491708087464128</v>
      </c>
    </row>
    <row r="1381" spans="1:15" x14ac:dyDescent="0.25">
      <c r="A1381" s="89">
        <v>45251.333333333336</v>
      </c>
      <c r="B1381" s="94">
        <v>360.28360812266601</v>
      </c>
      <c r="C1381" s="94">
        <v>300.61753194465075</v>
      </c>
      <c r="D1381" s="94">
        <v>25.900152623130719</v>
      </c>
      <c r="E1381" s="94">
        <v>2.0318688556187934</v>
      </c>
      <c r="F1381" s="94">
        <v>78.752375379719822</v>
      </c>
      <c r="G1381" s="94">
        <v>6.8338768861586541</v>
      </c>
      <c r="H1381" s="94">
        <v>27.052453222610527</v>
      </c>
      <c r="I1381" s="94">
        <v>5.3568005909611189</v>
      </c>
      <c r="J1381" s="94">
        <v>3989.6774782629168</v>
      </c>
      <c r="K1381" s="94">
        <v>2.4305589969200438</v>
      </c>
      <c r="L1381" s="94">
        <v>15.15536831959143</v>
      </c>
      <c r="M1381" s="94">
        <v>14.784953672715432</v>
      </c>
      <c r="N1381" s="94">
        <v>14.159225613236906</v>
      </c>
      <c r="O1381" s="94">
        <v>4.7215936865333097</v>
      </c>
    </row>
    <row r="1382" spans="1:15" x14ac:dyDescent="0.25">
      <c r="A1382" s="89">
        <v>45251.833333333336</v>
      </c>
      <c r="B1382" s="94">
        <v>360.28182304008413</v>
      </c>
      <c r="C1382" s="94">
        <v>300.62501012388327</v>
      </c>
      <c r="D1382" s="94">
        <v>26.275953079132265</v>
      </c>
      <c r="E1382" s="94">
        <v>2.0630317354014012</v>
      </c>
      <c r="F1382" s="94">
        <v>78.773119229377784</v>
      </c>
      <c r="G1382" s="94">
        <v>6.8311753606485057</v>
      </c>
      <c r="H1382" s="94">
        <v>27.44899789791188</v>
      </c>
      <c r="I1382" s="94">
        <v>5.438950486282609</v>
      </c>
      <c r="J1382" s="94">
        <v>4033.2489460175652</v>
      </c>
      <c r="K1382" s="94">
        <v>2.4379444972816162</v>
      </c>
      <c r="L1382" s="94">
        <v>15.37249482749886</v>
      </c>
      <c r="M1382" s="94">
        <v>15.011713870329157</v>
      </c>
      <c r="N1382" s="94">
        <v>14.376398469362812</v>
      </c>
      <c r="O1382" s="94">
        <v>4.7940165643202075</v>
      </c>
    </row>
    <row r="1383" spans="1:15" x14ac:dyDescent="0.25">
      <c r="A1383" s="89">
        <v>45252.333333333336</v>
      </c>
      <c r="B1383" s="94">
        <v>360.2800379575022</v>
      </c>
      <c r="C1383" s="94">
        <v>300.63248830311585</v>
      </c>
      <c r="D1383" s="94">
        <v>26.6517535351338</v>
      </c>
      <c r="E1383" s="94">
        <v>2.0941946151840094</v>
      </c>
      <c r="F1383" s="94">
        <v>78.793863079035745</v>
      </c>
      <c r="G1383" s="94">
        <v>6.8284738351383583</v>
      </c>
      <c r="H1383" s="94">
        <v>27.845542573213237</v>
      </c>
      <c r="I1383" s="94">
        <v>5.5211003816040982</v>
      </c>
      <c r="J1383" s="94">
        <v>4076.8204137722141</v>
      </c>
      <c r="K1383" s="94">
        <v>2.4453299976431881</v>
      </c>
      <c r="L1383" s="94">
        <v>15.58962133540629</v>
      </c>
      <c r="M1383" s="94">
        <v>15.238474067942882</v>
      </c>
      <c r="N1383" s="94">
        <v>14.593571325488718</v>
      </c>
      <c r="O1383" s="94">
        <v>4.8664394421071044</v>
      </c>
    </row>
    <row r="1384" spans="1:15" x14ac:dyDescent="0.25">
      <c r="A1384" s="89">
        <v>45252.833333333336</v>
      </c>
      <c r="B1384" s="94">
        <v>360.27825287492033</v>
      </c>
      <c r="C1384" s="94">
        <v>300.63996648234837</v>
      </c>
      <c r="D1384" s="94">
        <v>27.027553991135342</v>
      </c>
      <c r="E1384" s="94">
        <v>2.1253574949666172</v>
      </c>
      <c r="F1384" s="94">
        <v>78.814606928693706</v>
      </c>
      <c r="G1384" s="94">
        <v>6.8257723096282108</v>
      </c>
      <c r="H1384" s="94">
        <v>28.24208724851459</v>
      </c>
      <c r="I1384" s="94">
        <v>5.6032502769255883</v>
      </c>
      <c r="J1384" s="94">
        <v>4120.3918815268626</v>
      </c>
      <c r="K1384" s="94">
        <v>2.4527154980047605</v>
      </c>
      <c r="L1384" s="94">
        <v>15.806747843313721</v>
      </c>
      <c r="M1384" s="94">
        <v>15.465234265556607</v>
      </c>
      <c r="N1384" s="94">
        <v>14.810744181614622</v>
      </c>
      <c r="O1384" s="94">
        <v>4.9388623198940014</v>
      </c>
    </row>
    <row r="1385" spans="1:15" x14ac:dyDescent="0.25">
      <c r="A1385" s="89">
        <v>45253.333333333336</v>
      </c>
      <c r="B1385" s="94">
        <v>360.27646779233845</v>
      </c>
      <c r="C1385" s="94">
        <v>300.64744466158089</v>
      </c>
      <c r="D1385" s="94">
        <v>27.403354447136884</v>
      </c>
      <c r="E1385" s="94">
        <v>2.1565203747492254</v>
      </c>
      <c r="F1385" s="94">
        <v>78.835350778351668</v>
      </c>
      <c r="G1385" s="94">
        <v>6.8230707841180624</v>
      </c>
      <c r="H1385" s="94">
        <v>28.638631923815943</v>
      </c>
      <c r="I1385" s="94">
        <v>5.6854001722470775</v>
      </c>
      <c r="J1385" s="94">
        <v>4163.9633492815119</v>
      </c>
      <c r="K1385" s="94">
        <v>2.4601009983663324</v>
      </c>
      <c r="L1385" s="94">
        <v>16.023874351221149</v>
      </c>
      <c r="M1385" s="94">
        <v>15.691994463170332</v>
      </c>
      <c r="N1385" s="94">
        <v>15.027917037740528</v>
      </c>
      <c r="O1385" s="94">
        <v>5.0112851976808983</v>
      </c>
    </row>
    <row r="1386" spans="1:15" x14ac:dyDescent="0.25">
      <c r="A1386" s="89">
        <v>45253.833333333336</v>
      </c>
      <c r="B1386" s="94">
        <v>360.27468270975652</v>
      </c>
      <c r="C1386" s="94">
        <v>300.65492284081341</v>
      </c>
      <c r="D1386" s="94">
        <v>27.779154903138423</v>
      </c>
      <c r="E1386" s="94">
        <v>2.1876832545318332</v>
      </c>
      <c r="F1386" s="94">
        <v>78.856094628009629</v>
      </c>
      <c r="G1386" s="94">
        <v>6.820369258607915</v>
      </c>
      <c r="H1386" s="94">
        <v>29.0351765991173</v>
      </c>
      <c r="I1386" s="94">
        <v>5.7675500675685676</v>
      </c>
      <c r="J1386" s="94">
        <v>4207.5348170361613</v>
      </c>
      <c r="K1386" s="94">
        <v>2.4674864987279048</v>
      </c>
      <c r="L1386" s="94">
        <v>16.241000859128579</v>
      </c>
      <c r="M1386" s="94">
        <v>15.918754660784057</v>
      </c>
      <c r="N1386" s="94">
        <v>15.245089893866433</v>
      </c>
      <c r="O1386" s="94">
        <v>5.0837080754677952</v>
      </c>
    </row>
    <row r="1387" spans="1:15" x14ac:dyDescent="0.25">
      <c r="A1387" s="89">
        <v>45254.333333333336</v>
      </c>
      <c r="B1387" s="94">
        <v>360.27289762717464</v>
      </c>
      <c r="C1387" s="94">
        <v>300.66240102004593</v>
      </c>
      <c r="D1387" s="94">
        <v>28.154955359139965</v>
      </c>
      <c r="E1387" s="94">
        <v>2.218846134314441</v>
      </c>
      <c r="F1387" s="94">
        <v>78.87683847766759</v>
      </c>
      <c r="G1387" s="94">
        <v>6.8176677330977666</v>
      </c>
      <c r="H1387" s="94">
        <v>29.431721274418653</v>
      </c>
      <c r="I1387" s="94">
        <v>5.8496999628900568</v>
      </c>
      <c r="J1387" s="94">
        <v>4251.1062847908088</v>
      </c>
      <c r="K1387" s="94">
        <v>2.4748719990894767</v>
      </c>
      <c r="L1387" s="94">
        <v>16.458127367036013</v>
      </c>
      <c r="M1387" s="94">
        <v>16.145514858397782</v>
      </c>
      <c r="N1387" s="94">
        <v>15.462262749992339</v>
      </c>
      <c r="O1387" s="94">
        <v>5.1561309532546922</v>
      </c>
    </row>
    <row r="1388" spans="1:15" x14ac:dyDescent="0.25">
      <c r="A1388" s="89">
        <v>45254.833333333336</v>
      </c>
      <c r="B1388" s="94">
        <v>360.27111254459277</v>
      </c>
      <c r="C1388" s="94">
        <v>300.66987919927845</v>
      </c>
      <c r="D1388" s="94">
        <v>28.530755815141504</v>
      </c>
      <c r="E1388" s="94">
        <v>2.2500090140970492</v>
      </c>
      <c r="F1388" s="94">
        <v>78.897582327325551</v>
      </c>
      <c r="G1388" s="94">
        <v>6.8149662075876192</v>
      </c>
      <c r="H1388" s="94">
        <v>29.828265949720006</v>
      </c>
      <c r="I1388" s="94">
        <v>5.9318498582115469</v>
      </c>
      <c r="J1388" s="94">
        <v>4294.6777525454581</v>
      </c>
      <c r="K1388" s="94">
        <v>2.4822574994510491</v>
      </c>
      <c r="L1388" s="94">
        <v>16.675253874943444</v>
      </c>
      <c r="M1388" s="94">
        <v>16.372275056011507</v>
      </c>
      <c r="N1388" s="94">
        <v>15.679435606118245</v>
      </c>
      <c r="O1388" s="94">
        <v>5.22855383104159</v>
      </c>
    </row>
    <row r="1389" spans="1:15" x14ac:dyDescent="0.25">
      <c r="A1389" s="89">
        <v>45255.333333333336</v>
      </c>
      <c r="B1389" s="94">
        <v>360.26932746201089</v>
      </c>
      <c r="C1389" s="94">
        <v>300.67735737851098</v>
      </c>
      <c r="D1389" s="94">
        <v>28.906556271143046</v>
      </c>
      <c r="E1389" s="94">
        <v>2.281171893879657</v>
      </c>
      <c r="F1389" s="94">
        <v>78.918326176983513</v>
      </c>
      <c r="G1389" s="94">
        <v>6.8122646820774708</v>
      </c>
      <c r="H1389" s="94">
        <v>30.224810625021362</v>
      </c>
      <c r="I1389" s="94">
        <v>6.013999753533037</v>
      </c>
      <c r="J1389" s="94">
        <v>4338.2492203001066</v>
      </c>
      <c r="K1389" s="94">
        <v>2.489642999812621</v>
      </c>
      <c r="L1389" s="94">
        <v>16.892380382850874</v>
      </c>
      <c r="M1389" s="94">
        <v>16.599035253625235</v>
      </c>
      <c r="N1389" s="94">
        <v>15.896608462244151</v>
      </c>
      <c r="O1389" s="94">
        <v>5.3009767088284869</v>
      </c>
    </row>
    <row r="1390" spans="1:15" x14ac:dyDescent="0.25">
      <c r="A1390" s="89">
        <v>45255.833333333336</v>
      </c>
      <c r="B1390" s="94">
        <v>360.26754237942896</v>
      </c>
      <c r="C1390" s="94">
        <v>300.68483555774355</v>
      </c>
      <c r="D1390" s="94">
        <v>29.282356727144585</v>
      </c>
      <c r="E1390" s="94">
        <v>2.3123347736622653</v>
      </c>
      <c r="F1390" s="94">
        <v>78.939070026641488</v>
      </c>
      <c r="G1390" s="94">
        <v>6.8095631565673234</v>
      </c>
      <c r="H1390" s="94">
        <v>30.621355300322715</v>
      </c>
      <c r="I1390" s="94">
        <v>6.0961496488545253</v>
      </c>
      <c r="J1390" s="94">
        <v>4381.8206880547559</v>
      </c>
      <c r="K1390" s="94">
        <v>2.4970285001741934</v>
      </c>
      <c r="L1390" s="94">
        <v>17.109506890758304</v>
      </c>
      <c r="M1390" s="94">
        <v>16.82579545123896</v>
      </c>
      <c r="N1390" s="94">
        <v>16.113781318370055</v>
      </c>
      <c r="O1390" s="94">
        <v>5.3733995866153839</v>
      </c>
    </row>
    <row r="1391" spans="1:15" x14ac:dyDescent="0.25">
      <c r="A1391" s="89">
        <v>45256.333333333336</v>
      </c>
      <c r="B1391" s="94">
        <v>360.26575729684708</v>
      </c>
      <c r="C1391" s="94">
        <v>300.69231373697608</v>
      </c>
      <c r="D1391" s="94">
        <v>29.658157183146127</v>
      </c>
      <c r="E1391" s="94">
        <v>2.343497653444873</v>
      </c>
      <c r="F1391" s="94">
        <v>78.959813876299449</v>
      </c>
      <c r="G1391" s="94">
        <v>6.8068616310571759</v>
      </c>
      <c r="H1391" s="94">
        <v>31.017899975624069</v>
      </c>
      <c r="I1391" s="94">
        <v>6.1782995441760153</v>
      </c>
      <c r="J1391" s="94">
        <v>4425.3921558094044</v>
      </c>
      <c r="K1391" s="94">
        <v>2.5044140005357654</v>
      </c>
      <c r="L1391" s="94">
        <v>17.326633398665731</v>
      </c>
      <c r="M1391" s="94">
        <v>17.052555648852685</v>
      </c>
      <c r="N1391" s="94">
        <v>16.330954174495961</v>
      </c>
      <c r="O1391" s="94">
        <v>5.4458224644022808</v>
      </c>
    </row>
    <row r="1392" spans="1:15" x14ac:dyDescent="0.25">
      <c r="A1392" s="89">
        <v>45256.833333333336</v>
      </c>
      <c r="B1392" s="94">
        <v>360.26397221426521</v>
      </c>
      <c r="C1392" s="94">
        <v>300.6997919162086</v>
      </c>
      <c r="D1392" s="94">
        <v>30.033957639147665</v>
      </c>
      <c r="E1392" s="94">
        <v>2.3746605332274813</v>
      </c>
      <c r="F1392" s="94">
        <v>78.980557725957411</v>
      </c>
      <c r="G1392" s="94">
        <v>6.8041601055470275</v>
      </c>
      <c r="H1392" s="94">
        <v>31.414444650925425</v>
      </c>
      <c r="I1392" s="94">
        <v>6.2604494394975045</v>
      </c>
      <c r="J1392" s="94">
        <v>4468.9636235640537</v>
      </c>
      <c r="K1392" s="94">
        <v>2.5117995008973377</v>
      </c>
      <c r="L1392" s="94">
        <v>17.543759906573161</v>
      </c>
      <c r="M1392" s="94">
        <v>17.279315846466414</v>
      </c>
      <c r="N1392" s="94">
        <v>16.548127030621867</v>
      </c>
      <c r="O1392" s="94">
        <v>5.5182453421891777</v>
      </c>
    </row>
    <row r="1393" spans="1:15" x14ac:dyDescent="0.25">
      <c r="A1393" s="89">
        <v>45257.333333333336</v>
      </c>
      <c r="B1393" s="94">
        <v>360.26218713168328</v>
      </c>
      <c r="C1393" s="94">
        <v>300.70727009544112</v>
      </c>
      <c r="D1393" s="94">
        <v>30.409758095149208</v>
      </c>
      <c r="E1393" s="94">
        <v>2.4058234130100891</v>
      </c>
      <c r="F1393" s="94">
        <v>79.001301575615372</v>
      </c>
      <c r="G1393" s="94">
        <v>6.8014585800368801</v>
      </c>
      <c r="H1393" s="94">
        <v>31.810989326226778</v>
      </c>
      <c r="I1393" s="94">
        <v>6.3425993348189946</v>
      </c>
      <c r="J1393" s="94">
        <v>4512.5350913187012</v>
      </c>
      <c r="K1393" s="94">
        <v>2.5191850012589097</v>
      </c>
      <c r="L1393" s="94">
        <v>17.760886414480591</v>
      </c>
      <c r="M1393" s="94">
        <v>17.506076044080139</v>
      </c>
      <c r="N1393" s="94">
        <v>16.765299886747773</v>
      </c>
      <c r="O1393" s="94">
        <v>5.5906682199760755</v>
      </c>
    </row>
    <row r="1394" spans="1:15" x14ac:dyDescent="0.25">
      <c r="A1394" s="89">
        <v>45257.833333333336</v>
      </c>
      <c r="B1394" s="94">
        <v>360.2604020491014</v>
      </c>
      <c r="C1394" s="94">
        <v>300.71474827467364</v>
      </c>
      <c r="D1394" s="94">
        <v>30.785558551150746</v>
      </c>
      <c r="E1394" s="94">
        <v>2.4369862927926973</v>
      </c>
      <c r="F1394" s="94">
        <v>79.022045425273333</v>
      </c>
      <c r="G1394" s="94">
        <v>6.7987570545267317</v>
      </c>
      <c r="H1394" s="94">
        <v>32.207534001528131</v>
      </c>
      <c r="I1394" s="94">
        <v>6.4247492301404838</v>
      </c>
      <c r="J1394" s="94">
        <v>4556.1065590733506</v>
      </c>
      <c r="K1394" s="94">
        <v>2.526570501620482</v>
      </c>
      <c r="L1394" s="94">
        <v>17.978012922388025</v>
      </c>
      <c r="M1394" s="94">
        <v>17.732836241693864</v>
      </c>
      <c r="N1394" s="94">
        <v>16.982472742873679</v>
      </c>
      <c r="O1394" s="94">
        <v>5.6630910977629725</v>
      </c>
    </row>
    <row r="1395" spans="1:15" x14ac:dyDescent="0.25">
      <c r="A1395" s="89">
        <v>45258.333333333336</v>
      </c>
      <c r="B1395" s="94">
        <v>360.25861696651953</v>
      </c>
      <c r="C1395" s="94">
        <v>300.72222645390616</v>
      </c>
      <c r="D1395" s="94">
        <v>31.161359007152289</v>
      </c>
      <c r="E1395" s="94">
        <v>2.4681491725753051</v>
      </c>
      <c r="F1395" s="94">
        <v>79.042789274931295</v>
      </c>
      <c r="G1395" s="94">
        <v>6.7960555290165843</v>
      </c>
      <c r="H1395" s="94">
        <v>32.604078676829488</v>
      </c>
      <c r="I1395" s="94">
        <v>6.5068991254619739</v>
      </c>
      <c r="J1395" s="94">
        <v>4599.6780268279999</v>
      </c>
      <c r="K1395" s="94">
        <v>2.5339560019820544</v>
      </c>
      <c r="L1395" s="94">
        <v>18.195139430295455</v>
      </c>
      <c r="M1395" s="94">
        <v>17.959596439307589</v>
      </c>
      <c r="N1395" s="94">
        <v>17.199645598999584</v>
      </c>
      <c r="O1395" s="94">
        <v>5.7355139755498694</v>
      </c>
    </row>
    <row r="1396" spans="1:15" x14ac:dyDescent="0.25">
      <c r="A1396" s="89">
        <v>45258.833333333336</v>
      </c>
      <c r="B1396" s="94">
        <v>360.25683188393759</v>
      </c>
      <c r="C1396" s="94">
        <v>300.72970463313868</v>
      </c>
      <c r="D1396" s="94">
        <v>31.537159463153824</v>
      </c>
      <c r="E1396" s="94">
        <v>2.4993120523579133</v>
      </c>
      <c r="F1396" s="94">
        <v>79.063533124589256</v>
      </c>
      <c r="G1396" s="94">
        <v>6.7933540035064359</v>
      </c>
      <c r="H1396" s="94">
        <v>33.000623352130845</v>
      </c>
      <c r="I1396" s="94">
        <v>6.5890490207834631</v>
      </c>
      <c r="J1396" s="94">
        <v>4643.2494945826484</v>
      </c>
      <c r="K1396" s="94">
        <v>2.5413415023436263</v>
      </c>
      <c r="L1396" s="94">
        <v>18.412265938202886</v>
      </c>
      <c r="M1396" s="94">
        <v>18.186356636921314</v>
      </c>
      <c r="N1396" s="94">
        <v>17.41681845512549</v>
      </c>
      <c r="O1396" s="94">
        <v>5.8079368533367663</v>
      </c>
    </row>
    <row r="1397" spans="1:15" x14ac:dyDescent="0.25">
      <c r="A1397" s="89">
        <v>45259.333333333336</v>
      </c>
      <c r="B1397" s="94">
        <v>360.25504680135572</v>
      </c>
      <c r="C1397" s="94">
        <v>300.73718281237126</v>
      </c>
      <c r="D1397" s="94">
        <v>31.912959919155366</v>
      </c>
      <c r="E1397" s="94">
        <v>2.5304749321405211</v>
      </c>
      <c r="F1397" s="94">
        <v>79.084276974247217</v>
      </c>
      <c r="G1397" s="94">
        <v>6.7906524779962885</v>
      </c>
      <c r="H1397" s="94">
        <v>33.397168027432201</v>
      </c>
      <c r="I1397" s="94">
        <v>6.6711989161049532</v>
      </c>
      <c r="J1397" s="94">
        <v>4686.8209623372977</v>
      </c>
      <c r="K1397" s="94">
        <v>2.5487270027051983</v>
      </c>
      <c r="L1397" s="94">
        <v>18.629392446110316</v>
      </c>
      <c r="M1397" s="94">
        <v>18.413116834535039</v>
      </c>
      <c r="N1397" s="94">
        <v>17.633991311251396</v>
      </c>
      <c r="O1397" s="94">
        <v>5.8803597311236633</v>
      </c>
    </row>
    <row r="1398" spans="1:15" x14ac:dyDescent="0.25">
      <c r="A1398" s="89">
        <v>45259.833333333336</v>
      </c>
      <c r="B1398" s="94">
        <v>360.25326171877384</v>
      </c>
      <c r="C1398" s="94">
        <v>300.74466099160378</v>
      </c>
      <c r="D1398" s="94">
        <v>32.288760375156905</v>
      </c>
      <c r="E1398" s="94">
        <v>2.5616378119231293</v>
      </c>
      <c r="F1398" s="94">
        <v>79.105020823905178</v>
      </c>
      <c r="G1398" s="94">
        <v>6.7879509524861401</v>
      </c>
      <c r="H1398" s="94">
        <v>33.793712702733551</v>
      </c>
      <c r="I1398" s="94">
        <v>6.7533488114264424</v>
      </c>
      <c r="J1398" s="94">
        <v>4730.3924300919462</v>
      </c>
      <c r="K1398" s="94">
        <v>2.5561125030667706</v>
      </c>
      <c r="L1398" s="94">
        <v>18.846518954017746</v>
      </c>
      <c r="M1398" s="94">
        <v>18.639877032148764</v>
      </c>
      <c r="N1398" s="94">
        <v>17.851164167377302</v>
      </c>
      <c r="O1398" s="94">
        <v>5.9527826089105602</v>
      </c>
    </row>
    <row r="1399" spans="1:15" x14ac:dyDescent="0.25">
      <c r="A1399" s="89">
        <v>45260.333333333336</v>
      </c>
      <c r="B1399" s="94">
        <v>360.25147663619191</v>
      </c>
      <c r="C1399" s="94">
        <v>300.7521391708363</v>
      </c>
      <c r="D1399" s="94">
        <v>32.664560831158447</v>
      </c>
      <c r="E1399" s="94">
        <v>2.5928006917057376</v>
      </c>
      <c r="F1399" s="94">
        <v>79.12576467356314</v>
      </c>
      <c r="G1399" s="94">
        <v>6.7852494269759926</v>
      </c>
      <c r="H1399" s="94">
        <v>34.190257378034907</v>
      </c>
      <c r="I1399" s="94">
        <v>6.8354987067479325</v>
      </c>
      <c r="J1399" s="94">
        <v>4773.9638978465955</v>
      </c>
      <c r="K1399" s="94">
        <v>2.563498003428343</v>
      </c>
      <c r="L1399" s="94">
        <v>19.063645461925177</v>
      </c>
      <c r="M1399" s="94">
        <v>18.866637229762492</v>
      </c>
      <c r="N1399" s="94">
        <v>18.068337023503208</v>
      </c>
      <c r="O1399" s="94">
        <v>6.025205486697458</v>
      </c>
    </row>
    <row r="1400" spans="1:15" x14ac:dyDescent="0.25">
      <c r="A1400" s="89">
        <v>45260.833333333336</v>
      </c>
      <c r="B1400" s="94">
        <v>360.24969155361003</v>
      </c>
      <c r="C1400" s="94">
        <v>300.75961735006882</v>
      </c>
      <c r="D1400" s="94">
        <v>33.040361287159989</v>
      </c>
      <c r="E1400" s="94">
        <v>2.6239635714883454</v>
      </c>
      <c r="F1400" s="94">
        <v>79.146508523221101</v>
      </c>
      <c r="G1400" s="94">
        <v>6.7825479014658452</v>
      </c>
      <c r="H1400" s="94">
        <v>34.586802053336264</v>
      </c>
      <c r="I1400" s="94">
        <v>6.9176486020694217</v>
      </c>
      <c r="J1400" s="94">
        <v>4817.535365601243</v>
      </c>
      <c r="K1400" s="94">
        <v>2.5708835037899149</v>
      </c>
      <c r="L1400" s="94">
        <v>19.280771969832607</v>
      </c>
      <c r="M1400" s="94">
        <v>19.093397427376217</v>
      </c>
      <c r="N1400" s="94">
        <v>18.285509879629114</v>
      </c>
      <c r="O1400" s="94">
        <v>6.097628364484355</v>
      </c>
    </row>
    <row r="1401" spans="1:15" x14ac:dyDescent="0.25">
      <c r="A1401" s="89">
        <v>45261.333333333336</v>
      </c>
      <c r="B1401" s="94">
        <v>360.24790647102816</v>
      </c>
      <c r="C1401" s="94">
        <v>300.76709552930134</v>
      </c>
      <c r="D1401" s="94">
        <v>33.416161743161531</v>
      </c>
      <c r="E1401" s="94">
        <v>2.6551264512709536</v>
      </c>
      <c r="F1401" s="94">
        <v>79.167252372879062</v>
      </c>
      <c r="G1401" s="94">
        <v>6.7798463759556968</v>
      </c>
      <c r="H1401" s="94">
        <v>34.983346728637613</v>
      </c>
      <c r="I1401" s="94">
        <v>6.9997984973909118</v>
      </c>
      <c r="J1401" s="94">
        <v>4861.1068333558924</v>
      </c>
      <c r="K1401" s="94">
        <v>2.5782690041514869</v>
      </c>
      <c r="L1401" s="94">
        <v>19.497898477740037</v>
      </c>
      <c r="M1401" s="94">
        <v>19.320157624989942</v>
      </c>
      <c r="N1401" s="94">
        <v>18.50268273575502</v>
      </c>
      <c r="O1401" s="94">
        <v>6.1700512422712519</v>
      </c>
    </row>
    <row r="1402" spans="1:15" x14ac:dyDescent="0.25">
      <c r="A1402" s="89">
        <v>45261.833333333336</v>
      </c>
      <c r="B1402" s="94">
        <v>360.24612138844623</v>
      </c>
      <c r="C1402" s="94">
        <v>300.77457370853386</v>
      </c>
      <c r="D1402" s="94">
        <v>33.791962199163066</v>
      </c>
      <c r="E1402" s="94">
        <v>2.6862893310535614</v>
      </c>
      <c r="F1402" s="94">
        <v>79.187996222537024</v>
      </c>
      <c r="G1402" s="94">
        <v>6.7771448504455494</v>
      </c>
      <c r="H1402" s="94">
        <v>35.37989140393897</v>
      </c>
      <c r="I1402" s="94">
        <v>7.081948392712401</v>
      </c>
      <c r="J1402" s="94">
        <v>4904.6783011105417</v>
      </c>
      <c r="K1402" s="94">
        <v>2.5856545045130592</v>
      </c>
      <c r="L1402" s="94">
        <v>19.715024985647467</v>
      </c>
      <c r="M1402" s="94">
        <v>19.546917822603668</v>
      </c>
      <c r="N1402" s="94">
        <v>18.719855591880926</v>
      </c>
      <c r="O1402" s="94">
        <v>6.2424741200581488</v>
      </c>
    </row>
    <row r="1403" spans="1:15" x14ac:dyDescent="0.25">
      <c r="A1403" s="89">
        <v>45262.333333333336</v>
      </c>
      <c r="B1403" s="94">
        <v>360.24433630586435</v>
      </c>
      <c r="C1403" s="94">
        <v>300.78205188776639</v>
      </c>
      <c r="D1403" s="94">
        <v>34.167762655164609</v>
      </c>
      <c r="E1403" s="94">
        <v>2.7174522108361696</v>
      </c>
      <c r="F1403" s="94">
        <v>79.208740072194985</v>
      </c>
      <c r="G1403" s="94">
        <v>6.774443324935401</v>
      </c>
      <c r="H1403" s="94">
        <v>35.776436079240327</v>
      </c>
      <c r="I1403" s="94">
        <v>7.164098288033891</v>
      </c>
      <c r="J1403" s="94">
        <v>4948.2497688651902</v>
      </c>
      <c r="K1403" s="94">
        <v>2.5930400048746316</v>
      </c>
      <c r="L1403" s="94">
        <v>19.932151493554898</v>
      </c>
      <c r="M1403" s="94">
        <v>19.773678020217393</v>
      </c>
      <c r="N1403" s="94">
        <v>18.937028448006828</v>
      </c>
      <c r="O1403" s="94">
        <v>6.3148969978450458</v>
      </c>
    </row>
    <row r="1404" spans="1:15" x14ac:dyDescent="0.25">
      <c r="A1404" s="89">
        <v>45262.833333333336</v>
      </c>
      <c r="B1404" s="94">
        <v>360.24255122328248</v>
      </c>
      <c r="C1404" s="94">
        <v>300.78953006699896</v>
      </c>
      <c r="D1404" s="94">
        <v>34.543563111166144</v>
      </c>
      <c r="E1404" s="94">
        <v>2.7486150906187774</v>
      </c>
      <c r="F1404" s="94">
        <v>79.229483921852946</v>
      </c>
      <c r="G1404" s="94">
        <v>6.7717417994252536</v>
      </c>
      <c r="H1404" s="94">
        <v>36.172980754541676</v>
      </c>
      <c r="I1404" s="94">
        <v>7.2462481833553793</v>
      </c>
      <c r="J1404" s="94">
        <v>4991.8212366198386</v>
      </c>
      <c r="K1404" s="94">
        <v>2.6004255052362035</v>
      </c>
      <c r="L1404" s="94">
        <v>20.149278001462328</v>
      </c>
      <c r="M1404" s="94">
        <v>20.000438217831118</v>
      </c>
      <c r="N1404" s="94">
        <v>19.154201304132734</v>
      </c>
      <c r="O1404" s="94">
        <v>6.3873198756319436</v>
      </c>
    </row>
    <row r="1405" spans="1:15" x14ac:dyDescent="0.25">
      <c r="A1405" s="89">
        <v>45263.333333333336</v>
      </c>
      <c r="B1405" s="94">
        <v>360.24076614070054</v>
      </c>
      <c r="C1405" s="94">
        <v>300.79700824623148</v>
      </c>
      <c r="D1405" s="94">
        <v>34.919363567167686</v>
      </c>
      <c r="E1405" s="94">
        <v>2.7797779704013856</v>
      </c>
      <c r="F1405" s="94">
        <v>79.250227771510922</v>
      </c>
      <c r="G1405" s="94">
        <v>6.7690402739151052</v>
      </c>
      <c r="H1405" s="94">
        <v>36.569525429843033</v>
      </c>
      <c r="I1405" s="94">
        <v>7.3283980786768694</v>
      </c>
      <c r="J1405" s="94">
        <v>5035.3927043744879</v>
      </c>
      <c r="K1405" s="94">
        <v>2.6078110055977759</v>
      </c>
      <c r="L1405" s="94">
        <v>20.366404509369758</v>
      </c>
      <c r="M1405" s="94">
        <v>20.227198415444843</v>
      </c>
      <c r="N1405" s="94">
        <v>19.37137416025864</v>
      </c>
      <c r="O1405" s="94">
        <v>6.4597427534188405</v>
      </c>
    </row>
    <row r="1406" spans="1:15" x14ac:dyDescent="0.25">
      <c r="A1406" s="89">
        <v>45263.833333333336</v>
      </c>
      <c r="B1406" s="94">
        <v>360.23898105811867</v>
      </c>
      <c r="C1406" s="94">
        <v>300.80448642546401</v>
      </c>
      <c r="D1406" s="94">
        <v>35.295164023169228</v>
      </c>
      <c r="E1406" s="94">
        <v>2.8109408501839934</v>
      </c>
      <c r="F1406" s="94">
        <v>79.270971621168883</v>
      </c>
      <c r="G1406" s="94">
        <v>6.7663387484049577</v>
      </c>
      <c r="H1406" s="94">
        <v>36.966070105144389</v>
      </c>
      <c r="I1406" s="94">
        <v>7.4105479739983586</v>
      </c>
      <c r="J1406" s="94">
        <v>5078.9641721291364</v>
      </c>
      <c r="K1406" s="94">
        <v>2.6151965059593478</v>
      </c>
      <c r="L1406" s="94">
        <v>20.583531017277188</v>
      </c>
      <c r="M1406" s="94">
        <v>20.453958613058571</v>
      </c>
      <c r="N1406" s="94">
        <v>19.588547016384545</v>
      </c>
      <c r="O1406" s="94">
        <v>6.5321656312057375</v>
      </c>
    </row>
    <row r="1407" spans="1:15" x14ac:dyDescent="0.25">
      <c r="A1407" s="89">
        <v>45264.333333333336</v>
      </c>
      <c r="B1407" s="94">
        <v>360.23719597553679</v>
      </c>
      <c r="C1407" s="94">
        <v>300.81196460469653</v>
      </c>
      <c r="D1407" s="94">
        <v>35.67096447917077</v>
      </c>
      <c r="E1407" s="94">
        <v>2.8421037299666017</v>
      </c>
      <c r="F1407" s="94">
        <v>79.291715470826844</v>
      </c>
      <c r="G1407" s="94">
        <v>6.7636372228948094</v>
      </c>
      <c r="H1407" s="94">
        <v>37.362614780445739</v>
      </c>
      <c r="I1407" s="94">
        <v>7.4926978693198487</v>
      </c>
      <c r="J1407" s="94">
        <v>5122.5356398837848</v>
      </c>
      <c r="K1407" s="94">
        <v>2.6225820063209202</v>
      </c>
      <c r="L1407" s="94">
        <v>20.800657525184619</v>
      </c>
      <c r="M1407" s="94">
        <v>20.680718810672296</v>
      </c>
      <c r="N1407" s="94">
        <v>19.805719872510451</v>
      </c>
      <c r="O1407" s="94">
        <v>6.6045885089926344</v>
      </c>
    </row>
    <row r="1408" spans="1:15" x14ac:dyDescent="0.25">
      <c r="A1408" s="89">
        <v>45264.833333333336</v>
      </c>
      <c r="B1408" s="94">
        <v>360.23541089295486</v>
      </c>
      <c r="C1408" s="94">
        <v>300.81944278392905</v>
      </c>
      <c r="D1408" s="94">
        <v>36.046764935172305</v>
      </c>
      <c r="E1408" s="94">
        <v>2.8732666097492094</v>
      </c>
      <c r="F1408" s="94">
        <v>79.312459320484805</v>
      </c>
      <c r="G1408" s="94">
        <v>6.7609356973846619</v>
      </c>
      <c r="H1408" s="94">
        <v>37.759159455747096</v>
      </c>
      <c r="I1408" s="94">
        <v>7.5748477646413379</v>
      </c>
      <c r="J1408" s="94">
        <v>5166.1071076384342</v>
      </c>
      <c r="K1408" s="94">
        <v>2.6299675066824921</v>
      </c>
      <c r="L1408" s="94">
        <v>21.017784033092049</v>
      </c>
      <c r="M1408" s="94">
        <v>20.907479008286025</v>
      </c>
      <c r="N1408" s="94">
        <v>20.022892728636357</v>
      </c>
      <c r="O1408" s="94">
        <v>6.6770113867795313</v>
      </c>
    </row>
    <row r="1409" spans="1:15" x14ac:dyDescent="0.25">
      <c r="A1409" s="89">
        <v>45265.333333333336</v>
      </c>
      <c r="B1409" s="94">
        <v>360.23362581037298</v>
      </c>
      <c r="C1409" s="94">
        <v>300.82692096316157</v>
      </c>
      <c r="D1409" s="94">
        <v>36.422565391173848</v>
      </c>
      <c r="E1409" s="94">
        <v>2.9044294895318172</v>
      </c>
      <c r="F1409" s="94">
        <v>79.333203170142767</v>
      </c>
      <c r="G1409" s="94">
        <v>6.7582341718745145</v>
      </c>
      <c r="H1409" s="94">
        <v>38.155704131048452</v>
      </c>
      <c r="I1409" s="94">
        <v>7.656997659962828</v>
      </c>
      <c r="J1409" s="94">
        <v>5209.6785753930826</v>
      </c>
      <c r="K1409" s="94">
        <v>2.6373530070440645</v>
      </c>
      <c r="L1409" s="94">
        <v>21.234910540999479</v>
      </c>
      <c r="M1409" s="94">
        <v>21.13423920589975</v>
      </c>
      <c r="N1409" s="94">
        <v>20.240065584762263</v>
      </c>
      <c r="O1409" s="94">
        <v>6.7494342645664291</v>
      </c>
    </row>
    <row r="1410" spans="1:15" x14ac:dyDescent="0.25">
      <c r="A1410" s="89">
        <v>45265.833333333336</v>
      </c>
      <c r="B1410" s="94">
        <v>360.23184072779111</v>
      </c>
      <c r="C1410" s="94">
        <v>300.83439914239409</v>
      </c>
      <c r="D1410" s="94">
        <v>36.79836584717539</v>
      </c>
      <c r="E1410" s="94">
        <v>2.9355923693144255</v>
      </c>
      <c r="F1410" s="94">
        <v>79.353947019800728</v>
      </c>
      <c r="G1410" s="94">
        <v>6.7555326463643661</v>
      </c>
      <c r="H1410" s="94">
        <v>38.552248806349802</v>
      </c>
      <c r="I1410" s="94">
        <v>7.7391475552843181</v>
      </c>
      <c r="J1410" s="94">
        <v>5253.250043147732</v>
      </c>
      <c r="K1410" s="94">
        <v>2.6447385074056364</v>
      </c>
      <c r="L1410" s="94">
        <v>21.452037048906909</v>
      </c>
      <c r="M1410" s="94">
        <v>21.360999403513475</v>
      </c>
      <c r="N1410" s="94">
        <v>20.457238440888169</v>
      </c>
      <c r="O1410" s="94">
        <v>6.8218571423533261</v>
      </c>
    </row>
    <row r="1411" spans="1:15" x14ac:dyDescent="0.25">
      <c r="A1411" s="89">
        <v>45266.333333333336</v>
      </c>
      <c r="B1411" s="94">
        <v>360.23005564520918</v>
      </c>
      <c r="C1411" s="94">
        <v>300.84187732162667</v>
      </c>
      <c r="D1411" s="94">
        <v>37.174166303176932</v>
      </c>
      <c r="E1411" s="94">
        <v>2.9667552490970333</v>
      </c>
      <c r="F1411" s="94">
        <v>79.374690869458689</v>
      </c>
      <c r="G1411" s="94">
        <v>6.7528311208542187</v>
      </c>
      <c r="H1411" s="94">
        <v>38.948793481651158</v>
      </c>
      <c r="I1411" s="94">
        <v>7.8212974506058073</v>
      </c>
      <c r="J1411" s="94">
        <v>5296.8215109023804</v>
      </c>
      <c r="K1411" s="94">
        <v>2.6521240077672088</v>
      </c>
      <c r="L1411" s="94">
        <v>21.66916355681434</v>
      </c>
      <c r="M1411" s="94">
        <v>21.5877596011272</v>
      </c>
      <c r="N1411" s="94">
        <v>20.674411297014075</v>
      </c>
      <c r="O1411" s="94">
        <v>6.894280020140223</v>
      </c>
    </row>
    <row r="1412" spans="1:15" x14ac:dyDescent="0.25">
      <c r="A1412" s="89">
        <v>45266.833333333336</v>
      </c>
      <c r="B1412" s="94">
        <v>360.2282705626273</v>
      </c>
      <c r="C1412" s="94">
        <v>300.84935550085919</v>
      </c>
      <c r="D1412" s="94">
        <v>37.549966759178474</v>
      </c>
      <c r="E1412" s="94">
        <v>2.9979181288796415</v>
      </c>
      <c r="F1412" s="94">
        <v>79.395434719116651</v>
      </c>
      <c r="G1412" s="94">
        <v>6.7501295953440703</v>
      </c>
      <c r="H1412" s="94">
        <v>39.345338156952515</v>
      </c>
      <c r="I1412" s="94">
        <v>7.9034473459272974</v>
      </c>
      <c r="J1412" s="94">
        <v>5340.3929786570297</v>
      </c>
      <c r="K1412" s="94">
        <v>2.6595095081287807</v>
      </c>
      <c r="L1412" s="94">
        <v>21.886290064721774</v>
      </c>
      <c r="M1412" s="94">
        <v>21.814519798740925</v>
      </c>
      <c r="N1412" s="94">
        <v>20.891584153139981</v>
      </c>
      <c r="O1412" s="94">
        <v>6.9667028979271199</v>
      </c>
    </row>
    <row r="1413" spans="1:15" x14ac:dyDescent="0.25">
      <c r="A1413" s="89">
        <v>45267.333333333336</v>
      </c>
      <c r="B1413" s="94">
        <v>360.22648548004543</v>
      </c>
      <c r="C1413" s="94">
        <v>300.85683368009171</v>
      </c>
      <c r="D1413" s="94">
        <v>37.925767215180009</v>
      </c>
      <c r="E1413" s="94">
        <v>3.0290810086622493</v>
      </c>
      <c r="F1413" s="94">
        <v>79.416178568774612</v>
      </c>
      <c r="G1413" s="94">
        <v>6.7474280698339228</v>
      </c>
      <c r="H1413" s="94">
        <v>39.741882832253864</v>
      </c>
      <c r="I1413" s="94">
        <v>7.9855972412487866</v>
      </c>
      <c r="J1413" s="94">
        <v>5383.9644464116782</v>
      </c>
      <c r="K1413" s="94">
        <v>2.6668950084903531</v>
      </c>
      <c r="L1413" s="94">
        <v>22.103416572629204</v>
      </c>
      <c r="M1413" s="94">
        <v>22.04127999635465</v>
      </c>
      <c r="N1413" s="94">
        <v>21.108757009265886</v>
      </c>
      <c r="O1413" s="94">
        <v>7.0391257757140169</v>
      </c>
    </row>
    <row r="1414" spans="1:15" x14ac:dyDescent="0.25">
      <c r="A1414" s="89">
        <v>45267.833333333336</v>
      </c>
      <c r="B1414" s="94">
        <v>360.22470039746349</v>
      </c>
      <c r="C1414" s="94">
        <v>300.86431185932423</v>
      </c>
      <c r="D1414" s="94">
        <v>38.301567671181552</v>
      </c>
      <c r="E1414" s="94">
        <v>3.0602438884448575</v>
      </c>
      <c r="F1414" s="94">
        <v>79.436922418432573</v>
      </c>
      <c r="G1414" s="94">
        <v>6.7447265443237745</v>
      </c>
      <c r="H1414" s="94">
        <v>40.138427507555221</v>
      </c>
      <c r="I1414" s="94">
        <v>8.0677471365702758</v>
      </c>
      <c r="J1414" s="94">
        <v>5427.5359141663266</v>
      </c>
      <c r="K1414" s="94">
        <v>2.6742805088519255</v>
      </c>
      <c r="L1414" s="94">
        <v>22.32054308053663</v>
      </c>
      <c r="M1414" s="94">
        <v>22.268040193968375</v>
      </c>
      <c r="N1414" s="94">
        <v>21.325929865391792</v>
      </c>
      <c r="O1414" s="94">
        <v>7.1115486535009147</v>
      </c>
    </row>
    <row r="1415" spans="1:15" x14ac:dyDescent="0.25">
      <c r="A1415" s="89">
        <v>45268.333333333336</v>
      </c>
      <c r="B1415" s="94">
        <v>360.22291531488162</v>
      </c>
      <c r="C1415" s="94">
        <v>300.87179003855675</v>
      </c>
      <c r="D1415" s="94">
        <v>38.677368127183087</v>
      </c>
      <c r="E1415" s="94">
        <v>3.0914067682274653</v>
      </c>
      <c r="F1415" s="94">
        <v>79.457666268090534</v>
      </c>
      <c r="G1415" s="94">
        <v>6.742025018813627</v>
      </c>
      <c r="H1415" s="94">
        <v>40.534972182856578</v>
      </c>
      <c r="I1415" s="94">
        <v>8.1498970318917667</v>
      </c>
      <c r="J1415" s="94">
        <v>5471.1073819209751</v>
      </c>
      <c r="K1415" s="94">
        <v>2.6816660092134974</v>
      </c>
      <c r="L1415" s="94">
        <v>22.537669588444061</v>
      </c>
      <c r="M1415" s="94">
        <v>22.4948003915821</v>
      </c>
      <c r="N1415" s="94">
        <v>21.543102721517698</v>
      </c>
      <c r="O1415" s="94">
        <v>7.1839715312878116</v>
      </c>
    </row>
    <row r="1416" spans="1:15" x14ac:dyDescent="0.25">
      <c r="A1416" s="89">
        <v>45268.833333333336</v>
      </c>
      <c r="B1416" s="94">
        <v>360.22113023229974</v>
      </c>
      <c r="C1416" s="94">
        <v>300.87926821778927</v>
      </c>
      <c r="D1416" s="94">
        <v>39.053168583184636</v>
      </c>
      <c r="E1416" s="94">
        <v>3.1225696480100735</v>
      </c>
      <c r="F1416" s="94">
        <v>79.478410117748496</v>
      </c>
      <c r="G1416" s="94">
        <v>6.7393234933034796</v>
      </c>
      <c r="H1416" s="94">
        <v>40.931516858157927</v>
      </c>
      <c r="I1416" s="94">
        <v>8.2320469272132559</v>
      </c>
      <c r="J1416" s="94">
        <v>5514.6788496756244</v>
      </c>
      <c r="K1416" s="94">
        <v>2.6890515095750698</v>
      </c>
      <c r="L1416" s="94">
        <v>22.754796096351491</v>
      </c>
      <c r="M1416" s="94">
        <v>22.721560589195828</v>
      </c>
      <c r="N1416" s="94">
        <v>21.760275577643604</v>
      </c>
      <c r="O1416" s="94">
        <v>7.2563944090747086</v>
      </c>
    </row>
    <row r="1417" spans="1:15" x14ac:dyDescent="0.25">
      <c r="A1417" s="89">
        <v>45269.333333333336</v>
      </c>
      <c r="B1417" s="94">
        <v>360.21934514971781</v>
      </c>
      <c r="C1417" s="94">
        <v>300.8867463970218</v>
      </c>
      <c r="D1417" s="94">
        <v>39.428969039186171</v>
      </c>
      <c r="E1417" s="94">
        <v>3.1537325277926813</v>
      </c>
      <c r="F1417" s="94">
        <v>79.499153967406457</v>
      </c>
      <c r="G1417" s="94">
        <v>6.7366219677933312</v>
      </c>
      <c r="H1417" s="94">
        <v>41.328061533459284</v>
      </c>
      <c r="I1417" s="94">
        <v>8.3141968225347451</v>
      </c>
      <c r="J1417" s="94">
        <v>5558.2503174302728</v>
      </c>
      <c r="K1417" s="94">
        <v>2.6964370099366417</v>
      </c>
      <c r="L1417" s="94">
        <v>22.971922604258921</v>
      </c>
      <c r="M1417" s="94">
        <v>22.948320786809553</v>
      </c>
      <c r="N1417" s="94">
        <v>21.97744843376951</v>
      </c>
      <c r="O1417" s="94">
        <v>7.3288172868616055</v>
      </c>
    </row>
    <row r="1418" spans="1:15" x14ac:dyDescent="0.25">
      <c r="A1418" s="89">
        <v>45269.833333333336</v>
      </c>
      <c r="B1418" s="94">
        <v>360.21756006713593</v>
      </c>
      <c r="C1418" s="94">
        <v>300.89422457625432</v>
      </c>
      <c r="D1418" s="94">
        <v>39.804769495187713</v>
      </c>
      <c r="E1418" s="94">
        <v>3.1848954075752895</v>
      </c>
      <c r="F1418" s="94">
        <v>79.519897817064418</v>
      </c>
      <c r="G1418" s="94">
        <v>6.7339204422831838</v>
      </c>
      <c r="H1418" s="94">
        <v>41.72460620876064</v>
      </c>
      <c r="I1418" s="94">
        <v>8.3963467178562343</v>
      </c>
      <c r="J1418" s="94">
        <v>5601.8217851849222</v>
      </c>
      <c r="K1418" s="94">
        <v>2.7038225102982141</v>
      </c>
      <c r="L1418" s="94">
        <v>23.189049112166352</v>
      </c>
      <c r="M1418" s="94">
        <v>23.175080984423278</v>
      </c>
      <c r="N1418" s="94">
        <v>22.194621289895416</v>
      </c>
      <c r="O1418" s="94">
        <v>7.4012401646485024</v>
      </c>
    </row>
    <row r="1419" spans="1:15" x14ac:dyDescent="0.25">
      <c r="A1419" s="89">
        <v>45270.333333333336</v>
      </c>
      <c r="B1419" s="94">
        <v>360.21577498455406</v>
      </c>
      <c r="C1419" s="94">
        <v>300.90170275548689</v>
      </c>
      <c r="D1419" s="94">
        <v>40.180569951189248</v>
      </c>
      <c r="E1419" s="94">
        <v>3.2160582873578973</v>
      </c>
      <c r="F1419" s="94">
        <v>79.540641666722379</v>
      </c>
      <c r="G1419" s="94">
        <v>6.7312189167730354</v>
      </c>
      <c r="H1419" s="94">
        <v>42.12115088406199</v>
      </c>
      <c r="I1419" s="94">
        <v>8.4784966131777235</v>
      </c>
      <c r="J1419" s="94">
        <v>5645.3932529395706</v>
      </c>
      <c r="K1419" s="94">
        <v>2.711208010659786</v>
      </c>
      <c r="L1419" s="94">
        <v>23.406175620073785</v>
      </c>
      <c r="M1419" s="94">
        <v>23.401841182037003</v>
      </c>
      <c r="N1419" s="94">
        <v>22.411794146021322</v>
      </c>
      <c r="O1419" s="94">
        <v>7.4736630424353994</v>
      </c>
    </row>
    <row r="1420" spans="1:15" x14ac:dyDescent="0.25">
      <c r="A1420" s="89">
        <v>45270.833333333336</v>
      </c>
      <c r="B1420" s="94">
        <v>360.21398990197213</v>
      </c>
      <c r="C1420" s="94">
        <v>300.90918093471942</v>
      </c>
      <c r="D1420" s="94">
        <v>40.556370407190791</v>
      </c>
      <c r="E1420" s="94">
        <v>3.2472211671405051</v>
      </c>
      <c r="F1420" s="94">
        <v>79.561385516380341</v>
      </c>
      <c r="G1420" s="94">
        <v>6.7285173912628879</v>
      </c>
      <c r="H1420" s="94">
        <v>42.517695559363347</v>
      </c>
      <c r="I1420" s="94">
        <v>8.5606465084992127</v>
      </c>
      <c r="J1420" s="94">
        <v>5688.96472069422</v>
      </c>
      <c r="K1420" s="94">
        <v>2.7185935110213579</v>
      </c>
      <c r="L1420" s="94">
        <v>23.623302127981216</v>
      </c>
      <c r="M1420" s="94">
        <v>23.628601379650732</v>
      </c>
      <c r="N1420" s="94">
        <v>22.628967002147224</v>
      </c>
      <c r="O1420" s="94">
        <v>7.5460859202222972</v>
      </c>
    </row>
    <row r="1421" spans="1:15" x14ac:dyDescent="0.25">
      <c r="A1421" s="89">
        <v>45271.333333333336</v>
      </c>
      <c r="B1421" s="94">
        <v>360.21220481939025</v>
      </c>
      <c r="C1421" s="94">
        <v>300.91665911395194</v>
      </c>
      <c r="D1421" s="94">
        <v>40.932170863192333</v>
      </c>
      <c r="E1421" s="94">
        <v>3.2783840469231134</v>
      </c>
      <c r="F1421" s="94">
        <v>79.582129366038316</v>
      </c>
      <c r="G1421" s="94">
        <v>6.7258158657527396</v>
      </c>
      <c r="H1421" s="94">
        <v>42.914240234664703</v>
      </c>
      <c r="I1421" s="94">
        <v>8.6427964038207037</v>
      </c>
      <c r="J1421" s="94">
        <v>5732.5361884488684</v>
      </c>
      <c r="K1421" s="94">
        <v>2.7259790113829303</v>
      </c>
      <c r="L1421" s="94">
        <v>23.840428635888642</v>
      </c>
      <c r="M1421" s="94">
        <v>23.855361577264457</v>
      </c>
      <c r="N1421" s="94">
        <v>22.84613985827313</v>
      </c>
      <c r="O1421" s="94">
        <v>7.618508798009195</v>
      </c>
    </row>
    <row r="1422" spans="1:15" x14ac:dyDescent="0.25">
      <c r="A1422" s="89">
        <v>45271.833333333336</v>
      </c>
      <c r="B1422" s="94">
        <v>360.21041973680838</v>
      </c>
      <c r="C1422" s="94">
        <v>300.92413729318446</v>
      </c>
      <c r="D1422" s="94">
        <v>41.307971319193868</v>
      </c>
      <c r="E1422" s="94">
        <v>3.3095469267057216</v>
      </c>
      <c r="F1422" s="94">
        <v>79.602873215696277</v>
      </c>
      <c r="G1422" s="94">
        <v>6.7231143402425921</v>
      </c>
      <c r="H1422" s="94">
        <v>43.310784909966053</v>
      </c>
      <c r="I1422" s="94">
        <v>8.7249462991421929</v>
      </c>
      <c r="J1422" s="94">
        <v>5776.1076562035169</v>
      </c>
      <c r="K1422" s="94">
        <v>2.7333645117445027</v>
      </c>
      <c r="L1422" s="94">
        <v>24.057555143796076</v>
      </c>
      <c r="M1422" s="94">
        <v>24.082121774878182</v>
      </c>
      <c r="N1422" s="94">
        <v>23.063312714399036</v>
      </c>
      <c r="O1422" s="94">
        <v>7.690931675796091</v>
      </c>
    </row>
    <row r="1423" spans="1:15" x14ac:dyDescent="0.25">
      <c r="A1423" s="89">
        <v>45272.333333333336</v>
      </c>
      <c r="B1423" s="94">
        <v>360.20863465422644</v>
      </c>
      <c r="C1423" s="94">
        <v>300.93161547241698</v>
      </c>
      <c r="D1423" s="94">
        <v>41.68377177519541</v>
      </c>
      <c r="E1423" s="94">
        <v>3.3407098064883289</v>
      </c>
      <c r="F1423" s="94">
        <v>79.623617065354239</v>
      </c>
      <c r="G1423" s="94">
        <v>6.7204128147324447</v>
      </c>
      <c r="H1423" s="94">
        <v>43.707329585267409</v>
      </c>
      <c r="I1423" s="94">
        <v>8.8070961944636839</v>
      </c>
      <c r="J1423" s="94">
        <v>5819.6791239581653</v>
      </c>
      <c r="K1423" s="94">
        <v>2.7407500121060746</v>
      </c>
      <c r="L1423" s="94">
        <v>24.274681651703506</v>
      </c>
      <c r="M1423" s="94">
        <v>24.308881972491907</v>
      </c>
      <c r="N1423" s="94">
        <v>23.280485570524942</v>
      </c>
      <c r="O1423" s="94">
        <v>7.7633545535829889</v>
      </c>
    </row>
    <row r="1424" spans="1:15" x14ac:dyDescent="0.25">
      <c r="A1424" s="89">
        <v>45272.833333333336</v>
      </c>
      <c r="B1424" s="94">
        <v>360.20684957164457</v>
      </c>
      <c r="C1424" s="94">
        <v>300.9390936516495</v>
      </c>
      <c r="D1424" s="94">
        <v>42.059572231196952</v>
      </c>
      <c r="E1424" s="94">
        <v>3.3718726862709372</v>
      </c>
      <c r="F1424" s="94">
        <v>79.6443609150122</v>
      </c>
      <c r="G1424" s="94">
        <v>6.7177112892222963</v>
      </c>
      <c r="H1424" s="94">
        <v>44.103874260568766</v>
      </c>
      <c r="I1424" s="94">
        <v>8.8892460897851713</v>
      </c>
      <c r="J1424" s="94">
        <v>5863.2505917128155</v>
      </c>
      <c r="K1424" s="94">
        <v>2.748135512467647</v>
      </c>
      <c r="L1424" s="94">
        <v>24.491808159610933</v>
      </c>
      <c r="M1424" s="94">
        <v>24.535642170105632</v>
      </c>
      <c r="N1424" s="94">
        <v>23.497658426650847</v>
      </c>
      <c r="O1424" s="94">
        <v>7.8357774313698849</v>
      </c>
    </row>
    <row r="1425" spans="1:15" x14ac:dyDescent="0.25">
      <c r="A1425" s="89">
        <v>45273.333333333336</v>
      </c>
      <c r="B1425" s="94">
        <v>360.20506448906269</v>
      </c>
      <c r="C1425" s="94">
        <v>300.94657183088202</v>
      </c>
      <c r="D1425" s="94">
        <v>42.435372687198495</v>
      </c>
      <c r="E1425" s="94">
        <v>3.4030355660535454</v>
      </c>
      <c r="F1425" s="94">
        <v>79.665104764670161</v>
      </c>
      <c r="G1425" s="94">
        <v>6.7150097637121489</v>
      </c>
      <c r="H1425" s="94">
        <v>44.500418935870115</v>
      </c>
      <c r="I1425" s="94">
        <v>8.9713959851066605</v>
      </c>
      <c r="J1425" s="94">
        <v>5906.822059467464</v>
      </c>
      <c r="K1425" s="94">
        <v>2.7555210128292194</v>
      </c>
      <c r="L1425" s="94">
        <v>24.708934667518367</v>
      </c>
      <c r="M1425" s="94">
        <v>24.762402367719361</v>
      </c>
      <c r="N1425" s="94">
        <v>23.714831282776753</v>
      </c>
      <c r="O1425" s="94">
        <v>7.9082003091567827</v>
      </c>
    </row>
    <row r="1426" spans="1:15" x14ac:dyDescent="0.25">
      <c r="A1426" s="89">
        <v>45273.833333333336</v>
      </c>
      <c r="B1426" s="94">
        <v>360.20327940648076</v>
      </c>
      <c r="C1426" s="94">
        <v>300.9540500101146</v>
      </c>
      <c r="D1426" s="94">
        <v>42.81117314320003</v>
      </c>
      <c r="E1426" s="94">
        <v>3.4341984458361536</v>
      </c>
      <c r="F1426" s="94">
        <v>79.685848614328123</v>
      </c>
      <c r="G1426" s="94">
        <v>6.7123082382020005</v>
      </c>
      <c r="H1426" s="94">
        <v>44.896963611171472</v>
      </c>
      <c r="I1426" s="94">
        <v>9.0535458804281514</v>
      </c>
      <c r="J1426" s="94">
        <v>5950.3935272221124</v>
      </c>
      <c r="K1426" s="94">
        <v>2.7629065131907913</v>
      </c>
      <c r="L1426" s="94">
        <v>24.926061175425794</v>
      </c>
      <c r="M1426" s="94">
        <v>24.989162565333086</v>
      </c>
      <c r="N1426" s="94">
        <v>23.932004138902659</v>
      </c>
      <c r="O1426" s="94">
        <v>7.9806231869436797</v>
      </c>
    </row>
    <row r="1427" spans="1:15" x14ac:dyDescent="0.25">
      <c r="A1427" s="89">
        <v>45274.333333333336</v>
      </c>
      <c r="B1427" s="94">
        <v>360.20149432389888</v>
      </c>
      <c r="C1427" s="94">
        <v>300.96152818934712</v>
      </c>
      <c r="D1427" s="94">
        <v>43.186973599201572</v>
      </c>
      <c r="E1427" s="94">
        <v>3.465361325618761</v>
      </c>
      <c r="F1427" s="94">
        <v>79.706592463986084</v>
      </c>
      <c r="G1427" s="94">
        <v>6.709606712691853</v>
      </c>
      <c r="H1427" s="94">
        <v>45.293508286472829</v>
      </c>
      <c r="I1427" s="94">
        <v>9.1356957757496406</v>
      </c>
      <c r="J1427" s="94">
        <v>5993.9649949767609</v>
      </c>
      <c r="K1427" s="94">
        <v>2.7702920135523632</v>
      </c>
      <c r="L1427" s="94">
        <v>25.143187683333228</v>
      </c>
      <c r="M1427" s="94">
        <v>25.215922762946811</v>
      </c>
      <c r="N1427" s="94">
        <v>24.149176995028565</v>
      </c>
      <c r="O1427" s="94">
        <v>8.0530460647305766</v>
      </c>
    </row>
    <row r="1428" spans="1:15" x14ac:dyDescent="0.25">
      <c r="A1428" s="89">
        <v>45274.833333333336</v>
      </c>
      <c r="B1428" s="94">
        <v>360.19970924131701</v>
      </c>
      <c r="C1428" s="94">
        <v>300.96900636857964</v>
      </c>
      <c r="D1428" s="94">
        <v>43.562774055203114</v>
      </c>
      <c r="E1428" s="94">
        <v>3.4965242054013692</v>
      </c>
      <c r="F1428" s="94">
        <v>79.727336313644045</v>
      </c>
      <c r="G1428" s="94">
        <v>6.7069051871817047</v>
      </c>
      <c r="H1428" s="94">
        <v>45.690052961774178</v>
      </c>
      <c r="I1428" s="94">
        <v>9.2178456710711316</v>
      </c>
      <c r="J1428" s="94">
        <v>6037.5364627314102</v>
      </c>
      <c r="K1428" s="94">
        <v>2.7776775139139356</v>
      </c>
      <c r="L1428" s="94">
        <v>25.360314191240661</v>
      </c>
      <c r="M1428" s="94">
        <v>25.442682960560536</v>
      </c>
      <c r="N1428" s="94">
        <v>24.366349851154471</v>
      </c>
      <c r="O1428" s="94">
        <v>8.1254689425174735</v>
      </c>
    </row>
    <row r="1429" spans="1:15" x14ac:dyDescent="0.25">
      <c r="A1429" s="89">
        <v>45275.333333333336</v>
      </c>
      <c r="B1429" s="94">
        <v>360.19792415873508</v>
      </c>
      <c r="C1429" s="94">
        <v>300.97648454781216</v>
      </c>
      <c r="D1429" s="94">
        <v>43.938574511204656</v>
      </c>
      <c r="E1429" s="94">
        <v>3.5276870851839774</v>
      </c>
      <c r="F1429" s="94">
        <v>79.748080163302006</v>
      </c>
      <c r="G1429" s="94">
        <v>6.7042036616715572</v>
      </c>
      <c r="H1429" s="94">
        <v>46.086597637075535</v>
      </c>
      <c r="I1429" s="94">
        <v>9.299995566392619</v>
      </c>
      <c r="J1429" s="94">
        <v>6081.1079304860586</v>
      </c>
      <c r="K1429" s="94">
        <v>2.785063014275508</v>
      </c>
      <c r="L1429" s="94">
        <v>25.577440699148088</v>
      </c>
      <c r="M1429" s="94">
        <v>25.669443158174261</v>
      </c>
      <c r="N1429" s="94">
        <v>24.583522707280377</v>
      </c>
      <c r="O1429" s="94">
        <v>8.1978918203043722</v>
      </c>
    </row>
    <row r="1430" spans="1:15" x14ac:dyDescent="0.25">
      <c r="A1430" s="89">
        <v>45275.833333333336</v>
      </c>
      <c r="B1430" s="94">
        <v>360.1961390761532</v>
      </c>
      <c r="C1430" s="94">
        <v>300.98396272704468</v>
      </c>
      <c r="D1430" s="94">
        <v>44.314374967206192</v>
      </c>
      <c r="E1430" s="94">
        <v>3.5588499649665857</v>
      </c>
      <c r="F1430" s="94">
        <v>79.768824012959968</v>
      </c>
      <c r="G1430" s="94">
        <v>6.7015021361614089</v>
      </c>
      <c r="H1430" s="94">
        <v>46.483142312376891</v>
      </c>
      <c r="I1430" s="94">
        <v>9.38214546171411</v>
      </c>
      <c r="J1430" s="94">
        <v>6124.6793982407071</v>
      </c>
      <c r="K1430" s="94">
        <v>2.7924485146370799</v>
      </c>
      <c r="L1430" s="94">
        <v>25.794567207055518</v>
      </c>
      <c r="M1430" s="94">
        <v>25.896203355787986</v>
      </c>
      <c r="N1430" s="94">
        <v>24.800695563406283</v>
      </c>
      <c r="O1430" s="94">
        <v>8.2703146980912674</v>
      </c>
    </row>
    <row r="1431" spans="1:15" x14ac:dyDescent="0.25">
      <c r="A1431" s="89">
        <v>45276.333333333336</v>
      </c>
      <c r="B1431" s="94">
        <v>360.19435399357133</v>
      </c>
      <c r="C1431" s="94">
        <v>300.99144090627721</v>
      </c>
      <c r="D1431" s="94">
        <v>44.690175423207734</v>
      </c>
      <c r="E1431" s="94">
        <v>3.590012844749193</v>
      </c>
      <c r="F1431" s="94">
        <v>79.789567862617929</v>
      </c>
      <c r="G1431" s="94">
        <v>6.6988006106512614</v>
      </c>
      <c r="H1431" s="94">
        <v>46.879686987678241</v>
      </c>
      <c r="I1431" s="94">
        <v>9.4642953570355992</v>
      </c>
      <c r="J1431" s="94">
        <v>6168.2508659953555</v>
      </c>
      <c r="K1431" s="94">
        <v>2.7998340149986518</v>
      </c>
      <c r="L1431" s="94">
        <v>26.011693714962949</v>
      </c>
      <c r="M1431" s="94">
        <v>26.122963553401711</v>
      </c>
      <c r="N1431" s="94">
        <v>25.017868419532189</v>
      </c>
      <c r="O1431" s="94">
        <v>8.3427375758781661</v>
      </c>
    </row>
    <row r="1432" spans="1:15" x14ac:dyDescent="0.25">
      <c r="A1432" s="89">
        <v>45276.833333333336</v>
      </c>
      <c r="B1432" s="94">
        <v>360.19256891098939</v>
      </c>
      <c r="C1432" s="94">
        <v>300.99891908550973</v>
      </c>
      <c r="D1432" s="94">
        <v>45.065975879209276</v>
      </c>
      <c r="E1432" s="94">
        <v>3.6211757245318013</v>
      </c>
      <c r="F1432" s="94">
        <v>79.81031171227589</v>
      </c>
      <c r="G1432" s="94">
        <v>6.696099085141114</v>
      </c>
      <c r="H1432" s="94">
        <v>47.276231662979598</v>
      </c>
      <c r="I1432" s="94">
        <v>9.5464452523570902</v>
      </c>
      <c r="J1432" s="94">
        <v>6211.8223337500058</v>
      </c>
      <c r="K1432" s="94">
        <v>2.8072195153602242</v>
      </c>
      <c r="L1432" s="94">
        <v>26.228820222870379</v>
      </c>
      <c r="M1432" s="94">
        <v>26.349723751015436</v>
      </c>
      <c r="N1432" s="94">
        <v>25.235041275658094</v>
      </c>
      <c r="O1432" s="94">
        <v>8.4151604536650613</v>
      </c>
    </row>
    <row r="1433" spans="1:15" x14ac:dyDescent="0.25">
      <c r="A1433" s="89">
        <v>45277.333333333336</v>
      </c>
      <c r="B1433" s="94">
        <v>360.19078382840752</v>
      </c>
      <c r="C1433" s="94">
        <v>301.0063972647423</v>
      </c>
      <c r="D1433" s="94">
        <v>45.441776335210818</v>
      </c>
      <c r="E1433" s="94">
        <v>3.6523386043144095</v>
      </c>
      <c r="F1433" s="94">
        <v>79.831055561933852</v>
      </c>
      <c r="G1433" s="94">
        <v>6.6933975596309656</v>
      </c>
      <c r="H1433" s="94">
        <v>47.672776338280954</v>
      </c>
      <c r="I1433" s="94">
        <v>9.6285951476785776</v>
      </c>
      <c r="J1433" s="94">
        <v>6255.3938015046542</v>
      </c>
      <c r="K1433" s="94">
        <v>2.8146050157217966</v>
      </c>
      <c r="L1433" s="94">
        <v>26.445946730777806</v>
      </c>
      <c r="M1433" s="94">
        <v>26.576483948629161</v>
      </c>
      <c r="N1433" s="94">
        <v>25.452214131784</v>
      </c>
      <c r="O1433" s="94">
        <v>8.48758333145196</v>
      </c>
    </row>
    <row r="1434" spans="1:15" x14ac:dyDescent="0.25">
      <c r="A1434" s="89">
        <v>45277.833333333336</v>
      </c>
      <c r="B1434" s="94">
        <v>360.18899874582564</v>
      </c>
      <c r="C1434" s="94">
        <v>301.01387544397483</v>
      </c>
      <c r="D1434" s="94">
        <v>45.817576791212353</v>
      </c>
      <c r="E1434" s="94">
        <v>3.6835014840970168</v>
      </c>
      <c r="F1434" s="94">
        <v>79.851799411591813</v>
      </c>
      <c r="G1434" s="94">
        <v>6.6906960341208181</v>
      </c>
      <c r="H1434" s="94">
        <v>48.069321013582304</v>
      </c>
      <c r="I1434" s="94">
        <v>9.7107450430000686</v>
      </c>
      <c r="J1434" s="94">
        <v>6298.9652692593027</v>
      </c>
      <c r="K1434" s="94">
        <v>2.8219905160833685</v>
      </c>
      <c r="L1434" s="94">
        <v>26.663073238685239</v>
      </c>
      <c r="M1434" s="94">
        <v>26.803244146242886</v>
      </c>
      <c r="N1434" s="94">
        <v>25.669386987909906</v>
      </c>
      <c r="O1434" s="94">
        <v>8.5600062092388569</v>
      </c>
    </row>
    <row r="1435" spans="1:15" x14ac:dyDescent="0.25">
      <c r="A1435" s="89">
        <v>45278.333333333336</v>
      </c>
      <c r="B1435" s="94">
        <v>360.18721366324371</v>
      </c>
      <c r="C1435" s="94">
        <v>301.02135362320735</v>
      </c>
      <c r="D1435" s="94">
        <v>46.193377247213895</v>
      </c>
      <c r="E1435" s="94">
        <v>3.7146643638796251</v>
      </c>
      <c r="F1435" s="94">
        <v>79.872543261249774</v>
      </c>
      <c r="G1435" s="94">
        <v>6.6879945086106698</v>
      </c>
      <c r="H1435" s="94">
        <v>48.46586568888366</v>
      </c>
      <c r="I1435" s="94">
        <v>9.7928949383215578</v>
      </c>
      <c r="J1435" s="94">
        <v>6342.536737013952</v>
      </c>
      <c r="K1435" s="94">
        <v>2.8293760164449409</v>
      </c>
      <c r="L1435" s="94">
        <v>26.880199746592673</v>
      </c>
      <c r="M1435" s="94">
        <v>27.030004343856611</v>
      </c>
      <c r="N1435" s="94">
        <v>25.886559844035808</v>
      </c>
      <c r="O1435" s="94">
        <v>8.6324290870257538</v>
      </c>
    </row>
    <row r="1436" spans="1:15" x14ac:dyDescent="0.25">
      <c r="A1436" s="89">
        <v>45278.833333333336</v>
      </c>
      <c r="B1436" s="94">
        <v>360.18542858066183</v>
      </c>
      <c r="C1436" s="94">
        <v>301.02883180243987</v>
      </c>
      <c r="D1436" s="94">
        <v>46.569177703215438</v>
      </c>
      <c r="E1436" s="94">
        <v>3.7458272436622333</v>
      </c>
      <c r="F1436" s="94">
        <v>79.89328711090775</v>
      </c>
      <c r="G1436" s="94">
        <v>6.6852929831005223</v>
      </c>
      <c r="H1436" s="94">
        <v>48.862410364185017</v>
      </c>
      <c r="I1436" s="94">
        <v>9.8750448336430487</v>
      </c>
      <c r="J1436" s="94">
        <v>6386.1082047686004</v>
      </c>
      <c r="K1436" s="94">
        <v>2.8367615168065128</v>
      </c>
      <c r="L1436" s="94">
        <v>27.0973262545001</v>
      </c>
      <c r="M1436" s="94">
        <v>27.256764541470339</v>
      </c>
      <c r="N1436" s="94">
        <v>26.103732700161714</v>
      </c>
      <c r="O1436" s="94">
        <v>8.7048519648126508</v>
      </c>
    </row>
    <row r="1437" spans="1:15" x14ac:dyDescent="0.25">
      <c r="A1437" s="89">
        <v>45279.333333333336</v>
      </c>
      <c r="B1437" s="94">
        <v>360.18364349807996</v>
      </c>
      <c r="C1437" s="94">
        <v>301.03630998167239</v>
      </c>
      <c r="D1437" s="94">
        <v>46.94497815921698</v>
      </c>
      <c r="E1437" s="94">
        <v>3.7769901234448415</v>
      </c>
      <c r="F1437" s="94">
        <v>79.914030960565711</v>
      </c>
      <c r="G1437" s="94">
        <v>6.682591457590374</v>
      </c>
      <c r="H1437" s="94">
        <v>49.258955039486366</v>
      </c>
      <c r="I1437" s="94">
        <v>9.9571947289645362</v>
      </c>
      <c r="J1437" s="94">
        <v>6429.6796725232489</v>
      </c>
      <c r="K1437" s="94">
        <v>2.8441470171680852</v>
      </c>
      <c r="L1437" s="94">
        <v>27.314452762407534</v>
      </c>
      <c r="M1437" s="94">
        <v>27.483524739084068</v>
      </c>
      <c r="N1437" s="94">
        <v>26.32090555628762</v>
      </c>
      <c r="O1437" s="94">
        <v>8.7772748425995477</v>
      </c>
    </row>
    <row r="1438" spans="1:15" x14ac:dyDescent="0.25">
      <c r="A1438" s="89">
        <v>45279.833333333336</v>
      </c>
      <c r="B1438" s="94">
        <v>360.18185841549803</v>
      </c>
      <c r="C1438" s="94">
        <v>301.04378816090491</v>
      </c>
      <c r="D1438" s="94">
        <v>47.320778615218515</v>
      </c>
      <c r="E1438" s="94">
        <v>3.8081530032274489</v>
      </c>
      <c r="F1438" s="94">
        <v>79.934774810223672</v>
      </c>
      <c r="G1438" s="94">
        <v>6.6798899320802265</v>
      </c>
      <c r="H1438" s="94">
        <v>49.655499714787723</v>
      </c>
      <c r="I1438" s="94">
        <v>10.039344624286025</v>
      </c>
      <c r="J1438" s="94">
        <v>6473.2511402778973</v>
      </c>
      <c r="K1438" s="94">
        <v>2.8515325175296571</v>
      </c>
      <c r="L1438" s="94">
        <v>27.53157927031496</v>
      </c>
      <c r="M1438" s="94">
        <v>27.710284936697793</v>
      </c>
      <c r="N1438" s="94">
        <v>26.538078412413526</v>
      </c>
      <c r="O1438" s="94">
        <v>8.8496977203864446</v>
      </c>
    </row>
    <row r="1439" spans="1:15" x14ac:dyDescent="0.25">
      <c r="A1439" s="89">
        <v>45280.333333333336</v>
      </c>
      <c r="B1439" s="94">
        <v>360.18007333291615</v>
      </c>
      <c r="C1439" s="94">
        <v>301.05126634013743</v>
      </c>
      <c r="D1439" s="94">
        <v>47.696579071220057</v>
      </c>
      <c r="E1439" s="94">
        <v>3.8393158830100571</v>
      </c>
      <c r="F1439" s="94">
        <v>79.955518659881633</v>
      </c>
      <c r="G1439" s="94">
        <v>6.6771884065700791</v>
      </c>
      <c r="H1439" s="94">
        <v>50.05204439008908</v>
      </c>
      <c r="I1439" s="94">
        <v>10.121494519607516</v>
      </c>
      <c r="J1439" s="94">
        <v>6516.8226080325467</v>
      </c>
      <c r="K1439" s="94">
        <v>2.8589180178912295</v>
      </c>
      <c r="L1439" s="94">
        <v>27.748705778222391</v>
      </c>
      <c r="M1439" s="94">
        <v>27.937045134311518</v>
      </c>
      <c r="N1439" s="94">
        <v>26.755251268539432</v>
      </c>
      <c r="O1439" s="94">
        <v>8.9221205981733434</v>
      </c>
    </row>
    <row r="1440" spans="1:15" x14ac:dyDescent="0.25">
      <c r="A1440" s="89">
        <v>45280.833333333336</v>
      </c>
      <c r="B1440" s="94">
        <v>360.17828825033428</v>
      </c>
      <c r="C1440" s="94">
        <v>301.05874451937001</v>
      </c>
      <c r="D1440" s="94">
        <v>48.072379527221599</v>
      </c>
      <c r="E1440" s="94">
        <v>3.8704787627926653</v>
      </c>
      <c r="F1440" s="94">
        <v>79.976262509539595</v>
      </c>
      <c r="G1440" s="94">
        <v>6.6744868810599307</v>
      </c>
      <c r="H1440" s="94">
        <v>50.448589065390429</v>
      </c>
      <c r="I1440" s="94">
        <v>10.203644414929006</v>
      </c>
      <c r="J1440" s="94">
        <v>6560.394075787196</v>
      </c>
      <c r="K1440" s="94">
        <v>2.8663035182528014</v>
      </c>
      <c r="L1440" s="94">
        <v>27.965832286129821</v>
      </c>
      <c r="M1440" s="94">
        <v>28.163805331925243</v>
      </c>
      <c r="N1440" s="94">
        <v>26.972424124665338</v>
      </c>
      <c r="O1440" s="94">
        <v>8.9945434759602385</v>
      </c>
    </row>
    <row r="1441" spans="1:15" x14ac:dyDescent="0.25">
      <c r="A1441" s="89">
        <v>45281.333333333336</v>
      </c>
      <c r="B1441" s="94">
        <v>360.17650316775234</v>
      </c>
      <c r="C1441" s="94">
        <v>301.06622269860253</v>
      </c>
      <c r="D1441" s="94">
        <v>48.448179983223142</v>
      </c>
      <c r="E1441" s="94">
        <v>3.9016416425752736</v>
      </c>
      <c r="F1441" s="94">
        <v>79.997006359197556</v>
      </c>
      <c r="G1441" s="94">
        <v>6.6717853555497832</v>
      </c>
      <c r="H1441" s="94">
        <v>50.845133740691786</v>
      </c>
      <c r="I1441" s="94">
        <v>10.285794310250495</v>
      </c>
      <c r="J1441" s="94">
        <v>6603.9655435418445</v>
      </c>
      <c r="K1441" s="94">
        <v>2.8736890186143738</v>
      </c>
      <c r="L1441" s="94">
        <v>28.182958794037251</v>
      </c>
      <c r="M1441" s="94">
        <v>28.390565529538971</v>
      </c>
      <c r="N1441" s="94">
        <v>27.189596980791244</v>
      </c>
      <c r="O1441" s="94">
        <v>9.0669663537471372</v>
      </c>
    </row>
    <row r="1442" spans="1:15" x14ac:dyDescent="0.25">
      <c r="A1442" s="89">
        <v>45281.833333333336</v>
      </c>
      <c r="B1442" s="94">
        <v>360.17471808517047</v>
      </c>
      <c r="C1442" s="94">
        <v>301.07370087783505</v>
      </c>
      <c r="D1442" s="94">
        <v>48.823980439224684</v>
      </c>
      <c r="E1442" s="94">
        <v>3.9328045223578809</v>
      </c>
      <c r="F1442" s="94">
        <v>80.017750208855517</v>
      </c>
      <c r="G1442" s="94">
        <v>6.6690838300396349</v>
      </c>
      <c r="H1442" s="94">
        <v>51.241678415993142</v>
      </c>
      <c r="I1442" s="94">
        <v>10.367944205571984</v>
      </c>
      <c r="J1442" s="94">
        <v>6647.5370112964929</v>
      </c>
      <c r="K1442" s="94">
        <v>2.8810745189759457</v>
      </c>
      <c r="L1442" s="94">
        <v>28.400085301944685</v>
      </c>
      <c r="M1442" s="94">
        <v>28.617325727152696</v>
      </c>
      <c r="N1442" s="94">
        <v>27.40676983691715</v>
      </c>
      <c r="O1442" s="94">
        <v>9.1393892315340324</v>
      </c>
    </row>
    <row r="1443" spans="1:15" x14ac:dyDescent="0.25">
      <c r="A1443" s="89">
        <v>45282.333333333336</v>
      </c>
      <c r="B1443" s="94">
        <v>360.17293300258859</v>
      </c>
      <c r="C1443" s="94">
        <v>301.08117905706757</v>
      </c>
      <c r="D1443" s="94">
        <v>49.199780895226212</v>
      </c>
      <c r="E1443" s="94">
        <v>3.9639674021404891</v>
      </c>
      <c r="F1443" s="94">
        <v>80.038494058513479</v>
      </c>
      <c r="G1443" s="94">
        <v>6.6663823045294874</v>
      </c>
      <c r="H1443" s="94">
        <v>51.638223091294492</v>
      </c>
      <c r="I1443" s="94">
        <v>10.450094100893475</v>
      </c>
      <c r="J1443" s="94">
        <v>6691.1084790511422</v>
      </c>
      <c r="K1443" s="94">
        <v>2.8884600193375181</v>
      </c>
      <c r="L1443" s="94">
        <v>28.617211809852112</v>
      </c>
      <c r="M1443" s="94">
        <v>28.844085924766421</v>
      </c>
      <c r="N1443" s="94">
        <v>27.623942693043055</v>
      </c>
      <c r="O1443" s="94">
        <v>9.2118121093209311</v>
      </c>
    </row>
    <row r="1444" spans="1:15" x14ac:dyDescent="0.25">
      <c r="A1444" s="89">
        <v>45282.833333333336</v>
      </c>
      <c r="B1444" s="94">
        <v>360.17114792000666</v>
      </c>
      <c r="C1444" s="94">
        <v>301.08865723630009</v>
      </c>
      <c r="D1444" s="94">
        <v>49.575581351227754</v>
      </c>
      <c r="E1444" s="94">
        <v>3.9951302819230974</v>
      </c>
      <c r="F1444" s="94">
        <v>80.05923790817144</v>
      </c>
      <c r="G1444" s="94">
        <v>6.6636807790193391</v>
      </c>
      <c r="H1444" s="94">
        <v>52.034767766595849</v>
      </c>
      <c r="I1444" s="94">
        <v>10.532243996214964</v>
      </c>
      <c r="J1444" s="94">
        <v>6734.6799468057907</v>
      </c>
      <c r="K1444" s="94">
        <v>2.8958455196990904</v>
      </c>
      <c r="L1444" s="94">
        <v>28.834338317759546</v>
      </c>
      <c r="M1444" s="94">
        <v>29.070846122380146</v>
      </c>
      <c r="N1444" s="94">
        <v>27.841115549168961</v>
      </c>
      <c r="O1444" s="94">
        <v>9.284234987107828</v>
      </c>
    </row>
    <row r="1445" spans="1:15" x14ac:dyDescent="0.25">
      <c r="A1445" s="89">
        <v>45283.333333333336</v>
      </c>
      <c r="B1445" s="94">
        <v>360.16936283742479</v>
      </c>
      <c r="C1445" s="94">
        <v>301.09613541553261</v>
      </c>
      <c r="D1445" s="94">
        <v>49.951381807229296</v>
      </c>
      <c r="E1445" s="94">
        <v>4.0262931617057047</v>
      </c>
      <c r="F1445" s="94">
        <v>80.079981757829401</v>
      </c>
      <c r="G1445" s="94">
        <v>6.6609792535091916</v>
      </c>
      <c r="H1445" s="94">
        <v>52.431312441897198</v>
      </c>
      <c r="I1445" s="94">
        <v>10.614393891536453</v>
      </c>
      <c r="J1445" s="94">
        <v>6778.2514145604391</v>
      </c>
      <c r="K1445" s="94">
        <v>2.9032310200606624</v>
      </c>
      <c r="L1445" s="94">
        <v>29.051464825666972</v>
      </c>
      <c r="M1445" s="94">
        <v>29.297606319993871</v>
      </c>
      <c r="N1445" s="94">
        <v>28.058288405294867</v>
      </c>
      <c r="O1445" s="94">
        <v>9.356657864894725</v>
      </c>
    </row>
    <row r="1446" spans="1:15" x14ac:dyDescent="0.25">
      <c r="A1446" s="89">
        <v>45283.833333333336</v>
      </c>
      <c r="B1446" s="94">
        <v>360.16757775484291</v>
      </c>
      <c r="C1446" s="94">
        <v>301.10361359476514</v>
      </c>
      <c r="D1446" s="94">
        <v>50.327182263230839</v>
      </c>
      <c r="E1446" s="94">
        <v>4.0574560414883134</v>
      </c>
      <c r="F1446" s="94">
        <v>80.100725607487362</v>
      </c>
      <c r="G1446" s="94">
        <v>6.6582777279990433</v>
      </c>
      <c r="H1446" s="94">
        <v>52.827857117198555</v>
      </c>
      <c r="I1446" s="94">
        <v>10.696543786857942</v>
      </c>
      <c r="J1446" s="94">
        <v>6821.8228823150885</v>
      </c>
      <c r="K1446" s="94">
        <v>2.9106165204222347</v>
      </c>
      <c r="L1446" s="94">
        <v>29.268591333574406</v>
      </c>
      <c r="M1446" s="94">
        <v>29.524366517607596</v>
      </c>
      <c r="N1446" s="94">
        <v>28.275461261420773</v>
      </c>
      <c r="O1446" s="94">
        <v>9.4290807426816219</v>
      </c>
    </row>
    <row r="1447" spans="1:15" x14ac:dyDescent="0.25">
      <c r="A1447" s="89">
        <v>45284.333333333336</v>
      </c>
      <c r="B1447" s="94">
        <v>360.16579267226098</v>
      </c>
      <c r="C1447" s="94">
        <v>301.11109177399771</v>
      </c>
      <c r="D1447" s="94">
        <v>50.702982719232374</v>
      </c>
      <c r="E1447" s="94">
        <v>4.0886189212709212</v>
      </c>
      <c r="F1447" s="94">
        <v>80.121469457145324</v>
      </c>
      <c r="G1447" s="94">
        <v>6.6555762024888958</v>
      </c>
      <c r="H1447" s="94">
        <v>53.224401792499911</v>
      </c>
      <c r="I1447" s="94">
        <v>10.778693682179433</v>
      </c>
      <c r="J1447" s="94">
        <v>6865.3943500697369</v>
      </c>
      <c r="K1447" s="94">
        <v>2.9180020207838067</v>
      </c>
      <c r="L1447" s="94">
        <v>29.485717841481836</v>
      </c>
      <c r="M1447" s="94">
        <v>29.751126715221321</v>
      </c>
      <c r="N1447" s="94">
        <v>28.492634117546679</v>
      </c>
      <c r="O1447" s="94">
        <v>9.5015036204685188</v>
      </c>
    </row>
    <row r="1448" spans="1:15" x14ac:dyDescent="0.25">
      <c r="A1448" s="89">
        <v>45284.833333333336</v>
      </c>
      <c r="B1448" s="94">
        <v>360.1640075896791</v>
      </c>
      <c r="C1448" s="94">
        <v>301.11856995323024</v>
      </c>
      <c r="D1448" s="94">
        <v>51.078783175233916</v>
      </c>
      <c r="E1448" s="94">
        <v>4.1197818010535299</v>
      </c>
      <c r="F1448" s="94">
        <v>80.142213306803285</v>
      </c>
      <c r="G1448" s="94">
        <v>6.6528746769787483</v>
      </c>
      <c r="H1448" s="94">
        <v>53.620946467801261</v>
      </c>
      <c r="I1448" s="94">
        <v>10.860843577500923</v>
      </c>
      <c r="J1448" s="94">
        <v>6908.9658178243862</v>
      </c>
      <c r="K1448" s="94">
        <v>2.925387521145379</v>
      </c>
      <c r="L1448" s="94">
        <v>29.702844349389263</v>
      </c>
      <c r="M1448" s="94">
        <v>29.977886912835046</v>
      </c>
      <c r="N1448" s="94">
        <v>28.709806973672585</v>
      </c>
      <c r="O1448" s="94">
        <v>9.5739264982554158</v>
      </c>
    </row>
    <row r="1449" spans="1:15" x14ac:dyDescent="0.25">
      <c r="A1449" s="89">
        <v>45285.333333333336</v>
      </c>
      <c r="B1449" s="94">
        <v>360.16222250709723</v>
      </c>
      <c r="C1449" s="94">
        <v>301.12604813246276</v>
      </c>
      <c r="D1449" s="94">
        <v>51.454583631235458</v>
      </c>
      <c r="E1449" s="94">
        <v>4.1509446808361368</v>
      </c>
      <c r="F1449" s="94">
        <v>80.162957156461246</v>
      </c>
      <c r="G1449" s="94">
        <v>6.6501731514686</v>
      </c>
      <c r="H1449" s="94">
        <v>54.017491143102617</v>
      </c>
      <c r="I1449" s="94">
        <v>10.942993472822414</v>
      </c>
      <c r="J1449" s="94">
        <v>6952.5372855790347</v>
      </c>
      <c r="K1449" s="94">
        <v>2.932773021506951</v>
      </c>
      <c r="L1449" s="94">
        <v>29.919970857296697</v>
      </c>
      <c r="M1449" s="94">
        <v>30.204647110448771</v>
      </c>
      <c r="N1449" s="94">
        <v>28.926979829798491</v>
      </c>
      <c r="O1449" s="94">
        <v>9.6463493760423127</v>
      </c>
    </row>
    <row r="1450" spans="1:15" x14ac:dyDescent="0.25">
      <c r="A1450" s="89">
        <v>45285.833333333336</v>
      </c>
      <c r="B1450" s="94">
        <v>360.16043742451529</v>
      </c>
      <c r="C1450" s="94">
        <v>301.13352631169528</v>
      </c>
      <c r="D1450" s="94">
        <v>51.830384087237</v>
      </c>
      <c r="E1450" s="94">
        <v>4.1821075606187454</v>
      </c>
      <c r="F1450" s="94">
        <v>80.183701006119207</v>
      </c>
      <c r="G1450" s="94">
        <v>6.6474716259584525</v>
      </c>
      <c r="H1450" s="94">
        <v>54.414035818403974</v>
      </c>
      <c r="I1450" s="94">
        <v>11.025143368143901</v>
      </c>
      <c r="J1450" s="94">
        <v>6996.108753333684</v>
      </c>
      <c r="K1450" s="94">
        <v>2.9401585218685233</v>
      </c>
      <c r="L1450" s="94">
        <v>30.137097365204124</v>
      </c>
      <c r="M1450" s="94">
        <v>30.431407308062496</v>
      </c>
      <c r="N1450" s="94">
        <v>29.144152685924396</v>
      </c>
      <c r="O1450" s="94">
        <v>9.7187722538292096</v>
      </c>
    </row>
    <row r="1451" spans="1:15" x14ac:dyDescent="0.25">
      <c r="A1451" s="89">
        <v>45286.333333333336</v>
      </c>
      <c r="B1451" s="94">
        <v>360.15865234193342</v>
      </c>
      <c r="C1451" s="94">
        <v>301.1410044909278</v>
      </c>
      <c r="D1451" s="94">
        <v>52.206184543238535</v>
      </c>
      <c r="E1451" s="94">
        <v>4.2132704404013532</v>
      </c>
      <c r="F1451" s="94">
        <v>80.204444855777183</v>
      </c>
      <c r="G1451" s="94">
        <v>6.6447701004483042</v>
      </c>
      <c r="H1451" s="94">
        <v>54.810580493705324</v>
      </c>
      <c r="I1451" s="94">
        <v>11.107293263465392</v>
      </c>
      <c r="J1451" s="94">
        <v>7039.6802210883325</v>
      </c>
      <c r="K1451" s="94">
        <v>2.9475440222300953</v>
      </c>
      <c r="L1451" s="94">
        <v>30.354223873111557</v>
      </c>
      <c r="M1451" s="94">
        <v>30.658167505676222</v>
      </c>
      <c r="N1451" s="94">
        <v>29.361325542050302</v>
      </c>
      <c r="O1451" s="94">
        <v>9.7911951316161083</v>
      </c>
    </row>
    <row r="1452" spans="1:15" x14ac:dyDescent="0.25">
      <c r="A1452" s="89">
        <v>45286.833333333336</v>
      </c>
      <c r="B1452" s="94">
        <v>360.15686725935154</v>
      </c>
      <c r="C1452" s="94">
        <v>301.14848267016032</v>
      </c>
      <c r="D1452" s="94">
        <v>52.581984999240078</v>
      </c>
      <c r="E1452" s="94">
        <v>4.2444333201839619</v>
      </c>
      <c r="F1452" s="94">
        <v>80.225188705435144</v>
      </c>
      <c r="G1452" s="94">
        <v>6.6420685749381567</v>
      </c>
      <c r="H1452" s="94">
        <v>55.20712516900668</v>
      </c>
      <c r="I1452" s="94">
        <v>11.189443158786881</v>
      </c>
      <c r="J1452" s="94">
        <v>7083.2516888429809</v>
      </c>
      <c r="K1452" s="94">
        <v>2.9549295225916676</v>
      </c>
      <c r="L1452" s="94">
        <v>30.571350381018984</v>
      </c>
      <c r="M1452" s="94">
        <v>30.88492770328995</v>
      </c>
      <c r="N1452" s="94">
        <v>29.578498398176205</v>
      </c>
      <c r="O1452" s="94">
        <v>9.8636180094030053</v>
      </c>
    </row>
    <row r="1453" spans="1:15" x14ac:dyDescent="0.25">
      <c r="A1453" s="89">
        <v>45287.333333333336</v>
      </c>
      <c r="B1453" s="94">
        <v>360.15508217676961</v>
      </c>
      <c r="C1453" s="94">
        <v>301.15596084939284</v>
      </c>
      <c r="D1453" s="94">
        <v>52.95778545524162</v>
      </c>
      <c r="E1453" s="94">
        <v>4.2755961999665688</v>
      </c>
      <c r="F1453" s="94">
        <v>80.245932555093106</v>
      </c>
      <c r="G1453" s="94">
        <v>6.6393670494280084</v>
      </c>
      <c r="H1453" s="94">
        <v>55.603669844308037</v>
      </c>
      <c r="I1453" s="94">
        <v>11.27159305410837</v>
      </c>
      <c r="J1453" s="94">
        <v>7126.8231565976293</v>
      </c>
      <c r="K1453" s="94">
        <v>2.9623150229532396</v>
      </c>
      <c r="L1453" s="94">
        <v>30.788476888926418</v>
      </c>
      <c r="M1453" s="94">
        <v>31.111687900903675</v>
      </c>
      <c r="N1453" s="94">
        <v>29.79567125430211</v>
      </c>
      <c r="O1453" s="94">
        <v>9.9360408871899022</v>
      </c>
    </row>
    <row r="1454" spans="1:15" x14ac:dyDescent="0.25">
      <c r="A1454" s="89">
        <v>45287.833333333336</v>
      </c>
      <c r="B1454" s="94">
        <v>360.15329709418774</v>
      </c>
      <c r="C1454" s="94">
        <v>301.16343902862542</v>
      </c>
      <c r="D1454" s="94">
        <v>53.333585911243162</v>
      </c>
      <c r="E1454" s="94">
        <v>4.3067590797491775</v>
      </c>
      <c r="F1454" s="94">
        <v>80.266676404751067</v>
      </c>
      <c r="G1454" s="94">
        <v>6.6366655239178609</v>
      </c>
      <c r="H1454" s="94">
        <v>56.000214519609386</v>
      </c>
      <c r="I1454" s="94">
        <v>11.35374294942986</v>
      </c>
      <c r="J1454" s="94">
        <v>7170.3946243522787</v>
      </c>
      <c r="K1454" s="94">
        <v>2.9697005233148119</v>
      </c>
      <c r="L1454" s="94">
        <v>31.005603396833848</v>
      </c>
      <c r="M1454" s="94">
        <v>31.3384480985174</v>
      </c>
      <c r="N1454" s="94">
        <v>30.012844110428016</v>
      </c>
      <c r="O1454" s="94">
        <v>10.008463764976799</v>
      </c>
    </row>
    <row r="1455" spans="1:15" x14ac:dyDescent="0.25">
      <c r="A1455" s="89">
        <v>45288.333333333336</v>
      </c>
      <c r="B1455" s="94">
        <v>360.15151201160586</v>
      </c>
      <c r="C1455" s="94">
        <v>301.17091720785794</v>
      </c>
      <c r="D1455" s="94">
        <v>53.709386367244697</v>
      </c>
      <c r="E1455" s="94">
        <v>4.3379219595317853</v>
      </c>
      <c r="F1455" s="94">
        <v>80.287420254409028</v>
      </c>
      <c r="G1455" s="94">
        <v>6.6339639984077134</v>
      </c>
      <c r="H1455" s="94">
        <v>56.396759194910743</v>
      </c>
      <c r="I1455" s="94">
        <v>11.435892844751349</v>
      </c>
      <c r="J1455" s="94">
        <v>7213.9660921069271</v>
      </c>
      <c r="K1455" s="94">
        <v>2.9770860236763839</v>
      </c>
      <c r="L1455" s="94">
        <v>31.222729904741279</v>
      </c>
      <c r="M1455" s="94">
        <v>31.565208296131129</v>
      </c>
      <c r="N1455" s="94">
        <v>30.230016966553922</v>
      </c>
      <c r="O1455" s="94">
        <v>10.080886642763696</v>
      </c>
    </row>
    <row r="1456" spans="1:15" x14ac:dyDescent="0.25">
      <c r="A1456" s="89">
        <v>45288.833333333336</v>
      </c>
      <c r="B1456" s="94">
        <v>360.14972692902393</v>
      </c>
      <c r="C1456" s="94">
        <v>301.17839538709046</v>
      </c>
      <c r="D1456" s="94">
        <v>54.085186823246239</v>
      </c>
      <c r="E1456" s="94">
        <v>4.3690848393143931</v>
      </c>
      <c r="F1456" s="94">
        <v>80.308164104066989</v>
      </c>
      <c r="G1456" s="94">
        <v>6.6312624728975651</v>
      </c>
      <c r="H1456" s="94">
        <v>56.7933038702121</v>
      </c>
      <c r="I1456" s="94">
        <v>11.51804274007284</v>
      </c>
      <c r="J1456" s="94">
        <v>7257.5375598615756</v>
      </c>
      <c r="K1456" s="94">
        <v>2.9844715240379562</v>
      </c>
      <c r="L1456" s="94">
        <v>31.439856412648709</v>
      </c>
      <c r="M1456" s="94">
        <v>31.791968493744854</v>
      </c>
      <c r="N1456" s="94">
        <v>30.447189822679828</v>
      </c>
      <c r="O1456" s="94">
        <v>10.153309520550595</v>
      </c>
    </row>
    <row r="1457" spans="1:15" x14ac:dyDescent="0.25">
      <c r="A1457" s="89">
        <v>45289.333333333336</v>
      </c>
      <c r="B1457" s="94">
        <v>360.14794184644205</v>
      </c>
      <c r="C1457" s="94">
        <v>301.18587356632298</v>
      </c>
      <c r="D1457" s="94">
        <v>54.460987279247782</v>
      </c>
      <c r="E1457" s="94">
        <v>4.4002477190970009</v>
      </c>
      <c r="F1457" s="94">
        <v>80.328907953724951</v>
      </c>
      <c r="G1457" s="94">
        <v>6.6285609473874176</v>
      </c>
      <c r="H1457" s="94">
        <v>57.189848545513449</v>
      </c>
      <c r="I1457" s="94">
        <v>11.600192635394329</v>
      </c>
      <c r="J1457" s="94">
        <v>7301.1090276162258</v>
      </c>
      <c r="K1457" s="94">
        <v>2.9918570243995282</v>
      </c>
      <c r="L1457" s="94">
        <v>31.656982920556135</v>
      </c>
      <c r="M1457" s="94">
        <v>32.018728691358582</v>
      </c>
      <c r="N1457" s="94">
        <v>30.664362678805734</v>
      </c>
      <c r="O1457" s="94">
        <v>10.22573239833749</v>
      </c>
    </row>
    <row r="1458" spans="1:15" x14ac:dyDescent="0.25">
      <c r="A1458" s="89">
        <v>45289.833333333336</v>
      </c>
      <c r="B1458" s="94">
        <v>360.14615676386018</v>
      </c>
      <c r="C1458" s="94">
        <v>301.1933517455555</v>
      </c>
      <c r="D1458" s="94">
        <v>54.836787735249324</v>
      </c>
      <c r="E1458" s="94">
        <v>4.4314105988796095</v>
      </c>
      <c r="F1458" s="94">
        <v>80.349651803382912</v>
      </c>
      <c r="G1458" s="94">
        <v>6.6258594218772693</v>
      </c>
      <c r="H1458" s="94">
        <v>57.586393220814806</v>
      </c>
      <c r="I1458" s="94">
        <v>11.682342530715818</v>
      </c>
      <c r="J1458" s="94">
        <v>7344.6804953708743</v>
      </c>
      <c r="K1458" s="94">
        <v>2.9992425247611005</v>
      </c>
      <c r="L1458" s="94">
        <v>31.874109428463569</v>
      </c>
      <c r="M1458" s="94">
        <v>32.245488888972304</v>
      </c>
      <c r="N1458" s="94">
        <v>30.88153553493164</v>
      </c>
      <c r="O1458" s="94">
        <v>10.298155276124389</v>
      </c>
    </row>
    <row r="1459" spans="1:15" x14ac:dyDescent="0.25">
      <c r="A1459" s="89">
        <v>45290.333333333336</v>
      </c>
      <c r="B1459" s="94">
        <v>360.14437168127824</v>
      </c>
      <c r="C1459" s="94">
        <v>301.20082992478802</v>
      </c>
      <c r="D1459" s="94">
        <v>55.212588191250859</v>
      </c>
      <c r="E1459" s="94">
        <v>4.4625734786622173</v>
      </c>
      <c r="F1459" s="94">
        <v>80.370395653040873</v>
      </c>
      <c r="G1459" s="94">
        <v>6.6231578963671218</v>
      </c>
      <c r="H1459" s="94">
        <v>57.982937896116162</v>
      </c>
      <c r="I1459" s="94">
        <v>11.764492426037307</v>
      </c>
      <c r="J1459" s="94">
        <v>7388.2519631255227</v>
      </c>
      <c r="K1459" s="94">
        <v>3.0066280251226729</v>
      </c>
      <c r="L1459" s="94">
        <v>32.091235936371007</v>
      </c>
      <c r="M1459" s="94">
        <v>32.472249086586032</v>
      </c>
      <c r="N1459" s="94">
        <v>31.098708391057546</v>
      </c>
      <c r="O1459" s="94">
        <v>10.370578153911284</v>
      </c>
    </row>
    <row r="1460" spans="1:15" x14ac:dyDescent="0.25">
      <c r="A1460" s="89">
        <v>45290.833333333336</v>
      </c>
      <c r="B1460" s="94">
        <v>360.14258659869637</v>
      </c>
      <c r="C1460" s="94">
        <v>301.20830810402055</v>
      </c>
      <c r="D1460" s="94">
        <v>55.588388647252401</v>
      </c>
      <c r="E1460" s="94">
        <v>4.4937363584448251</v>
      </c>
      <c r="F1460" s="94">
        <v>80.391139502698834</v>
      </c>
      <c r="G1460" s="94">
        <v>6.6204563708569735</v>
      </c>
      <c r="H1460" s="94">
        <v>58.379482571417512</v>
      </c>
      <c r="I1460" s="94">
        <v>11.846642321358798</v>
      </c>
      <c r="J1460" s="94">
        <v>7431.8234308801711</v>
      </c>
      <c r="K1460" s="94">
        <v>3.0140135254842448</v>
      </c>
      <c r="L1460" s="94">
        <v>32.30836244427843</v>
      </c>
      <c r="M1460" s="94">
        <v>32.699009284199754</v>
      </c>
      <c r="N1460" s="94">
        <v>31.315881247183452</v>
      </c>
      <c r="O1460" s="94">
        <v>10.443001031698183</v>
      </c>
    </row>
    <row r="1461" spans="1:15" x14ac:dyDescent="0.25">
      <c r="A1461" s="89">
        <v>45291.333333333336</v>
      </c>
      <c r="B1461" s="94">
        <v>360.14080151611449</v>
      </c>
      <c r="C1461" s="94">
        <v>301.21578628325312</v>
      </c>
      <c r="D1461" s="94">
        <v>55.964189103253943</v>
      </c>
      <c r="E1461" s="94">
        <v>4.5248992382274329</v>
      </c>
      <c r="F1461" s="94">
        <v>80.411883352356796</v>
      </c>
      <c r="G1461" s="94">
        <v>6.617754845346826</v>
      </c>
      <c r="H1461" s="94">
        <v>58.776027246718868</v>
      </c>
      <c r="I1461" s="94">
        <v>11.928792216680288</v>
      </c>
      <c r="J1461" s="94">
        <v>7475.3948986348205</v>
      </c>
      <c r="K1461" s="94">
        <v>3.0213990258458168</v>
      </c>
      <c r="L1461" s="94">
        <v>32.52548895218586</v>
      </c>
      <c r="M1461" s="94">
        <v>32.925769481813482</v>
      </c>
      <c r="N1461" s="94">
        <v>31.533054103309357</v>
      </c>
      <c r="O1461" s="94">
        <v>10.515423909485079</v>
      </c>
    </row>
    <row r="1462" spans="1:15" x14ac:dyDescent="0.25">
      <c r="A1462" s="89">
        <v>45291.833333333336</v>
      </c>
      <c r="B1462" s="94">
        <v>360.13901643353256</v>
      </c>
      <c r="C1462" s="94">
        <v>301.22326446248564</v>
      </c>
      <c r="D1462" s="94">
        <v>56.339989559255486</v>
      </c>
      <c r="E1462" s="94">
        <v>4.5560621180100416</v>
      </c>
      <c r="F1462" s="94">
        <v>80.432627202014757</v>
      </c>
      <c r="G1462" s="94">
        <v>6.6150533198366777</v>
      </c>
      <c r="H1462" s="94">
        <v>59.172571922020225</v>
      </c>
      <c r="I1462" s="94">
        <v>12.010942112001777</v>
      </c>
      <c r="J1462" s="94">
        <v>7518.9663663894689</v>
      </c>
      <c r="K1462" s="94">
        <v>3.0287845262073891</v>
      </c>
      <c r="L1462" s="94">
        <v>32.74261546009329</v>
      </c>
      <c r="M1462" s="94">
        <v>33.152529679427204</v>
      </c>
      <c r="N1462" s="94">
        <v>31.750226959435263</v>
      </c>
      <c r="O1462" s="94">
        <v>10.587846787271976</v>
      </c>
    </row>
    <row r="1463" spans="1:15" x14ac:dyDescent="0.25">
      <c r="A1463" s="89">
        <v>45292.333333333336</v>
      </c>
      <c r="B1463" s="94">
        <v>360.13723135095069</v>
      </c>
      <c r="C1463" s="94">
        <v>301.23074264171817</v>
      </c>
      <c r="D1463" s="94">
        <v>56.715790015257021</v>
      </c>
      <c r="E1463" s="94">
        <v>4.5872249977926494</v>
      </c>
      <c r="F1463" s="94">
        <v>80.453371051672718</v>
      </c>
      <c r="G1463" s="94">
        <v>6.6123517943265302</v>
      </c>
      <c r="H1463" s="94">
        <v>59.569116597321575</v>
      </c>
      <c r="I1463" s="94">
        <v>12.093092007323266</v>
      </c>
      <c r="J1463" s="94">
        <v>7562.5378341441174</v>
      </c>
      <c r="K1463" s="94">
        <v>3.0361700265689615</v>
      </c>
      <c r="L1463" s="94">
        <v>32.959741968000721</v>
      </c>
      <c r="M1463" s="94">
        <v>33.379289877040932</v>
      </c>
      <c r="N1463" s="94">
        <v>31.967399815561169</v>
      </c>
      <c r="O1463" s="94">
        <v>10.660269665058873</v>
      </c>
    </row>
    <row r="1464" spans="1:15" x14ac:dyDescent="0.25">
      <c r="A1464" s="89">
        <v>45292.833333333336</v>
      </c>
      <c r="B1464" s="94">
        <v>360.13544626836881</v>
      </c>
      <c r="C1464" s="94">
        <v>301.23822082095069</v>
      </c>
      <c r="D1464" s="94">
        <v>57.091590471258563</v>
      </c>
      <c r="E1464" s="94">
        <v>4.6183878775752571</v>
      </c>
      <c r="F1464" s="94">
        <v>80.47411490133068</v>
      </c>
      <c r="G1464" s="94">
        <v>6.6096502688163827</v>
      </c>
      <c r="H1464" s="94">
        <v>59.965661272622931</v>
      </c>
      <c r="I1464" s="94">
        <v>12.175241902644757</v>
      </c>
      <c r="J1464" s="94">
        <v>7606.1093018987658</v>
      </c>
      <c r="K1464" s="94">
        <v>3.0435555269305334</v>
      </c>
      <c r="L1464" s="94">
        <v>33.176868475908151</v>
      </c>
      <c r="M1464" s="94">
        <v>33.606050074654661</v>
      </c>
      <c r="N1464" s="94">
        <v>32.184572671687071</v>
      </c>
      <c r="O1464" s="94">
        <v>10.73269254284577</v>
      </c>
    </row>
    <row r="1465" spans="1:15" x14ac:dyDescent="0.25">
      <c r="A1465" s="89">
        <v>45293.333333333336</v>
      </c>
      <c r="B1465" s="94">
        <v>360.13366118578688</v>
      </c>
      <c r="C1465" s="94">
        <v>301.24569900018321</v>
      </c>
      <c r="D1465" s="94">
        <v>57.467390927260105</v>
      </c>
      <c r="E1465" s="94">
        <v>4.6495507573578649</v>
      </c>
      <c r="F1465" s="94">
        <v>80.494858750988641</v>
      </c>
      <c r="G1465" s="94">
        <v>6.6069487433062344</v>
      </c>
      <c r="H1465" s="94">
        <v>60.362205947924288</v>
      </c>
      <c r="I1465" s="94">
        <v>12.257391797966246</v>
      </c>
      <c r="J1465" s="94">
        <v>7649.6807696534161</v>
      </c>
      <c r="K1465" s="94">
        <v>3.0509410272921054</v>
      </c>
      <c r="L1465" s="94">
        <v>33.393994983815581</v>
      </c>
      <c r="M1465" s="94">
        <v>33.832810272268382</v>
      </c>
      <c r="N1465" s="94">
        <v>32.401745527812977</v>
      </c>
      <c r="O1465" s="94">
        <v>10.805115420632667</v>
      </c>
    </row>
    <row r="1466" spans="1:15" x14ac:dyDescent="0.25">
      <c r="A1466" s="89">
        <v>45293.833333333336</v>
      </c>
      <c r="B1466" s="94">
        <v>360.131876103205</v>
      </c>
      <c r="C1466" s="94">
        <v>301.25317717941573</v>
      </c>
      <c r="D1466" s="94">
        <v>57.843191383261647</v>
      </c>
      <c r="E1466" s="94">
        <v>4.6807136371404736</v>
      </c>
      <c r="F1466" s="94">
        <v>80.515602600646616</v>
      </c>
      <c r="G1466" s="94">
        <v>6.6042472177960869</v>
      </c>
      <c r="H1466" s="94">
        <v>60.758750623225637</v>
      </c>
      <c r="I1466" s="94">
        <v>12.339541693287734</v>
      </c>
      <c r="J1466" s="94">
        <v>7693.2522374080645</v>
      </c>
      <c r="K1466" s="94">
        <v>3.0583265276536777</v>
      </c>
      <c r="L1466" s="94">
        <v>33.611121491723011</v>
      </c>
      <c r="M1466" s="94">
        <v>34.059570469882111</v>
      </c>
      <c r="N1466" s="94">
        <v>32.618918383938883</v>
      </c>
      <c r="O1466" s="94">
        <v>10.877538298419566</v>
      </c>
    </row>
    <row r="1467" spans="1:15" x14ac:dyDescent="0.25">
      <c r="A1467" s="89">
        <v>45294.333333333336</v>
      </c>
      <c r="B1467" s="94">
        <v>360.13009102062313</v>
      </c>
      <c r="C1467" s="94">
        <v>301.26065535864825</v>
      </c>
      <c r="D1467" s="94">
        <v>58.21899183926319</v>
      </c>
      <c r="E1467" s="94">
        <v>4.7118765169230805</v>
      </c>
      <c r="F1467" s="94">
        <v>80.536346450304578</v>
      </c>
      <c r="G1467" s="94">
        <v>6.6015456922859386</v>
      </c>
      <c r="H1467" s="94">
        <v>61.155295298526994</v>
      </c>
      <c r="I1467" s="94">
        <v>12.421691588609225</v>
      </c>
      <c r="J1467" s="94">
        <v>7736.8237051627129</v>
      </c>
      <c r="K1467" s="94">
        <v>3.0657120280152501</v>
      </c>
      <c r="L1467" s="94">
        <v>33.828247999630442</v>
      </c>
      <c r="M1467" s="94">
        <v>34.286330667495832</v>
      </c>
      <c r="N1467" s="94">
        <v>32.836091240064789</v>
      </c>
      <c r="O1467" s="94">
        <v>10.949961176206461</v>
      </c>
    </row>
    <row r="1468" spans="1:15" x14ac:dyDescent="0.25">
      <c r="A1468" s="89">
        <v>45294.833333333336</v>
      </c>
      <c r="B1468" s="94">
        <v>360.12830593804119</v>
      </c>
      <c r="C1468" s="94">
        <v>301.26813353788083</v>
      </c>
      <c r="D1468" s="94">
        <v>58.594792295264718</v>
      </c>
      <c r="E1468" s="94">
        <v>4.7430393967056892</v>
      </c>
      <c r="F1468" s="94">
        <v>80.557090299962539</v>
      </c>
      <c r="G1468" s="94">
        <v>6.5988441667757911</v>
      </c>
      <c r="H1468" s="94">
        <v>61.551839973828351</v>
      </c>
      <c r="I1468" s="94">
        <v>12.503841483930714</v>
      </c>
      <c r="J1468" s="94">
        <v>7780.3951729173623</v>
      </c>
      <c r="K1468" s="94">
        <v>3.073097528376822</v>
      </c>
      <c r="L1468" s="94">
        <v>34.045374507537872</v>
      </c>
      <c r="M1468" s="94">
        <v>34.513090865109561</v>
      </c>
      <c r="N1468" s="94">
        <v>33.053264096190695</v>
      </c>
      <c r="O1468" s="94">
        <v>11.02238405399336</v>
      </c>
    </row>
    <row r="1469" spans="1:15" x14ac:dyDescent="0.25">
      <c r="A1469" s="89">
        <v>45295.333333333336</v>
      </c>
      <c r="B1469" s="94">
        <v>360.12652085545932</v>
      </c>
      <c r="C1469" s="94">
        <v>301.27561171711335</v>
      </c>
      <c r="D1469" s="94">
        <v>58.97059275126626</v>
      </c>
      <c r="E1469" s="94">
        <v>4.774202276488297</v>
      </c>
      <c r="F1469" s="94">
        <v>80.5778341496205</v>
      </c>
      <c r="G1469" s="94">
        <v>6.5961426412656428</v>
      </c>
      <c r="H1469" s="94">
        <v>61.9483846491297</v>
      </c>
      <c r="I1469" s="94">
        <v>12.585991379252205</v>
      </c>
      <c r="J1469" s="94">
        <v>7823.9666406720107</v>
      </c>
      <c r="K1469" s="94">
        <v>3.080483028738394</v>
      </c>
      <c r="L1469" s="94">
        <v>34.262501015445302</v>
      </c>
      <c r="M1469" s="94">
        <v>34.739851062723282</v>
      </c>
      <c r="N1469" s="94">
        <v>33.270436952316594</v>
      </c>
      <c r="O1469" s="94">
        <v>11.094806931780255</v>
      </c>
    </row>
    <row r="1470" spans="1:15" x14ac:dyDescent="0.25">
      <c r="A1470" s="89">
        <v>45295.833333333336</v>
      </c>
      <c r="B1470" s="94">
        <v>360.12473577287744</v>
      </c>
      <c r="C1470" s="94">
        <v>301.28308989634587</v>
      </c>
      <c r="D1470" s="94">
        <v>59.346393207267802</v>
      </c>
      <c r="E1470" s="94">
        <v>4.8053651562709057</v>
      </c>
      <c r="F1470" s="94">
        <v>80.598577999278461</v>
      </c>
      <c r="G1470" s="94">
        <v>6.5934411157554953</v>
      </c>
      <c r="H1470" s="94">
        <v>62.344929324431057</v>
      </c>
      <c r="I1470" s="94">
        <v>12.668141274573694</v>
      </c>
      <c r="J1470" s="94">
        <v>7867.5381084266592</v>
      </c>
      <c r="K1470" s="94">
        <v>3.0878685290999663</v>
      </c>
      <c r="L1470" s="94">
        <v>34.479627523352733</v>
      </c>
      <c r="M1470" s="94">
        <v>34.966611260337011</v>
      </c>
      <c r="N1470" s="94">
        <v>33.4876098084425</v>
      </c>
      <c r="O1470" s="94">
        <v>11.167229809567154</v>
      </c>
    </row>
    <row r="1471" spans="1:15" x14ac:dyDescent="0.25">
      <c r="A1471" s="89">
        <v>45296.333333333336</v>
      </c>
      <c r="B1471" s="94">
        <v>360.12295069029551</v>
      </c>
      <c r="C1471" s="94">
        <v>301.29056807557839</v>
      </c>
      <c r="D1471" s="94">
        <v>59.722193663269344</v>
      </c>
      <c r="E1471" s="94">
        <v>4.8365280360535126</v>
      </c>
      <c r="F1471" s="94">
        <v>80.619321848936423</v>
      </c>
      <c r="G1471" s="94">
        <v>6.5907395902453469</v>
      </c>
      <c r="H1471" s="94">
        <v>62.741473999732413</v>
      </c>
      <c r="I1471" s="94">
        <v>12.750291169895183</v>
      </c>
      <c r="J1471" s="94">
        <v>7911.1095761813076</v>
      </c>
      <c r="K1471" s="94">
        <v>3.0952540294615387</v>
      </c>
      <c r="L1471" s="94">
        <v>34.696754031260163</v>
      </c>
      <c r="M1471" s="94">
        <v>35.193371457950732</v>
      </c>
      <c r="N1471" s="94">
        <v>33.704782664568405</v>
      </c>
      <c r="O1471" s="94">
        <v>11.239652687354051</v>
      </c>
    </row>
    <row r="1472" spans="1:15" x14ac:dyDescent="0.25">
      <c r="A1472" s="89">
        <v>45296.833333333336</v>
      </c>
      <c r="B1472" s="94">
        <v>360.12116560771364</v>
      </c>
      <c r="C1472" s="94">
        <v>301.29804625481091</v>
      </c>
      <c r="D1472" s="94">
        <v>60.097994119270879</v>
      </c>
      <c r="E1472" s="94">
        <v>4.8676909158361212</v>
      </c>
      <c r="F1472" s="94">
        <v>80.640065698594384</v>
      </c>
      <c r="G1472" s="94">
        <v>6.5880380647351995</v>
      </c>
      <c r="H1472" s="94">
        <v>63.138018675033763</v>
      </c>
      <c r="I1472" s="94">
        <v>12.832441065216672</v>
      </c>
      <c r="J1472" s="94">
        <v>7954.6810439359579</v>
      </c>
      <c r="K1472" s="94">
        <v>3.1026395298231106</v>
      </c>
      <c r="L1472" s="94">
        <v>34.913880539167593</v>
      </c>
      <c r="M1472" s="94">
        <v>35.420131655564468</v>
      </c>
      <c r="N1472" s="94">
        <v>33.921955520694311</v>
      </c>
      <c r="O1472" s="94">
        <v>11.312075565140947</v>
      </c>
    </row>
    <row r="1473" spans="1:15" x14ac:dyDescent="0.25">
      <c r="A1473" s="89">
        <v>45297.333333333336</v>
      </c>
      <c r="B1473" s="94">
        <v>360.11938052513176</v>
      </c>
      <c r="C1473" s="94">
        <v>301.30552443404343</v>
      </c>
      <c r="D1473" s="94">
        <v>60.473794575272422</v>
      </c>
      <c r="E1473" s="94">
        <v>4.898853795618729</v>
      </c>
      <c r="F1473" s="94">
        <v>80.660809548252345</v>
      </c>
      <c r="G1473" s="94">
        <v>6.585336539225052</v>
      </c>
      <c r="H1473" s="94">
        <v>63.534563350335119</v>
      </c>
      <c r="I1473" s="94">
        <v>12.914590960538163</v>
      </c>
      <c r="J1473" s="94">
        <v>7998.2525116906063</v>
      </c>
      <c r="K1473" s="94">
        <v>3.110025030184683</v>
      </c>
      <c r="L1473" s="94">
        <v>35.131007047075023</v>
      </c>
      <c r="M1473" s="94">
        <v>35.64689185317819</v>
      </c>
      <c r="N1473" s="94">
        <v>34.139128376820217</v>
      </c>
      <c r="O1473" s="94">
        <v>11.384498442927844</v>
      </c>
    </row>
    <row r="1474" spans="1:15" x14ac:dyDescent="0.25">
      <c r="A1474" s="89">
        <v>45297.833333333336</v>
      </c>
      <c r="B1474" s="94">
        <v>360.11759544254983</v>
      </c>
      <c r="C1474" s="94">
        <v>301.31300261327596</v>
      </c>
      <c r="D1474" s="94">
        <v>60.849595031273964</v>
      </c>
      <c r="E1474" s="94">
        <v>4.9300166754013377</v>
      </c>
      <c r="F1474" s="94">
        <v>80.681553397910307</v>
      </c>
      <c r="G1474" s="94">
        <v>6.5826350137149037</v>
      </c>
      <c r="H1474" s="94">
        <v>63.931108025636476</v>
      </c>
      <c r="I1474" s="94">
        <v>12.996740855859652</v>
      </c>
      <c r="J1474" s="94">
        <v>8041.8239794452547</v>
      </c>
      <c r="K1474" s="94">
        <v>3.1174105305462549</v>
      </c>
      <c r="L1474" s="94">
        <v>35.348133554982454</v>
      </c>
      <c r="M1474" s="94">
        <v>35.873652050791918</v>
      </c>
      <c r="N1474" s="94">
        <v>34.356301232946123</v>
      </c>
      <c r="O1474" s="94">
        <v>11.456921320714741</v>
      </c>
    </row>
    <row r="1475" spans="1:15" x14ac:dyDescent="0.25">
      <c r="A1475" s="89">
        <v>45298.333333333336</v>
      </c>
      <c r="B1475" s="94">
        <v>360.11581035996795</v>
      </c>
      <c r="C1475" s="94">
        <v>301.32048079250853</v>
      </c>
      <c r="D1475" s="94">
        <v>61.225395487275506</v>
      </c>
      <c r="E1475" s="94">
        <v>4.9611795551839446</v>
      </c>
      <c r="F1475" s="94">
        <v>80.702297247568268</v>
      </c>
      <c r="G1475" s="94">
        <v>6.5799334882047562</v>
      </c>
      <c r="H1475" s="94">
        <v>64.327652700937819</v>
      </c>
      <c r="I1475" s="94">
        <v>13.078890751181142</v>
      </c>
      <c r="J1475" s="94">
        <v>8085.3954471999032</v>
      </c>
      <c r="K1475" s="94">
        <v>3.1247960309078273</v>
      </c>
      <c r="L1475" s="94">
        <v>35.565260062889884</v>
      </c>
      <c r="M1475" s="94">
        <v>36.10041224840564</v>
      </c>
      <c r="N1475" s="94">
        <v>34.573474089072029</v>
      </c>
      <c r="O1475" s="94">
        <v>11.529344198501638</v>
      </c>
    </row>
    <row r="1476" spans="1:15" x14ac:dyDescent="0.25">
      <c r="A1476" s="89">
        <v>45298.833333333336</v>
      </c>
      <c r="B1476" s="94">
        <v>360.11402527738608</v>
      </c>
      <c r="C1476" s="94">
        <v>301.32795897174105</v>
      </c>
      <c r="D1476" s="94">
        <v>61.601195943277041</v>
      </c>
      <c r="E1476" s="94">
        <v>4.9923424349665533</v>
      </c>
      <c r="F1476" s="94">
        <v>80.723041097226229</v>
      </c>
      <c r="G1476" s="94">
        <v>6.5772319626946079</v>
      </c>
      <c r="H1476" s="94">
        <v>64.724197376239175</v>
      </c>
      <c r="I1476" s="94">
        <v>13.161040646502631</v>
      </c>
      <c r="J1476" s="94">
        <v>8128.9669149545525</v>
      </c>
      <c r="K1476" s="94">
        <v>3.1321815312693992</v>
      </c>
      <c r="L1476" s="94">
        <v>35.782386570797314</v>
      </c>
      <c r="M1476" s="94">
        <v>36.327172446019368</v>
      </c>
      <c r="N1476" s="94">
        <v>34.790646945197935</v>
      </c>
      <c r="O1476" s="94">
        <v>11.601767076288535</v>
      </c>
    </row>
    <row r="1477" spans="1:15" x14ac:dyDescent="0.25">
      <c r="A1477" s="89">
        <v>45299.333333333336</v>
      </c>
      <c r="B1477" s="94">
        <v>360.11224019480414</v>
      </c>
      <c r="C1477" s="94">
        <v>301.33543715097358</v>
      </c>
      <c r="D1477" s="94">
        <v>61.976996399278583</v>
      </c>
      <c r="E1477" s="94">
        <v>5.0235053147491611</v>
      </c>
      <c r="F1477" s="94">
        <v>80.74378494688419</v>
      </c>
      <c r="G1477" s="94">
        <v>6.5745304371844604</v>
      </c>
      <c r="H1477" s="94">
        <v>65.120742051540532</v>
      </c>
      <c r="I1477" s="94">
        <v>13.243190541824122</v>
      </c>
      <c r="J1477" s="94">
        <v>8172.538382709201</v>
      </c>
      <c r="K1477" s="94">
        <v>3.1395670316309716</v>
      </c>
      <c r="L1477" s="94">
        <v>35.999513078704744</v>
      </c>
      <c r="M1477" s="94">
        <v>36.55393264363309</v>
      </c>
      <c r="N1477" s="94">
        <v>35.007819801323841</v>
      </c>
      <c r="O1477" s="94">
        <v>11.674189954075432</v>
      </c>
    </row>
    <row r="1478" spans="1:15" x14ac:dyDescent="0.25">
      <c r="A1478" s="89">
        <v>45299.833333333336</v>
      </c>
      <c r="B1478" s="94">
        <v>360.11045511222227</v>
      </c>
      <c r="C1478" s="94">
        <v>301.3429153302061</v>
      </c>
      <c r="D1478" s="94">
        <v>62.352796855280125</v>
      </c>
      <c r="E1478" s="94">
        <v>5.0546681945317689</v>
      </c>
      <c r="F1478" s="94">
        <v>80.764528796542152</v>
      </c>
      <c r="G1478" s="94">
        <v>6.571828911674312</v>
      </c>
      <c r="H1478" s="94">
        <v>65.517286726841888</v>
      </c>
      <c r="I1478" s="94">
        <v>13.325340437145611</v>
      </c>
      <c r="J1478" s="94">
        <v>8216.1098504638503</v>
      </c>
      <c r="K1478" s="94">
        <v>3.146952531992544</v>
      </c>
      <c r="L1478" s="94">
        <v>36.216639586612182</v>
      </c>
      <c r="M1478" s="94">
        <v>36.780692841246818</v>
      </c>
      <c r="N1478" s="94">
        <v>35.224992657449747</v>
      </c>
      <c r="O1478" s="94">
        <v>11.746612831862331</v>
      </c>
    </row>
    <row r="1479" spans="1:15" x14ac:dyDescent="0.25">
      <c r="A1479" s="89">
        <v>45300.333333333336</v>
      </c>
      <c r="B1479" s="94">
        <v>360.10867002964039</v>
      </c>
      <c r="C1479" s="94">
        <v>301.35039350943862</v>
      </c>
      <c r="D1479" s="94">
        <v>62.728597311281668</v>
      </c>
      <c r="E1479" s="94">
        <v>5.0858310743143766</v>
      </c>
      <c r="F1479" s="94">
        <v>80.785272646200113</v>
      </c>
      <c r="G1479" s="94">
        <v>6.5691273861641646</v>
      </c>
      <c r="H1479" s="94">
        <v>65.913831402143245</v>
      </c>
      <c r="I1479" s="94">
        <v>13.407490332467098</v>
      </c>
      <c r="J1479" s="94">
        <v>8259.6813182184978</v>
      </c>
      <c r="K1479" s="94">
        <v>3.1543380323541159</v>
      </c>
      <c r="L1479" s="94">
        <v>36.433766094519605</v>
      </c>
      <c r="M1479" s="94">
        <v>37.007453038860547</v>
      </c>
      <c r="N1479" s="94">
        <v>35.442165513575652</v>
      </c>
      <c r="O1479" s="94">
        <v>11.819035709649226</v>
      </c>
    </row>
    <row r="1480" spans="1:15" x14ac:dyDescent="0.25">
      <c r="A1480" s="89">
        <v>45300.833333333336</v>
      </c>
      <c r="B1480" s="94">
        <v>360.10688494705846</v>
      </c>
      <c r="C1480" s="94">
        <v>301.35787168867114</v>
      </c>
      <c r="D1480" s="94">
        <v>63.104397767283203</v>
      </c>
      <c r="E1480" s="94">
        <v>5.1169939540969853</v>
      </c>
      <c r="F1480" s="94">
        <v>80.806016495858074</v>
      </c>
      <c r="G1480" s="94">
        <v>6.5664258606540171</v>
      </c>
      <c r="H1480" s="94">
        <v>66.310376077444602</v>
      </c>
      <c r="I1480" s="94">
        <v>13.489640227788589</v>
      </c>
      <c r="J1480" s="94">
        <v>8303.252785973149</v>
      </c>
      <c r="K1480" s="94">
        <v>3.1617235327156878</v>
      </c>
      <c r="L1480" s="94">
        <v>36.650892602427042</v>
      </c>
      <c r="M1480" s="94">
        <v>37.234213236474268</v>
      </c>
      <c r="N1480" s="94">
        <v>35.659338369701558</v>
      </c>
      <c r="O1480" s="94">
        <v>11.891458587436125</v>
      </c>
    </row>
    <row r="1481" spans="1:15" x14ac:dyDescent="0.25">
      <c r="A1481" s="89">
        <v>45301.333333333336</v>
      </c>
      <c r="B1481" s="94">
        <v>360.10509986447659</v>
      </c>
      <c r="C1481" s="94">
        <v>301.36534986790366</v>
      </c>
      <c r="D1481" s="94">
        <v>63.480198223284745</v>
      </c>
      <c r="E1481" s="94">
        <v>5.1481568338795931</v>
      </c>
      <c r="F1481" s="94">
        <v>80.826760345516035</v>
      </c>
      <c r="G1481" s="94">
        <v>6.5637243351438688</v>
      </c>
      <c r="H1481" s="94">
        <v>66.706920752745958</v>
      </c>
      <c r="I1481" s="94">
        <v>13.571790123110079</v>
      </c>
      <c r="J1481" s="94">
        <v>8346.8242537277965</v>
      </c>
      <c r="K1481" s="94">
        <v>3.1691090330772602</v>
      </c>
      <c r="L1481" s="94">
        <v>36.868019110334465</v>
      </c>
      <c r="M1481" s="94">
        <v>37.460973434087997</v>
      </c>
      <c r="N1481" s="94">
        <v>35.876511225827464</v>
      </c>
      <c r="O1481" s="94">
        <v>11.963881465223022</v>
      </c>
    </row>
    <row r="1482" spans="1:15" x14ac:dyDescent="0.25">
      <c r="A1482" s="89">
        <v>45301.833333333336</v>
      </c>
      <c r="B1482" s="94">
        <v>360.10331478189471</v>
      </c>
      <c r="C1482" s="94">
        <v>301.37282804713618</v>
      </c>
      <c r="D1482" s="94">
        <v>63.855998679286287</v>
      </c>
      <c r="E1482" s="94">
        <v>5.1793197136622009</v>
      </c>
      <c r="F1482" s="94">
        <v>80.847504195174011</v>
      </c>
      <c r="G1482" s="94">
        <v>6.5610228096337213</v>
      </c>
      <c r="H1482" s="94">
        <v>67.103465428047315</v>
      </c>
      <c r="I1482" s="94">
        <v>13.65394001843157</v>
      </c>
      <c r="J1482" s="94">
        <v>8390.3957214824441</v>
      </c>
      <c r="K1482" s="94">
        <v>3.1764945334388326</v>
      </c>
      <c r="L1482" s="94">
        <v>37.085145618241896</v>
      </c>
      <c r="M1482" s="94">
        <v>37.687733631701718</v>
      </c>
      <c r="N1482" s="94">
        <v>36.09368408195337</v>
      </c>
      <c r="O1482" s="94">
        <v>12.036304343009919</v>
      </c>
    </row>
    <row r="1483" spans="1:15" x14ac:dyDescent="0.25">
      <c r="A1483" s="89">
        <v>45302.333333333336</v>
      </c>
      <c r="B1483" s="94">
        <v>360.10152969931278</v>
      </c>
      <c r="C1483" s="94">
        <v>301.38030622636876</v>
      </c>
      <c r="D1483" s="94">
        <v>64.231799135287829</v>
      </c>
      <c r="E1483" s="94">
        <v>5.2104825934448087</v>
      </c>
      <c r="F1483" s="94">
        <v>80.868248044831972</v>
      </c>
      <c r="G1483" s="94">
        <v>6.558321284123573</v>
      </c>
      <c r="H1483" s="94">
        <v>67.500010103348657</v>
      </c>
      <c r="I1483" s="94">
        <v>13.736089913753057</v>
      </c>
      <c r="J1483" s="94">
        <v>8433.9671892370934</v>
      </c>
      <c r="K1483" s="94">
        <v>3.1838800338004045</v>
      </c>
      <c r="L1483" s="94">
        <v>37.302272126149326</v>
      </c>
      <c r="M1483" s="94">
        <v>37.914493829315447</v>
      </c>
      <c r="N1483" s="94">
        <v>36.310856938079276</v>
      </c>
      <c r="O1483" s="94">
        <v>12.108727220796816</v>
      </c>
    </row>
    <row r="1484" spans="1:15" x14ac:dyDescent="0.25">
      <c r="A1484" s="89">
        <v>45302.833333333336</v>
      </c>
      <c r="B1484" s="94">
        <v>360.0997446167309</v>
      </c>
      <c r="C1484" s="94">
        <v>301.38778440560128</v>
      </c>
      <c r="D1484" s="94">
        <v>64.607599591289372</v>
      </c>
      <c r="E1484" s="94">
        <v>5.2416454732274174</v>
      </c>
      <c r="F1484" s="94">
        <v>80.888991894489934</v>
      </c>
      <c r="G1484" s="94">
        <v>6.5556197586134255</v>
      </c>
      <c r="H1484" s="94">
        <v>67.896554778650014</v>
      </c>
      <c r="I1484" s="94">
        <v>13.818239809074548</v>
      </c>
      <c r="J1484" s="94">
        <v>8477.5386569917428</v>
      </c>
      <c r="K1484" s="94">
        <v>3.1912655341619764</v>
      </c>
      <c r="L1484" s="94">
        <v>37.519398634056756</v>
      </c>
      <c r="M1484" s="94">
        <v>38.141254026929168</v>
      </c>
      <c r="N1484" s="94">
        <v>36.528029794205182</v>
      </c>
      <c r="O1484" s="94">
        <v>12.181150098583712</v>
      </c>
    </row>
    <row r="1485" spans="1:15" x14ac:dyDescent="0.25">
      <c r="A1485" s="89">
        <v>45303.333333333336</v>
      </c>
      <c r="B1485" s="94">
        <v>360.09795953414903</v>
      </c>
      <c r="C1485" s="94">
        <v>301.3952625848338</v>
      </c>
      <c r="D1485" s="94">
        <v>64.983400047290914</v>
      </c>
      <c r="E1485" s="94">
        <v>5.2728083530100252</v>
      </c>
      <c r="F1485" s="94">
        <v>80.909735744147895</v>
      </c>
      <c r="G1485" s="94">
        <v>6.5529182331032771</v>
      </c>
      <c r="H1485" s="94">
        <v>68.29309945395137</v>
      </c>
      <c r="I1485" s="94">
        <v>13.900389704396037</v>
      </c>
      <c r="J1485" s="94">
        <v>8521.1101247463921</v>
      </c>
      <c r="K1485" s="94">
        <v>3.1986510345235493</v>
      </c>
      <c r="L1485" s="94">
        <v>37.736525141964194</v>
      </c>
      <c r="M1485" s="94">
        <v>38.368014224542897</v>
      </c>
      <c r="N1485" s="94">
        <v>36.745202650331088</v>
      </c>
      <c r="O1485" s="94">
        <v>12.253572976370609</v>
      </c>
    </row>
    <row r="1486" spans="1:15" x14ac:dyDescent="0.25">
      <c r="A1486" s="89">
        <v>45303.833333333336</v>
      </c>
      <c r="B1486" s="94">
        <v>360.09617445156709</v>
      </c>
      <c r="C1486" s="94">
        <v>301.40274076406632</v>
      </c>
      <c r="D1486" s="94">
        <v>65.359200503292456</v>
      </c>
      <c r="E1486" s="94">
        <v>5.3039712327926329</v>
      </c>
      <c r="F1486" s="94">
        <v>80.930479593805856</v>
      </c>
      <c r="G1486" s="94">
        <v>6.5502167075931297</v>
      </c>
      <c r="H1486" s="94">
        <v>68.689644129252727</v>
      </c>
      <c r="I1486" s="94">
        <v>13.982539599717528</v>
      </c>
      <c r="J1486" s="94">
        <v>8564.6815925010396</v>
      </c>
      <c r="K1486" s="94">
        <v>3.2060365348851212</v>
      </c>
      <c r="L1486" s="94">
        <v>37.953651649871617</v>
      </c>
      <c r="M1486" s="94">
        <v>38.594774422156618</v>
      </c>
      <c r="N1486" s="94">
        <v>36.962375506456993</v>
      </c>
      <c r="O1486" s="94">
        <v>12.325995854157506</v>
      </c>
    </row>
    <row r="1487" spans="1:15" x14ac:dyDescent="0.25">
      <c r="A1487" s="89">
        <v>45304.333333333336</v>
      </c>
      <c r="B1487" s="94">
        <v>360.09438936898522</v>
      </c>
      <c r="C1487" s="94">
        <v>301.41021894329884</v>
      </c>
      <c r="D1487" s="94">
        <v>65.735000959293998</v>
      </c>
      <c r="E1487" s="94">
        <v>5.3351341125752407</v>
      </c>
      <c r="F1487" s="94">
        <v>80.951223443463817</v>
      </c>
      <c r="G1487" s="94">
        <v>6.5475151820829822</v>
      </c>
      <c r="H1487" s="94">
        <v>69.086188804554084</v>
      </c>
      <c r="I1487" s="94">
        <v>14.064689495039017</v>
      </c>
      <c r="J1487" s="94">
        <v>8608.253060255689</v>
      </c>
      <c r="K1487" s="94">
        <v>3.2134220352466931</v>
      </c>
      <c r="L1487" s="94">
        <v>38.170778157779054</v>
      </c>
      <c r="M1487" s="94">
        <v>38.821534619770347</v>
      </c>
      <c r="N1487" s="94">
        <v>37.179548362582899</v>
      </c>
      <c r="O1487" s="94">
        <v>12.398418731944403</v>
      </c>
    </row>
    <row r="1488" spans="1:15" x14ac:dyDescent="0.25">
      <c r="A1488" s="89">
        <v>45304.833333333336</v>
      </c>
      <c r="B1488" s="94">
        <v>360.09260428640334</v>
      </c>
      <c r="C1488" s="94">
        <v>301.41769712253137</v>
      </c>
      <c r="D1488" s="94">
        <v>66.110801415295526</v>
      </c>
      <c r="E1488" s="94">
        <v>5.3662969923578494</v>
      </c>
      <c r="F1488" s="94">
        <v>80.971967293121779</v>
      </c>
      <c r="G1488" s="94">
        <v>6.5448136565728339</v>
      </c>
      <c r="H1488" s="94">
        <v>69.48273347985544</v>
      </c>
      <c r="I1488" s="94">
        <v>14.146839390360507</v>
      </c>
      <c r="J1488" s="94">
        <v>8651.8245280103365</v>
      </c>
      <c r="K1488" s="94">
        <v>3.220807535608265</v>
      </c>
      <c r="L1488" s="94">
        <v>38.387904665686477</v>
      </c>
      <c r="M1488" s="94">
        <v>39.048294817384068</v>
      </c>
      <c r="N1488" s="94">
        <v>37.396721218708805</v>
      </c>
      <c r="O1488" s="94">
        <v>12.470841609731302</v>
      </c>
    </row>
    <row r="1489" spans="1:15" x14ac:dyDescent="0.25">
      <c r="A1489" s="89">
        <v>45305.333333333336</v>
      </c>
      <c r="B1489" s="94">
        <v>360.09081920382141</v>
      </c>
      <c r="C1489" s="94">
        <v>301.42517530176389</v>
      </c>
      <c r="D1489" s="94">
        <v>66.486601871297069</v>
      </c>
      <c r="E1489" s="94">
        <v>5.3974598721404563</v>
      </c>
      <c r="F1489" s="94">
        <v>80.99271114277974</v>
      </c>
      <c r="G1489" s="94">
        <v>6.5421121310626864</v>
      </c>
      <c r="H1489" s="94">
        <v>69.879278155156783</v>
      </c>
      <c r="I1489" s="94">
        <v>14.228989285681996</v>
      </c>
      <c r="J1489" s="94">
        <v>8695.3959957649859</v>
      </c>
      <c r="K1489" s="94">
        <v>3.2281930359698379</v>
      </c>
      <c r="L1489" s="94">
        <v>38.605031173593915</v>
      </c>
      <c r="M1489" s="94">
        <v>39.275055014997804</v>
      </c>
      <c r="N1489" s="94">
        <v>37.613894074834711</v>
      </c>
      <c r="O1489" s="94">
        <v>12.543264487518197</v>
      </c>
    </row>
    <row r="1490" spans="1:15" x14ac:dyDescent="0.25">
      <c r="A1490" s="89">
        <v>45305.833333333336</v>
      </c>
      <c r="B1490" s="94">
        <v>360.08903412123954</v>
      </c>
      <c r="C1490" s="94">
        <v>301.43265348099646</v>
      </c>
      <c r="D1490" s="94">
        <v>66.862402327298611</v>
      </c>
      <c r="E1490" s="94">
        <v>5.428622751923065</v>
      </c>
      <c r="F1490" s="94">
        <v>81.013454992437701</v>
      </c>
      <c r="G1490" s="94">
        <v>6.5394106055525381</v>
      </c>
      <c r="H1490" s="94">
        <v>70.275822830458139</v>
      </c>
      <c r="I1490" s="94">
        <v>14.311139181003487</v>
      </c>
      <c r="J1490" s="94">
        <v>8738.9674635196352</v>
      </c>
      <c r="K1490" s="94">
        <v>3.2355785363314098</v>
      </c>
      <c r="L1490" s="94">
        <v>38.822157681501338</v>
      </c>
      <c r="M1490" s="94">
        <v>39.501815212611525</v>
      </c>
      <c r="N1490" s="94">
        <v>37.831066930960617</v>
      </c>
      <c r="O1490" s="94">
        <v>12.615687365305096</v>
      </c>
    </row>
    <row r="1491" spans="1:15" x14ac:dyDescent="0.25">
      <c r="A1491" s="89">
        <v>45306.333333333336</v>
      </c>
      <c r="B1491" s="94">
        <v>360.08724903865766</v>
      </c>
      <c r="C1491" s="94">
        <v>301.44013166022899</v>
      </c>
      <c r="D1491" s="94">
        <v>67.238202783300153</v>
      </c>
      <c r="E1491" s="94">
        <v>5.4597856317056728</v>
      </c>
      <c r="F1491" s="94">
        <v>81.034198842095662</v>
      </c>
      <c r="G1491" s="94">
        <v>6.5367090800423906</v>
      </c>
      <c r="H1491" s="94">
        <v>70.672367505759496</v>
      </c>
      <c r="I1491" s="94">
        <v>14.393289076324976</v>
      </c>
      <c r="J1491" s="94">
        <v>8782.5389312742846</v>
      </c>
      <c r="K1491" s="94">
        <v>3.2429640366929817</v>
      </c>
      <c r="L1491" s="94">
        <v>39.039284189408768</v>
      </c>
      <c r="M1491" s="94">
        <v>39.728575410225254</v>
      </c>
      <c r="N1491" s="94">
        <v>38.048239787086523</v>
      </c>
      <c r="O1491" s="94">
        <v>12.688110243091991</v>
      </c>
    </row>
    <row r="1492" spans="1:15" x14ac:dyDescent="0.25">
      <c r="A1492" s="89">
        <v>45306.833333333336</v>
      </c>
      <c r="B1492" s="94">
        <v>360.08546395607573</v>
      </c>
      <c r="C1492" s="94">
        <v>301.44760983946151</v>
      </c>
      <c r="D1492" s="94">
        <v>67.614003239301695</v>
      </c>
      <c r="E1492" s="94">
        <v>5.4909485114882814</v>
      </c>
      <c r="F1492" s="94">
        <v>81.054942691753624</v>
      </c>
      <c r="G1492" s="94">
        <v>6.5340075545322422</v>
      </c>
      <c r="H1492" s="94">
        <v>71.068912181060853</v>
      </c>
      <c r="I1492" s="94">
        <v>14.475438971646465</v>
      </c>
      <c r="J1492" s="94">
        <v>8826.1103990289339</v>
      </c>
      <c r="K1492" s="94">
        <v>3.2503495370545537</v>
      </c>
      <c r="L1492" s="94">
        <v>39.256410697316205</v>
      </c>
      <c r="M1492" s="94">
        <v>39.955335607838975</v>
      </c>
      <c r="N1492" s="94">
        <v>38.265412643212429</v>
      </c>
      <c r="O1492" s="94">
        <v>12.76053312087889</v>
      </c>
    </row>
    <row r="1493" spans="1:15" x14ac:dyDescent="0.25">
      <c r="A1493" s="89">
        <v>45307.333333333336</v>
      </c>
      <c r="B1493" s="94">
        <v>360.08367887349385</v>
      </c>
      <c r="C1493" s="94">
        <v>301.45508801869403</v>
      </c>
      <c r="D1493" s="94">
        <v>67.989803695303237</v>
      </c>
      <c r="E1493" s="94">
        <v>5.5221113912708892</v>
      </c>
      <c r="F1493" s="94">
        <v>81.075686541411585</v>
      </c>
      <c r="G1493" s="94">
        <v>6.5313060290220948</v>
      </c>
      <c r="H1493" s="94">
        <v>71.465456856362209</v>
      </c>
      <c r="I1493" s="94">
        <v>14.557588866967954</v>
      </c>
      <c r="J1493" s="94">
        <v>8869.6818667835814</v>
      </c>
      <c r="K1493" s="94">
        <v>3.2577350374161265</v>
      </c>
      <c r="L1493" s="94">
        <v>39.473537205223629</v>
      </c>
      <c r="M1493" s="94">
        <v>40.182095805452704</v>
      </c>
      <c r="N1493" s="94">
        <v>38.482585499338335</v>
      </c>
      <c r="O1493" s="94">
        <v>12.832955998665787</v>
      </c>
    </row>
    <row r="1494" spans="1:15" x14ac:dyDescent="0.25">
      <c r="A1494" s="89">
        <v>45307.833333333336</v>
      </c>
      <c r="B1494" s="94">
        <v>360.08189379091198</v>
      </c>
      <c r="C1494" s="94">
        <v>301.46256619792655</v>
      </c>
      <c r="D1494" s="94">
        <v>68.36560415130478</v>
      </c>
      <c r="E1494" s="94">
        <v>5.553274271053497</v>
      </c>
      <c r="F1494" s="94">
        <v>81.096430391069546</v>
      </c>
      <c r="G1494" s="94">
        <v>6.5286045035119464</v>
      </c>
      <c r="H1494" s="94">
        <v>71.862001531663566</v>
      </c>
      <c r="I1494" s="94">
        <v>14.639738762289443</v>
      </c>
      <c r="J1494" s="94">
        <v>8913.2533345382308</v>
      </c>
      <c r="K1494" s="94">
        <v>3.2651205377776984</v>
      </c>
      <c r="L1494" s="94">
        <v>39.690663713131066</v>
      </c>
      <c r="M1494" s="94">
        <v>40.408856003066425</v>
      </c>
      <c r="N1494" s="94">
        <v>38.69975835546424</v>
      </c>
      <c r="O1494" s="94">
        <v>12.905378876452684</v>
      </c>
    </row>
    <row r="1495" spans="1:15" x14ac:dyDescent="0.25">
      <c r="A1495" s="89">
        <v>45308.333333333336</v>
      </c>
      <c r="B1495" s="94">
        <v>360.08010870833004</v>
      </c>
      <c r="C1495" s="94">
        <v>301.47004437715907</v>
      </c>
      <c r="D1495" s="94">
        <v>68.741404607306322</v>
      </c>
      <c r="E1495" s="94">
        <v>5.5844371508361048</v>
      </c>
      <c r="F1495" s="94">
        <v>81.117174240727508</v>
      </c>
      <c r="G1495" s="94">
        <v>6.525902978001799</v>
      </c>
      <c r="H1495" s="94">
        <v>72.258546206964908</v>
      </c>
      <c r="I1495" s="94">
        <v>14.721888657610934</v>
      </c>
      <c r="J1495" s="94">
        <v>8956.8248022928783</v>
      </c>
      <c r="K1495" s="94">
        <v>3.2725060381392703</v>
      </c>
      <c r="L1495" s="94">
        <v>39.907790221038489</v>
      </c>
      <c r="M1495" s="94">
        <v>40.635616200680154</v>
      </c>
      <c r="N1495" s="94">
        <v>38.916931211590146</v>
      </c>
      <c r="O1495" s="94">
        <v>12.97780175423958</v>
      </c>
    </row>
    <row r="1496" spans="1:15" x14ac:dyDescent="0.25">
      <c r="A1496" s="89">
        <v>45308.833333333336</v>
      </c>
      <c r="B1496" s="94">
        <v>360.07832362574817</v>
      </c>
      <c r="C1496" s="94">
        <v>301.47752255639159</v>
      </c>
      <c r="D1496" s="94">
        <v>69.117205063307864</v>
      </c>
      <c r="E1496" s="94">
        <v>5.6156000306187135</v>
      </c>
      <c r="F1496" s="94">
        <v>81.137918090385469</v>
      </c>
      <c r="G1496" s="94">
        <v>6.5232014524916515</v>
      </c>
      <c r="H1496" s="94">
        <v>72.655090882266265</v>
      </c>
      <c r="I1496" s="94">
        <v>14.804038552932422</v>
      </c>
      <c r="J1496" s="94">
        <v>9000.3962700475277</v>
      </c>
      <c r="K1496" s="94">
        <v>3.2798915385008427</v>
      </c>
      <c r="L1496" s="94">
        <v>40.124916728945927</v>
      </c>
      <c r="M1496" s="94">
        <v>40.862376398293883</v>
      </c>
      <c r="N1496" s="94">
        <v>39.134104067716052</v>
      </c>
      <c r="O1496" s="94">
        <v>13.050224632026477</v>
      </c>
    </row>
    <row r="1497" spans="1:15" x14ac:dyDescent="0.25">
      <c r="A1497" s="89">
        <v>45309.333333333336</v>
      </c>
      <c r="B1497" s="94">
        <v>360.07653854316629</v>
      </c>
      <c r="C1497" s="94">
        <v>301.48500073562417</v>
      </c>
      <c r="D1497" s="94">
        <v>69.493005519309392</v>
      </c>
      <c r="E1497" s="94">
        <v>5.6467629104013213</v>
      </c>
      <c r="F1497" s="94">
        <v>81.158661940043444</v>
      </c>
      <c r="G1497" s="94">
        <v>6.5204999269815032</v>
      </c>
      <c r="H1497" s="94">
        <v>73.051635557567622</v>
      </c>
      <c r="I1497" s="94">
        <v>14.886188448253913</v>
      </c>
      <c r="J1497" s="94">
        <v>9043.967737802177</v>
      </c>
      <c r="K1497" s="94">
        <v>3.2872770388624151</v>
      </c>
      <c r="L1497" s="94">
        <v>40.342043236853357</v>
      </c>
      <c r="M1497" s="94">
        <v>41.089136595907604</v>
      </c>
      <c r="N1497" s="94">
        <v>39.351276923841958</v>
      </c>
      <c r="O1497" s="94">
        <v>13.122647509813374</v>
      </c>
    </row>
    <row r="1498" spans="1:15" x14ac:dyDescent="0.25">
      <c r="A1498" s="89">
        <v>45309.833333333336</v>
      </c>
      <c r="B1498" s="94">
        <v>360.07475346058436</v>
      </c>
      <c r="C1498" s="94">
        <v>301.49247891485669</v>
      </c>
      <c r="D1498" s="94">
        <v>69.868805975310934</v>
      </c>
      <c r="E1498" s="94">
        <v>5.6779257901839291</v>
      </c>
      <c r="F1498" s="94">
        <v>81.179405789701406</v>
      </c>
      <c r="G1498" s="94">
        <v>6.5177984014713557</v>
      </c>
      <c r="H1498" s="94">
        <v>73.448180232868978</v>
      </c>
      <c r="I1498" s="94">
        <v>14.968338343575402</v>
      </c>
      <c r="J1498" s="94">
        <v>9087.5392055568263</v>
      </c>
      <c r="K1498" s="94">
        <v>3.294662539223987</v>
      </c>
      <c r="L1498" s="94">
        <v>40.559169744760787</v>
      </c>
      <c r="M1498" s="94">
        <v>41.315896793521333</v>
      </c>
      <c r="N1498" s="94">
        <v>39.568449779967864</v>
      </c>
      <c r="O1498" s="94">
        <v>13.195070387600273</v>
      </c>
    </row>
    <row r="1499" spans="1:15" x14ac:dyDescent="0.25">
      <c r="A1499" s="89">
        <v>45310.333333333336</v>
      </c>
      <c r="B1499" s="94">
        <v>360.07296837800249</v>
      </c>
      <c r="C1499" s="94">
        <v>301.49995709408921</v>
      </c>
      <c r="D1499" s="94">
        <v>70.244606431312477</v>
      </c>
      <c r="E1499" s="94">
        <v>5.7090886699665369</v>
      </c>
      <c r="F1499" s="94">
        <v>81.200149639359367</v>
      </c>
      <c r="G1499" s="94">
        <v>6.5150968759612073</v>
      </c>
      <c r="H1499" s="94">
        <v>73.844724908170335</v>
      </c>
      <c r="I1499" s="94">
        <v>15.050488238896893</v>
      </c>
      <c r="J1499" s="94">
        <v>9131.1106733114757</v>
      </c>
      <c r="K1499" s="94">
        <v>3.3020480395855589</v>
      </c>
      <c r="L1499" s="94">
        <v>40.776296252668217</v>
      </c>
      <c r="M1499" s="94">
        <v>41.542656991135054</v>
      </c>
      <c r="N1499" s="94">
        <v>39.78562263609377</v>
      </c>
      <c r="O1499" s="94">
        <v>13.267493265387168</v>
      </c>
    </row>
    <row r="1500" spans="1:15" x14ac:dyDescent="0.25">
      <c r="A1500" s="89">
        <v>45310.833333333336</v>
      </c>
      <c r="B1500" s="94">
        <v>360.07118329542061</v>
      </c>
      <c r="C1500" s="94">
        <v>301.50743527332173</v>
      </c>
      <c r="D1500" s="94">
        <v>70.620406887314019</v>
      </c>
      <c r="E1500" s="94">
        <v>5.7402515497491446</v>
      </c>
      <c r="F1500" s="94">
        <v>81.220893489017328</v>
      </c>
      <c r="G1500" s="94">
        <v>6.5123953504510599</v>
      </c>
      <c r="H1500" s="94">
        <v>74.241269583471691</v>
      </c>
      <c r="I1500" s="94">
        <v>15.13263813421838</v>
      </c>
      <c r="J1500" s="94">
        <v>9174.6821410661232</v>
      </c>
      <c r="K1500" s="94">
        <v>3.3094335399471317</v>
      </c>
      <c r="L1500" s="94">
        <v>40.99342276057564</v>
      </c>
      <c r="M1500" s="94">
        <v>41.769417188748783</v>
      </c>
      <c r="N1500" s="94">
        <v>40.002795492219676</v>
      </c>
      <c r="O1500" s="94">
        <v>13.339916143174067</v>
      </c>
    </row>
    <row r="1501" spans="1:15" x14ac:dyDescent="0.25">
      <c r="A1501" s="89">
        <v>45311.333333333336</v>
      </c>
      <c r="B1501" s="94">
        <v>360.06939821283868</v>
      </c>
      <c r="C1501" s="94">
        <v>301.51491345255425</v>
      </c>
      <c r="D1501" s="94">
        <v>70.996207343315561</v>
      </c>
      <c r="E1501" s="94">
        <v>5.7714144295317533</v>
      </c>
      <c r="F1501" s="94">
        <v>81.241637338675289</v>
      </c>
      <c r="G1501" s="94">
        <v>6.5096938249409115</v>
      </c>
      <c r="H1501" s="94">
        <v>74.637814258773048</v>
      </c>
      <c r="I1501" s="94">
        <v>15.214788029539871</v>
      </c>
      <c r="J1501" s="94">
        <v>9218.2536088207708</v>
      </c>
      <c r="K1501" s="94">
        <v>3.3168190403087037</v>
      </c>
      <c r="L1501" s="94">
        <v>41.210549268483078</v>
      </c>
      <c r="M1501" s="94">
        <v>41.996177386362504</v>
      </c>
      <c r="N1501" s="94">
        <v>40.219968348345574</v>
      </c>
      <c r="O1501" s="94">
        <v>13.412339020960962</v>
      </c>
    </row>
    <row r="1502" spans="1:15" x14ac:dyDescent="0.25">
      <c r="A1502" s="89">
        <v>45311.833333333336</v>
      </c>
      <c r="B1502" s="94">
        <v>360.0676131302568</v>
      </c>
      <c r="C1502" s="94">
        <v>301.52239163178677</v>
      </c>
      <c r="D1502" s="94">
        <v>71.372007799317103</v>
      </c>
      <c r="E1502" s="94">
        <v>5.8025773093143611</v>
      </c>
      <c r="F1502" s="94">
        <v>81.262381188333251</v>
      </c>
      <c r="G1502" s="94">
        <v>6.5069922994307641</v>
      </c>
      <c r="H1502" s="94">
        <v>75.034358934074405</v>
      </c>
      <c r="I1502" s="94">
        <v>15.296937924861361</v>
      </c>
      <c r="J1502" s="94">
        <v>9261.8250765754201</v>
      </c>
      <c r="K1502" s="94">
        <v>3.3242045406702756</v>
      </c>
      <c r="L1502" s="94">
        <v>41.427675776390501</v>
      </c>
      <c r="M1502" s="94">
        <v>42.222937583976233</v>
      </c>
      <c r="N1502" s="94">
        <v>40.43714120447148</v>
      </c>
      <c r="O1502" s="94">
        <v>13.484761898747861</v>
      </c>
    </row>
    <row r="1503" spans="1:15" x14ac:dyDescent="0.25">
      <c r="A1503" s="89">
        <v>45312.333333333336</v>
      </c>
      <c r="B1503" s="94">
        <v>360.06582804767493</v>
      </c>
      <c r="C1503" s="94">
        <v>301.5298698110193</v>
      </c>
      <c r="D1503" s="94">
        <v>71.747808255318645</v>
      </c>
      <c r="E1503" s="94">
        <v>5.8337401890969689</v>
      </c>
      <c r="F1503" s="94">
        <v>81.283125037991212</v>
      </c>
      <c r="G1503" s="94">
        <v>6.5042907739206157</v>
      </c>
      <c r="H1503" s="94">
        <v>75.430903609375761</v>
      </c>
      <c r="I1503" s="94">
        <v>15.379087820182852</v>
      </c>
      <c r="J1503" s="94">
        <v>9305.3965443300694</v>
      </c>
      <c r="K1503" s="94">
        <v>3.331590041031848</v>
      </c>
      <c r="L1503" s="94">
        <v>41.644802284297938</v>
      </c>
      <c r="M1503" s="94">
        <v>42.449697781589954</v>
      </c>
      <c r="N1503" s="94">
        <v>40.654314060597386</v>
      </c>
      <c r="O1503" s="94">
        <v>13.557184776534758</v>
      </c>
    </row>
    <row r="1504" spans="1:15" x14ac:dyDescent="0.25">
      <c r="A1504" s="89">
        <v>45312.833333333336</v>
      </c>
      <c r="B1504" s="94">
        <v>360.06404296509299</v>
      </c>
      <c r="C1504" s="94">
        <v>301.53734799025187</v>
      </c>
      <c r="D1504" s="94">
        <v>72.123608711320188</v>
      </c>
      <c r="E1504" s="94">
        <v>5.8649030688795767</v>
      </c>
      <c r="F1504" s="94">
        <v>81.303868887649173</v>
      </c>
      <c r="G1504" s="94">
        <v>6.5015892484104683</v>
      </c>
      <c r="H1504" s="94">
        <v>75.827448284677104</v>
      </c>
      <c r="I1504" s="94">
        <v>15.461237715504339</v>
      </c>
      <c r="J1504" s="94">
        <v>9348.9680120847188</v>
      </c>
      <c r="K1504" s="94">
        <v>3.3389755413934203</v>
      </c>
      <c r="L1504" s="94">
        <v>41.861928792205369</v>
      </c>
      <c r="M1504" s="94">
        <v>42.676457979203683</v>
      </c>
      <c r="N1504" s="94">
        <v>40.871486916723292</v>
      </c>
      <c r="O1504" s="94">
        <v>13.629607654321655</v>
      </c>
    </row>
    <row r="1505" spans="1:15" x14ac:dyDescent="0.25">
      <c r="A1505" s="89">
        <v>45313.333333333336</v>
      </c>
      <c r="B1505" s="94">
        <v>360.06225788251112</v>
      </c>
      <c r="C1505" s="94">
        <v>301.54482616948439</v>
      </c>
      <c r="D1505" s="94">
        <v>72.499409167321716</v>
      </c>
      <c r="E1505" s="94">
        <v>5.8960659486621854</v>
      </c>
      <c r="F1505" s="94">
        <v>81.324612737307135</v>
      </c>
      <c r="G1505" s="94">
        <v>6.4988877229003208</v>
      </c>
      <c r="H1505" s="94">
        <v>76.22399295997846</v>
      </c>
      <c r="I1505" s="94">
        <v>15.54338761082583</v>
      </c>
      <c r="J1505" s="94">
        <v>9392.5394798393681</v>
      </c>
      <c r="K1505" s="94">
        <v>3.3463610417549923</v>
      </c>
      <c r="L1505" s="94">
        <v>42.079055300112799</v>
      </c>
      <c r="M1505" s="94">
        <v>42.903218176817404</v>
      </c>
      <c r="N1505" s="94">
        <v>41.088659772849198</v>
      </c>
      <c r="O1505" s="94">
        <v>13.702030532108553</v>
      </c>
    </row>
    <row r="1506" spans="1:15" x14ac:dyDescent="0.25">
      <c r="A1506" s="89">
        <v>45313.833333333336</v>
      </c>
      <c r="B1506" s="94">
        <v>360.06047279992924</v>
      </c>
      <c r="C1506" s="94">
        <v>301.55230434871692</v>
      </c>
      <c r="D1506" s="94">
        <v>72.875209623323258</v>
      </c>
      <c r="E1506" s="94">
        <v>5.9272288284447932</v>
      </c>
      <c r="F1506" s="94">
        <v>81.345356586965096</v>
      </c>
      <c r="G1506" s="94">
        <v>6.4961861973901724</v>
      </c>
      <c r="H1506" s="94">
        <v>76.620537635279817</v>
      </c>
      <c r="I1506" s="94">
        <v>15.625537506147319</v>
      </c>
      <c r="J1506" s="94">
        <v>9436.1109475940157</v>
      </c>
      <c r="K1506" s="94">
        <v>3.3537465421165642</v>
      </c>
      <c r="L1506" s="94">
        <v>42.296181808020229</v>
      </c>
      <c r="M1506" s="94">
        <v>43.129978374431133</v>
      </c>
      <c r="N1506" s="94">
        <v>41.305832628975104</v>
      </c>
      <c r="O1506" s="94">
        <v>13.774453409895449</v>
      </c>
    </row>
    <row r="1507" spans="1:15" x14ac:dyDescent="0.25">
      <c r="A1507" s="89">
        <v>45314.333333333336</v>
      </c>
      <c r="B1507" s="94">
        <v>360.05868771734731</v>
      </c>
      <c r="C1507" s="94">
        <v>301.55978252794944</v>
      </c>
      <c r="D1507" s="94">
        <v>73.2510100793248</v>
      </c>
      <c r="E1507" s="94">
        <v>5.9583917082274009</v>
      </c>
      <c r="F1507" s="94">
        <v>81.366100436623057</v>
      </c>
      <c r="G1507" s="94">
        <v>6.493484671880025</v>
      </c>
      <c r="H1507" s="94">
        <v>77.017082310581173</v>
      </c>
      <c r="I1507" s="94">
        <v>15.707687401468808</v>
      </c>
      <c r="J1507" s="94">
        <v>9479.682415348665</v>
      </c>
      <c r="K1507" s="94">
        <v>3.3611320424781366</v>
      </c>
      <c r="L1507" s="94">
        <v>42.513308315927659</v>
      </c>
      <c r="M1507" s="94">
        <v>43.356738572044861</v>
      </c>
      <c r="N1507" s="94">
        <v>41.52300548510101</v>
      </c>
      <c r="O1507" s="94">
        <v>13.846876287682347</v>
      </c>
    </row>
    <row r="1508" spans="1:15" x14ac:dyDescent="0.25">
      <c r="A1508" s="89">
        <v>45314.833333333336</v>
      </c>
      <c r="B1508" s="94">
        <v>360.05690263476544</v>
      </c>
      <c r="C1508" s="94">
        <v>301.56726070718196</v>
      </c>
      <c r="D1508" s="94">
        <v>73.626810535326342</v>
      </c>
      <c r="E1508" s="94">
        <v>5.9895545880100087</v>
      </c>
      <c r="F1508" s="94">
        <v>81.386844286281018</v>
      </c>
      <c r="G1508" s="94">
        <v>6.4907831463698766</v>
      </c>
      <c r="H1508" s="94">
        <v>77.41362698588253</v>
      </c>
      <c r="I1508" s="94">
        <v>15.789837296790299</v>
      </c>
      <c r="J1508" s="94">
        <v>9523.2538831033125</v>
      </c>
      <c r="K1508" s="94">
        <v>3.3685175428397089</v>
      </c>
      <c r="L1508" s="94">
        <v>42.73043482383509</v>
      </c>
      <c r="M1508" s="94">
        <v>43.58349876965859</v>
      </c>
      <c r="N1508" s="94">
        <v>41.740178341226915</v>
      </c>
      <c r="O1508" s="94">
        <v>13.919299165469244</v>
      </c>
    </row>
    <row r="1509" spans="1:15" x14ac:dyDescent="0.25">
      <c r="A1509" s="89">
        <v>45315.333333333336</v>
      </c>
      <c r="B1509" s="94">
        <v>360.05511755218356</v>
      </c>
      <c r="C1509" s="94">
        <v>301.57473888641448</v>
      </c>
      <c r="D1509" s="94">
        <v>74.00261099132787</v>
      </c>
      <c r="E1509" s="94">
        <v>6.0207174677926174</v>
      </c>
      <c r="F1509" s="94">
        <v>81.40758813593898</v>
      </c>
      <c r="G1509" s="94">
        <v>6.4880816208597292</v>
      </c>
      <c r="H1509" s="94">
        <v>77.810171661183887</v>
      </c>
      <c r="I1509" s="94">
        <v>15.871987192111787</v>
      </c>
      <c r="J1509" s="94">
        <v>9566.8253508579637</v>
      </c>
      <c r="K1509" s="94">
        <v>3.3759030432012809</v>
      </c>
      <c r="L1509" s="94">
        <v>42.94756133174252</v>
      </c>
      <c r="M1509" s="94">
        <v>43.810258967272311</v>
      </c>
      <c r="N1509" s="94">
        <v>41.957351197352821</v>
      </c>
      <c r="O1509" s="94">
        <v>13.991722043256141</v>
      </c>
    </row>
    <row r="1510" spans="1:15" x14ac:dyDescent="0.25">
      <c r="A1510" s="89">
        <v>45315.833333333336</v>
      </c>
      <c r="B1510" s="94">
        <v>360.05333246960163</v>
      </c>
      <c r="C1510" s="94">
        <v>301.582217065647</v>
      </c>
      <c r="D1510" s="94">
        <v>74.378411447329412</v>
      </c>
      <c r="E1510" s="94">
        <v>6.0518803475752252</v>
      </c>
      <c r="F1510" s="94">
        <v>81.428331985596941</v>
      </c>
      <c r="G1510" s="94">
        <v>6.4853800953495808</v>
      </c>
      <c r="H1510" s="94">
        <v>78.206716336485229</v>
      </c>
      <c r="I1510" s="94">
        <v>15.954137087433278</v>
      </c>
      <c r="J1510" s="94">
        <v>9610.3968186126112</v>
      </c>
      <c r="K1510" s="94">
        <v>3.3832885435628528</v>
      </c>
      <c r="L1510" s="94">
        <v>43.16468783964995</v>
      </c>
      <c r="M1510" s="94">
        <v>44.03701916488604</v>
      </c>
      <c r="N1510" s="94">
        <v>42.174524053478727</v>
      </c>
      <c r="O1510" s="94">
        <v>14.064144921043038</v>
      </c>
    </row>
    <row r="1511" spans="1:15" x14ac:dyDescent="0.25">
      <c r="A1511" s="89">
        <v>45316.333333333336</v>
      </c>
      <c r="B1511" s="94">
        <v>360.05154738701975</v>
      </c>
      <c r="C1511" s="94">
        <v>301.58969524487958</v>
      </c>
      <c r="D1511" s="94">
        <v>74.754211903330955</v>
      </c>
      <c r="E1511" s="94">
        <v>6.083043227357833</v>
      </c>
      <c r="F1511" s="94">
        <v>81.449075835254902</v>
      </c>
      <c r="G1511" s="94">
        <v>6.4826785698394334</v>
      </c>
      <c r="H1511" s="94">
        <v>78.603261011786586</v>
      </c>
      <c r="I1511" s="94">
        <v>16.036286982754767</v>
      </c>
      <c r="J1511" s="94">
        <v>9653.9682863672606</v>
      </c>
      <c r="K1511" s="94">
        <v>3.3906740439244252</v>
      </c>
      <c r="L1511" s="94">
        <v>43.381814347557381</v>
      </c>
      <c r="M1511" s="94">
        <v>44.263779362499761</v>
      </c>
      <c r="N1511" s="94">
        <v>42.391696909604633</v>
      </c>
      <c r="O1511" s="94">
        <v>14.136567798829935</v>
      </c>
    </row>
    <row r="1512" spans="1:15" x14ac:dyDescent="0.25">
      <c r="A1512" s="89">
        <v>45316.833333333336</v>
      </c>
      <c r="B1512" s="94">
        <v>360.04976230443788</v>
      </c>
      <c r="C1512" s="94">
        <v>301.5971734241121</v>
      </c>
      <c r="D1512" s="94">
        <v>75.130012359332497</v>
      </c>
      <c r="E1512" s="94">
        <v>6.1142061071404408</v>
      </c>
      <c r="F1512" s="94">
        <v>81.469819684912864</v>
      </c>
      <c r="G1512" s="94">
        <v>6.479977044329285</v>
      </c>
      <c r="H1512" s="94">
        <v>78.999805687087942</v>
      </c>
      <c r="I1512" s="94">
        <v>16.118436878076256</v>
      </c>
      <c r="J1512" s="94">
        <v>9697.5397541219081</v>
      </c>
      <c r="K1512" s="94">
        <v>3.3980595442859975</v>
      </c>
      <c r="L1512" s="94">
        <v>43.598940855464811</v>
      </c>
      <c r="M1512" s="94">
        <v>44.49053956011349</v>
      </c>
      <c r="N1512" s="94">
        <v>42.608869765730539</v>
      </c>
      <c r="O1512" s="94">
        <v>14.208990676616832</v>
      </c>
    </row>
    <row r="1513" spans="1:15" x14ac:dyDescent="0.25">
      <c r="A1513" s="89">
        <v>45317.333333333336</v>
      </c>
      <c r="B1513" s="94">
        <v>360.04797722185594</v>
      </c>
      <c r="C1513" s="94">
        <v>301.60465160334462</v>
      </c>
      <c r="D1513" s="94">
        <v>75.505812815334039</v>
      </c>
      <c r="E1513" s="94">
        <v>6.1453689869230494</v>
      </c>
      <c r="F1513" s="94">
        <v>81.490563534570839</v>
      </c>
      <c r="G1513" s="94">
        <v>6.4772755188191375</v>
      </c>
      <c r="H1513" s="94">
        <v>79.396350362389299</v>
      </c>
      <c r="I1513" s="94">
        <v>16.200586773397745</v>
      </c>
      <c r="J1513" s="94">
        <v>9741.1112218765575</v>
      </c>
      <c r="K1513" s="94">
        <v>3.4054450446475695</v>
      </c>
      <c r="L1513" s="94">
        <v>43.816067363372241</v>
      </c>
      <c r="M1513" s="94">
        <v>44.717299757727218</v>
      </c>
      <c r="N1513" s="94">
        <v>42.826042621856445</v>
      </c>
      <c r="O1513" s="94">
        <v>14.281413554403729</v>
      </c>
    </row>
    <row r="1514" spans="1:15" x14ac:dyDescent="0.25">
      <c r="A1514" s="89">
        <v>45317.833333333336</v>
      </c>
      <c r="B1514" s="94">
        <v>360.04619213927407</v>
      </c>
      <c r="C1514" s="94">
        <v>301.61212978257714</v>
      </c>
      <c r="D1514" s="94">
        <v>75.881613271335581</v>
      </c>
      <c r="E1514" s="94">
        <v>6.1765318667056572</v>
      </c>
      <c r="F1514" s="94">
        <v>81.5113073842288</v>
      </c>
      <c r="G1514" s="94">
        <v>6.4745739933089901</v>
      </c>
      <c r="H1514" s="94">
        <v>79.792895037690656</v>
      </c>
      <c r="I1514" s="94">
        <v>16.282736668719238</v>
      </c>
      <c r="J1514" s="94">
        <v>9784.6826896312068</v>
      </c>
      <c r="K1514" s="94">
        <v>3.4128305450091414</v>
      </c>
      <c r="L1514" s="94">
        <v>44.033193871279671</v>
      </c>
      <c r="M1514" s="94">
        <v>44.94405995534094</v>
      </c>
      <c r="N1514" s="94">
        <v>43.043215477982351</v>
      </c>
      <c r="O1514" s="94">
        <v>14.353836432190626</v>
      </c>
    </row>
    <row r="1515" spans="1:15" x14ac:dyDescent="0.25">
      <c r="A1515" s="89">
        <v>45318.333333333336</v>
      </c>
      <c r="B1515" s="94">
        <v>360.04440705669219</v>
      </c>
      <c r="C1515" s="94">
        <v>301.61960796180966</v>
      </c>
      <c r="D1515" s="94">
        <v>76.257413727337124</v>
      </c>
      <c r="E1515" s="94">
        <v>6.207694746488265</v>
      </c>
      <c r="F1515" s="94">
        <v>81.532051233886762</v>
      </c>
      <c r="G1515" s="94">
        <v>6.4718724677988417</v>
      </c>
      <c r="H1515" s="94">
        <v>80.189439712992012</v>
      </c>
      <c r="I1515" s="94">
        <v>16.364886564040724</v>
      </c>
      <c r="J1515" s="94">
        <v>9828.2541573858543</v>
      </c>
      <c r="K1515" s="94">
        <v>3.4202160453707138</v>
      </c>
      <c r="L1515" s="94">
        <v>44.250320379187102</v>
      </c>
      <c r="M1515" s="94">
        <v>45.170820152954668</v>
      </c>
      <c r="N1515" s="94">
        <v>43.260388334108256</v>
      </c>
      <c r="O1515" s="94">
        <v>14.426259309977524</v>
      </c>
    </row>
    <row r="1516" spans="1:15" x14ac:dyDescent="0.25">
      <c r="A1516" s="89">
        <v>45318.833333333336</v>
      </c>
      <c r="B1516" s="94">
        <v>360.04262197411026</v>
      </c>
      <c r="C1516" s="94">
        <v>301.62708614104218</v>
      </c>
      <c r="D1516" s="94">
        <v>76.633214183338666</v>
      </c>
      <c r="E1516" s="94">
        <v>6.2388576262708728</v>
      </c>
      <c r="F1516" s="94">
        <v>81.552795083544723</v>
      </c>
      <c r="G1516" s="94">
        <v>6.4691709422886943</v>
      </c>
      <c r="H1516" s="94">
        <v>80.585984388293355</v>
      </c>
      <c r="I1516" s="94">
        <v>16.447036459362216</v>
      </c>
      <c r="J1516" s="94">
        <v>9871.8256251405037</v>
      </c>
      <c r="K1516" s="94">
        <v>3.4276015457322861</v>
      </c>
      <c r="L1516" s="94">
        <v>44.467446887094532</v>
      </c>
      <c r="M1516" s="94">
        <v>45.39758035056839</v>
      </c>
      <c r="N1516" s="94">
        <v>43.477561190234162</v>
      </c>
      <c r="O1516" s="94">
        <v>14.49868218776442</v>
      </c>
    </row>
    <row r="1517" spans="1:15" x14ac:dyDescent="0.25">
      <c r="A1517" s="89">
        <v>45319.333333333336</v>
      </c>
      <c r="B1517" s="94">
        <v>360.04083689152839</v>
      </c>
      <c r="C1517" s="94">
        <v>301.63456432027471</v>
      </c>
      <c r="D1517" s="94">
        <v>77.009014639340194</v>
      </c>
      <c r="E1517" s="94">
        <v>6.2700205060534815</v>
      </c>
      <c r="F1517" s="94">
        <v>81.573538933202684</v>
      </c>
      <c r="G1517" s="94">
        <v>6.4664694167785459</v>
      </c>
      <c r="H1517" s="94">
        <v>80.982529063594711</v>
      </c>
      <c r="I1517" s="94">
        <v>16.529186354683706</v>
      </c>
      <c r="J1517" s="94">
        <v>9915.397092895153</v>
      </c>
      <c r="K1517" s="94">
        <v>3.4349870460938581</v>
      </c>
      <c r="L1517" s="94">
        <v>44.684573395001962</v>
      </c>
      <c r="M1517" s="94">
        <v>45.624340548182118</v>
      </c>
      <c r="N1517" s="94">
        <v>43.694734046360068</v>
      </c>
      <c r="O1517" s="94">
        <v>14.571105065551318</v>
      </c>
    </row>
    <row r="1518" spans="1:15" x14ac:dyDescent="0.25">
      <c r="A1518" s="89">
        <v>45319.833333333336</v>
      </c>
      <c r="B1518" s="94">
        <v>360.03905180894651</v>
      </c>
      <c r="C1518" s="94">
        <v>301.64204249950728</v>
      </c>
      <c r="D1518" s="94">
        <v>77.384815095341736</v>
      </c>
      <c r="E1518" s="94">
        <v>6.3011833858360893</v>
      </c>
      <c r="F1518" s="94">
        <v>81.594282782860645</v>
      </c>
      <c r="G1518" s="94">
        <v>6.4637678912683985</v>
      </c>
      <c r="H1518" s="94">
        <v>81.379073738896068</v>
      </c>
      <c r="I1518" s="94">
        <v>16.611336250005195</v>
      </c>
      <c r="J1518" s="94">
        <v>9958.9685606498024</v>
      </c>
      <c r="K1518" s="94">
        <v>3.4423725464554304</v>
      </c>
      <c r="L1518" s="94">
        <v>44.901699902909392</v>
      </c>
      <c r="M1518" s="94">
        <v>45.85110074579584</v>
      </c>
      <c r="N1518" s="94">
        <v>43.911906902485974</v>
      </c>
      <c r="O1518" s="94">
        <v>14.643527943338214</v>
      </c>
    </row>
    <row r="1519" spans="1:15" x14ac:dyDescent="0.25">
      <c r="A1519" s="89">
        <v>45320.333333333336</v>
      </c>
      <c r="B1519" s="94">
        <v>360.03726672636458</v>
      </c>
      <c r="C1519" s="94">
        <v>301.6495206787398</v>
      </c>
      <c r="D1519" s="94">
        <v>77.760615551343278</v>
      </c>
      <c r="E1519" s="94">
        <v>6.3323462656186971</v>
      </c>
      <c r="F1519" s="94">
        <v>81.615026632518607</v>
      </c>
      <c r="G1519" s="94">
        <v>6.461066365758251</v>
      </c>
      <c r="H1519" s="94">
        <v>81.775618414197424</v>
      </c>
      <c r="I1519" s="94">
        <v>16.693486145326684</v>
      </c>
      <c r="J1519" s="94">
        <v>10002.54002840445</v>
      </c>
      <c r="K1519" s="94">
        <v>3.4497580468170024</v>
      </c>
      <c r="L1519" s="94">
        <v>45.118826410816823</v>
      </c>
      <c r="M1519" s="94">
        <v>46.077860943409569</v>
      </c>
      <c r="N1519" s="94">
        <v>44.12907975861188</v>
      </c>
      <c r="O1519" s="94">
        <v>14.715950821125112</v>
      </c>
    </row>
    <row r="1520" spans="1:15" x14ac:dyDescent="0.25">
      <c r="A1520" s="89">
        <v>45320.833333333336</v>
      </c>
      <c r="B1520" s="94">
        <v>360.0354816437827</v>
      </c>
      <c r="C1520" s="94">
        <v>301.65699885797233</v>
      </c>
      <c r="D1520" s="94">
        <v>78.13641600734482</v>
      </c>
      <c r="E1520" s="94">
        <v>6.3635091454013049</v>
      </c>
      <c r="F1520" s="94">
        <v>81.635770482176568</v>
      </c>
      <c r="G1520" s="94">
        <v>6.4583648402481026</v>
      </c>
      <c r="H1520" s="94">
        <v>82.172163089498781</v>
      </c>
      <c r="I1520" s="94">
        <v>16.775636040648173</v>
      </c>
      <c r="J1520" s="94">
        <v>10046.111496159099</v>
      </c>
      <c r="K1520" s="94">
        <v>3.4571435471785747</v>
      </c>
      <c r="L1520" s="94">
        <v>45.335952918724253</v>
      </c>
      <c r="M1520" s="94">
        <v>46.30462114102329</v>
      </c>
      <c r="N1520" s="94">
        <v>44.346252614737786</v>
      </c>
      <c r="O1520" s="94">
        <v>14.788373698912009</v>
      </c>
    </row>
    <row r="1521" spans="1:15" x14ac:dyDescent="0.25">
      <c r="A1521" s="89">
        <v>45321.333333333336</v>
      </c>
      <c r="B1521" s="94">
        <v>360.03369656120083</v>
      </c>
      <c r="C1521" s="94">
        <v>301.66447703720485</v>
      </c>
      <c r="D1521" s="94">
        <v>78.512216463346363</v>
      </c>
      <c r="E1521" s="94">
        <v>6.3946720251839135</v>
      </c>
      <c r="F1521" s="94">
        <v>81.656514331834529</v>
      </c>
      <c r="G1521" s="94">
        <v>6.4556633147379552</v>
      </c>
      <c r="H1521" s="94">
        <v>82.568707764800138</v>
      </c>
      <c r="I1521" s="94">
        <v>16.857785935969662</v>
      </c>
      <c r="J1521" s="94">
        <v>10089.682963913749</v>
      </c>
      <c r="K1521" s="94">
        <v>3.4645290475401467</v>
      </c>
      <c r="L1521" s="94">
        <v>45.553079426631683</v>
      </c>
      <c r="M1521" s="94">
        <v>46.531381338637019</v>
      </c>
      <c r="N1521" s="94">
        <v>44.563425470863692</v>
      </c>
      <c r="O1521" s="94">
        <v>14.860796576698906</v>
      </c>
    </row>
    <row r="1522" spans="1:15" x14ac:dyDescent="0.25">
      <c r="A1522" s="89">
        <v>45321.833333333336</v>
      </c>
      <c r="B1522" s="94">
        <v>360.03191147861889</v>
      </c>
      <c r="C1522" s="94">
        <v>301.67195521643737</v>
      </c>
      <c r="D1522" s="94">
        <v>78.888016919347905</v>
      </c>
      <c r="E1522" s="94">
        <v>6.4258349049665204</v>
      </c>
      <c r="F1522" s="94">
        <v>81.677258181492491</v>
      </c>
      <c r="G1522" s="94">
        <v>6.4529617892278068</v>
      </c>
      <c r="H1522" s="94">
        <v>82.96525244010148</v>
      </c>
      <c r="I1522" s="94">
        <v>16.939935831291152</v>
      </c>
      <c r="J1522" s="94">
        <v>10133.254431668396</v>
      </c>
      <c r="K1522" s="94">
        <v>3.4719145479017191</v>
      </c>
      <c r="L1522" s="94">
        <v>45.770205934539113</v>
      </c>
      <c r="M1522" s="94">
        <v>46.758141536250747</v>
      </c>
      <c r="N1522" s="94">
        <v>44.780598326989598</v>
      </c>
      <c r="O1522" s="94">
        <v>14.933219454485803</v>
      </c>
    </row>
    <row r="1523" spans="1:15" x14ac:dyDescent="0.25">
      <c r="A1523" s="89">
        <v>45322.333333333336</v>
      </c>
      <c r="B1523" s="94">
        <v>360.03012639603702</v>
      </c>
      <c r="C1523" s="94">
        <v>301.67943339566989</v>
      </c>
      <c r="D1523" s="94">
        <v>79.263817375349447</v>
      </c>
      <c r="E1523" s="94">
        <v>6.4569977847491291</v>
      </c>
      <c r="F1523" s="94">
        <v>81.698002031150452</v>
      </c>
      <c r="G1523" s="94">
        <v>6.4502602637176594</v>
      </c>
      <c r="H1523" s="94">
        <v>83.361797115402837</v>
      </c>
      <c r="I1523" s="94">
        <v>17.022085726612641</v>
      </c>
      <c r="J1523" s="94">
        <v>10176.825899423045</v>
      </c>
      <c r="K1523" s="94">
        <v>3.4793000482632914</v>
      </c>
      <c r="L1523" s="94">
        <v>45.987332442446544</v>
      </c>
      <c r="M1523" s="94">
        <v>46.984901733864469</v>
      </c>
      <c r="N1523" s="94">
        <v>44.997771183115503</v>
      </c>
      <c r="O1523" s="94">
        <v>15</v>
      </c>
    </row>
    <row r="1524" spans="1:15" x14ac:dyDescent="0.25">
      <c r="A1524" s="89">
        <v>45322.833333333336</v>
      </c>
      <c r="B1524" s="94">
        <v>360.03</v>
      </c>
      <c r="C1524" s="94">
        <v>301.41000000000003</v>
      </c>
      <c r="D1524" s="94">
        <v>77.934859956579956</v>
      </c>
      <c r="E1524" s="94">
        <v>6.4585486482358334</v>
      </c>
      <c r="F1524" s="94">
        <v>81.639157291162988</v>
      </c>
      <c r="G1524" s="94">
        <v>6.5071586251116349</v>
      </c>
      <c r="H1524" s="94">
        <v>82.6</v>
      </c>
      <c r="I1524" s="94">
        <v>16.901279296875</v>
      </c>
      <c r="J1524" s="94">
        <v>7881.0519987723073</v>
      </c>
      <c r="K1524" s="94">
        <v>3.2239635291623578</v>
      </c>
      <c r="L1524" s="94">
        <v>41</v>
      </c>
      <c r="M1524" s="94">
        <v>41</v>
      </c>
      <c r="N1524" s="94">
        <v>0</v>
      </c>
      <c r="O1524" s="94">
        <v>0</v>
      </c>
    </row>
    <row r="1525" spans="1:15" x14ac:dyDescent="0.25">
      <c r="A1525" s="89">
        <v>45323.333333333336</v>
      </c>
      <c r="B1525" s="94">
        <v>359.91110956831835</v>
      </c>
      <c r="C1525" s="94">
        <v>301.41000000000003</v>
      </c>
      <c r="D1525" s="94">
        <v>79.599999999999994</v>
      </c>
      <c r="E1525" s="94">
        <v>6.4197651329134198</v>
      </c>
      <c r="F1525" s="94">
        <v>81.445432191720428</v>
      </c>
      <c r="G1525" s="94">
        <v>6.5208599853515627</v>
      </c>
      <c r="H1525" s="94">
        <v>83.604956715115492</v>
      </c>
      <c r="I1525" s="94">
        <v>17.033710021972656</v>
      </c>
      <c r="J1525" s="94">
        <v>7906.9573204171293</v>
      </c>
      <c r="K1525" s="94">
        <v>3.2283738500644961</v>
      </c>
      <c r="L1525" s="94">
        <v>40</v>
      </c>
      <c r="M1525" s="94">
        <v>41</v>
      </c>
      <c r="N1525" s="94">
        <v>0</v>
      </c>
      <c r="O1525" s="94">
        <v>0</v>
      </c>
    </row>
    <row r="1526" spans="1:15" x14ac:dyDescent="0.25">
      <c r="A1526" s="89">
        <v>45323.833333333336</v>
      </c>
      <c r="B1526" s="94">
        <v>359.9</v>
      </c>
      <c r="C1526" s="94">
        <v>301.17</v>
      </c>
      <c r="D1526" s="94">
        <v>78.948465923289945</v>
      </c>
      <c r="E1526" s="94">
        <v>6.4291434650455921</v>
      </c>
      <c r="F1526" s="94">
        <v>80.852228063204862</v>
      </c>
      <c r="G1526" s="94">
        <v>6.5104841778582374</v>
      </c>
      <c r="H1526" s="94">
        <v>81.920992186629988</v>
      </c>
      <c r="I1526" s="94">
        <v>16.920399086294417</v>
      </c>
      <c r="J1526" s="94">
        <v>6054.8516339948692</v>
      </c>
      <c r="K1526" s="94">
        <v>2.9869697766624581</v>
      </c>
      <c r="L1526" s="94">
        <v>20</v>
      </c>
      <c r="M1526" s="94">
        <v>0</v>
      </c>
      <c r="N1526" s="94">
        <v>0</v>
      </c>
      <c r="O1526" s="94">
        <v>0</v>
      </c>
    </row>
    <row r="1527" spans="1:15" x14ac:dyDescent="0.25">
      <c r="A1527" s="89">
        <v>45324.333333333336</v>
      </c>
      <c r="B1527" s="94">
        <v>359.9</v>
      </c>
      <c r="C1527" s="94">
        <v>301.17</v>
      </c>
      <c r="D1527" s="94">
        <v>77.493099975585935</v>
      </c>
      <c r="E1527" s="94">
        <v>6.4272284849314651</v>
      </c>
      <c r="F1527" s="94">
        <v>80.657934872229291</v>
      </c>
      <c r="G1527" s="94">
        <v>6.5246458133260168</v>
      </c>
      <c r="H1527" s="94">
        <v>83.3</v>
      </c>
      <c r="I1527" s="94">
        <v>16.939599939046072</v>
      </c>
      <c r="J1527" s="94">
        <v>6064.551155968069</v>
      </c>
      <c r="K1527" s="94">
        <v>2.9893747668617601</v>
      </c>
      <c r="L1527" s="94">
        <v>19</v>
      </c>
      <c r="M1527" s="94">
        <v>0</v>
      </c>
      <c r="N1527" s="94">
        <v>0</v>
      </c>
      <c r="O1527" s="94">
        <v>0</v>
      </c>
    </row>
    <row r="1528" spans="1:15" x14ac:dyDescent="0.25">
      <c r="A1528" s="89">
        <v>45324.833333333336</v>
      </c>
      <c r="B1528" s="94">
        <v>359.9</v>
      </c>
      <c r="C1528" s="94">
        <v>300.64291405250651</v>
      </c>
      <c r="D1528" s="94">
        <v>41.5</v>
      </c>
      <c r="E1528" s="94">
        <v>2.5590038489038989</v>
      </c>
      <c r="F1528" s="94">
        <v>75.8</v>
      </c>
      <c r="G1528" s="94">
        <v>6.484769975786925</v>
      </c>
      <c r="H1528" s="94">
        <v>42.363836468400351</v>
      </c>
      <c r="I1528" s="94">
        <v>5.8294637434713952</v>
      </c>
      <c r="J1528" s="94">
        <v>3002</v>
      </c>
      <c r="K1528" s="94">
        <v>2.4718309609198772</v>
      </c>
      <c r="L1528" s="94">
        <v>1</v>
      </c>
      <c r="M1528" s="94">
        <v>0</v>
      </c>
      <c r="N1528" s="94">
        <v>0</v>
      </c>
      <c r="O1528" s="94">
        <v>0</v>
      </c>
    </row>
    <row r="1529" spans="1:15" x14ac:dyDescent="0.25">
      <c r="A1529" s="89">
        <v>45325.333333333336</v>
      </c>
      <c r="B1529" s="94">
        <v>359.9</v>
      </c>
      <c r="C1529" s="94">
        <v>300.64315987649951</v>
      </c>
      <c r="D1529" s="94">
        <v>42.826951035627815</v>
      </c>
      <c r="E1529" s="94">
        <v>2.5581470561415238</v>
      </c>
      <c r="F1529" s="94">
        <v>75.3</v>
      </c>
      <c r="G1529" s="94">
        <v>6.4808571037378488</v>
      </c>
      <c r="H1529" s="94">
        <v>43.001991532619328</v>
      </c>
      <c r="I1529" s="94">
        <v>5.8615622658818136</v>
      </c>
      <c r="J1529" s="94">
        <v>2998.0017622917708</v>
      </c>
      <c r="K1529" s="94">
        <v>2.4714620526737185</v>
      </c>
      <c r="L1529" s="94">
        <v>1</v>
      </c>
      <c r="M1529" s="94">
        <v>0</v>
      </c>
      <c r="N1529" s="94">
        <v>0</v>
      </c>
      <c r="O1529" s="94">
        <v>0</v>
      </c>
    </row>
    <row r="1530" spans="1:15" x14ac:dyDescent="0.25">
      <c r="A1530" s="89">
        <v>45325.833333333336</v>
      </c>
      <c r="B1530" s="94">
        <v>359.9</v>
      </c>
      <c r="C1530" s="94">
        <v>300.52999999999997</v>
      </c>
      <c r="D1530" s="94">
        <v>42.202667034339207</v>
      </c>
      <c r="E1530" s="94">
        <v>2.6</v>
      </c>
      <c r="F1530" s="94">
        <v>45.501935339862492</v>
      </c>
      <c r="G1530" s="94">
        <v>2.5664271247354074</v>
      </c>
      <c r="H1530" s="94">
        <v>46.166237871340464</v>
      </c>
      <c r="I1530" s="94">
        <v>7.2835137587248564</v>
      </c>
      <c r="J1530" s="94">
        <v>2549.0406231113752</v>
      </c>
      <c r="K1530" s="94">
        <v>2.3699210336210061</v>
      </c>
      <c r="L1530" s="94">
        <v>1</v>
      </c>
      <c r="M1530" s="94">
        <v>0</v>
      </c>
      <c r="N1530" s="94">
        <v>0</v>
      </c>
      <c r="O1530" s="94">
        <v>0</v>
      </c>
    </row>
    <row r="1531" spans="1:15" x14ac:dyDescent="0.25">
      <c r="A1531" s="89">
        <v>45326.333333333336</v>
      </c>
      <c r="B1531" s="94">
        <v>359.9</v>
      </c>
      <c r="C1531" s="94">
        <v>300.52999999999997</v>
      </c>
      <c r="D1531" s="94">
        <v>43.39336223255814</v>
      </c>
      <c r="E1531" s="94">
        <v>2.5828160715192769</v>
      </c>
      <c r="F1531" s="94">
        <v>43.838974630666215</v>
      </c>
      <c r="G1531" s="94">
        <v>2.575512617335121</v>
      </c>
      <c r="H1531" s="94">
        <v>46.484036157058583</v>
      </c>
      <c r="I1531" s="94">
        <v>6.924920349121094</v>
      </c>
      <c r="J1531" s="94">
        <v>2538.4012580550225</v>
      </c>
      <c r="K1531" s="94">
        <v>2.3683459986894428</v>
      </c>
      <c r="L1531" s="94">
        <v>1</v>
      </c>
      <c r="M1531" s="94">
        <v>0</v>
      </c>
      <c r="N1531" s="94">
        <v>0</v>
      </c>
      <c r="O1531" s="94">
        <v>0</v>
      </c>
    </row>
    <row r="1532" spans="1:15" x14ac:dyDescent="0.25">
      <c r="A1532" s="89">
        <v>45326.833333333336</v>
      </c>
      <c r="B1532" s="94">
        <v>359.9</v>
      </c>
      <c r="C1532" s="94">
        <v>300.35000000000002</v>
      </c>
      <c r="D1532" s="94">
        <v>47.294422357060299</v>
      </c>
      <c r="E1532" s="94">
        <v>2.9909685680314624</v>
      </c>
      <c r="F1532" s="94">
        <v>80.090977535207827</v>
      </c>
      <c r="G1532" s="94">
        <v>6.71</v>
      </c>
      <c r="H1532" s="94">
        <v>0.65420539427643909</v>
      </c>
      <c r="I1532" s="94">
        <v>0</v>
      </c>
      <c r="J1532" s="94">
        <v>1782.9867459803227</v>
      </c>
      <c r="K1532" s="94">
        <v>2.1665043083387836</v>
      </c>
      <c r="L1532" s="94">
        <v>1</v>
      </c>
      <c r="M1532" s="94">
        <v>0</v>
      </c>
      <c r="N1532" s="94">
        <v>0</v>
      </c>
      <c r="O1532" s="94">
        <v>0</v>
      </c>
    </row>
    <row r="1533" spans="1:15" x14ac:dyDescent="0.25">
      <c r="A1533" s="89">
        <v>45327.333333333336</v>
      </c>
      <c r="B1533" s="94">
        <v>359.73329440744112</v>
      </c>
      <c r="C1533" s="94">
        <v>300.35000000000002</v>
      </c>
      <c r="D1533" s="94">
        <v>47.042542051114559</v>
      </c>
      <c r="E1533" s="94">
        <v>2.9557957843286999</v>
      </c>
      <c r="F1533" s="94">
        <v>78.418030449024982</v>
      </c>
      <c r="G1533" s="94">
        <v>6.6542395019531249</v>
      </c>
      <c r="H1533" s="94">
        <v>0.7</v>
      </c>
      <c r="I1533" s="94">
        <v>0</v>
      </c>
      <c r="J1533" s="94">
        <v>1781.4061136529272</v>
      </c>
      <c r="K1533" s="94">
        <v>2.1659999999999999</v>
      </c>
      <c r="L1533" s="94">
        <v>1</v>
      </c>
      <c r="M1533" s="94">
        <v>0</v>
      </c>
      <c r="N1533" s="94">
        <v>0</v>
      </c>
      <c r="O1533" s="94">
        <v>0</v>
      </c>
    </row>
    <row r="1534" spans="1:15" x14ac:dyDescent="0.25">
      <c r="A1534" s="89">
        <v>45327.833333333336</v>
      </c>
      <c r="B1534" s="94">
        <v>359.72</v>
      </c>
      <c r="C1534" s="94">
        <v>299.77460549983232</v>
      </c>
      <c r="D1534" s="94">
        <v>37.822057893555822</v>
      </c>
      <c r="E1534" s="94">
        <v>2.2731687047551996</v>
      </c>
      <c r="F1534" s="94">
        <v>2.2110105849468717</v>
      </c>
      <c r="G1534" s="94">
        <v>0</v>
      </c>
      <c r="H1534" s="94">
        <v>0.74524178340698477</v>
      </c>
      <c r="I1534" s="94">
        <v>0</v>
      </c>
      <c r="J1534" s="94">
        <v>511</v>
      </c>
      <c r="K1534" s="94">
        <v>1.5960000000000001</v>
      </c>
      <c r="L1534" s="94">
        <v>1</v>
      </c>
      <c r="M1534" s="94">
        <v>0</v>
      </c>
      <c r="N1534" s="94">
        <v>0</v>
      </c>
      <c r="O1534" s="94">
        <v>0</v>
      </c>
    </row>
    <row r="1535" spans="1:15" x14ac:dyDescent="0.25">
      <c r="A1535" s="89">
        <v>45328.333333333336</v>
      </c>
      <c r="B1535" s="94">
        <v>359.76</v>
      </c>
      <c r="C1535" s="94">
        <v>299.77928418099663</v>
      </c>
      <c r="D1535" s="94">
        <v>34.270120239257814</v>
      </c>
      <c r="E1535" s="94">
        <v>2.2927809143066407</v>
      </c>
      <c r="F1535" s="94">
        <v>3.0063267424201956</v>
      </c>
      <c r="G1535" s="94">
        <v>0</v>
      </c>
      <c r="H1535" s="94">
        <v>0.74564463655664337</v>
      </c>
      <c r="I1535" s="94">
        <v>0</v>
      </c>
      <c r="J1535" s="94">
        <v>508.7994916957195</v>
      </c>
      <c r="K1535" s="94">
        <v>1.5939155773761868</v>
      </c>
      <c r="L1535" s="94">
        <v>0</v>
      </c>
      <c r="M1535" s="94">
        <v>0</v>
      </c>
      <c r="N1535" s="94">
        <v>0</v>
      </c>
      <c r="O1535" s="94">
        <v>0</v>
      </c>
    </row>
    <row r="1536" spans="1:15" x14ac:dyDescent="0.25">
      <c r="A1536" s="89">
        <v>45328.833333333336</v>
      </c>
      <c r="B1536" s="94">
        <v>359.76</v>
      </c>
      <c r="C1536" s="94">
        <v>299.77962336035716</v>
      </c>
      <c r="D1536" s="94">
        <v>36.96422282613252</v>
      </c>
      <c r="E1536" s="94">
        <v>2.2412025665446889</v>
      </c>
      <c r="F1536" s="94">
        <v>2.2000000000000002</v>
      </c>
      <c r="G1536" s="94">
        <v>0</v>
      </c>
      <c r="H1536" s="94">
        <v>0.86780161461012861</v>
      </c>
      <c r="I1536" s="94">
        <v>0</v>
      </c>
      <c r="J1536" s="94">
        <v>502.59390323041555</v>
      </c>
      <c r="K1536" s="94">
        <v>1.589030929454075</v>
      </c>
      <c r="L1536" s="94">
        <v>1</v>
      </c>
      <c r="M1536" s="94">
        <v>0</v>
      </c>
      <c r="N1536" s="94">
        <v>0</v>
      </c>
      <c r="O1536" s="94">
        <v>0</v>
      </c>
    </row>
    <row r="1537" spans="1:15" x14ac:dyDescent="0.25">
      <c r="A1537" s="89">
        <v>45329.333333333336</v>
      </c>
      <c r="B1537" s="94">
        <v>359.8</v>
      </c>
      <c r="C1537" s="94">
        <v>299.77911131721442</v>
      </c>
      <c r="D1537" s="94">
        <v>35.867183182449658</v>
      </c>
      <c r="E1537" s="94">
        <v>2.2621840837856433</v>
      </c>
      <c r="F1537" s="94">
        <v>1.5316994936681914</v>
      </c>
      <c r="G1537" s="94">
        <v>0</v>
      </c>
      <c r="H1537" s="94">
        <v>0.96274270870629852</v>
      </c>
      <c r="I1537" s="94">
        <v>0</v>
      </c>
      <c r="J1537" s="94">
        <v>504.70665043177627</v>
      </c>
      <c r="K1537" s="94">
        <v>1.5904895795445546</v>
      </c>
      <c r="L1537" s="94">
        <v>1</v>
      </c>
      <c r="M1537" s="94">
        <v>0</v>
      </c>
      <c r="N1537" s="94">
        <v>0</v>
      </c>
      <c r="O1537" s="94">
        <v>0</v>
      </c>
    </row>
    <row r="1538" spans="1:15" x14ac:dyDescent="0.25">
      <c r="A1538" s="89">
        <v>45329.833333333336</v>
      </c>
      <c r="B1538" s="94">
        <v>359.8</v>
      </c>
      <c r="C1538" s="94">
        <v>300.45152466423571</v>
      </c>
      <c r="D1538" s="94">
        <v>73.164596159334607</v>
      </c>
      <c r="E1538" s="94">
        <v>5.97</v>
      </c>
      <c r="F1538" s="94">
        <v>75.507960779526655</v>
      </c>
      <c r="G1538" s="94">
        <v>5.9402393320211839</v>
      </c>
      <c r="H1538" s="94">
        <v>-0.12070335608125828</v>
      </c>
      <c r="I1538" s="94">
        <v>0</v>
      </c>
      <c r="J1538" s="94">
        <v>2112.833129616432</v>
      </c>
      <c r="K1538" s="94">
        <v>2.2599815709361946</v>
      </c>
      <c r="L1538" s="94">
        <v>1</v>
      </c>
      <c r="M1538" s="94">
        <v>0</v>
      </c>
      <c r="N1538" s="94">
        <v>0</v>
      </c>
      <c r="O1538" s="94">
        <v>0</v>
      </c>
    </row>
    <row r="1539" spans="1:15" x14ac:dyDescent="0.25">
      <c r="A1539" s="89">
        <v>45330.333333333336</v>
      </c>
      <c r="B1539" s="94">
        <v>359.85989389835873</v>
      </c>
      <c r="C1539" s="94">
        <v>300.4385585365419</v>
      </c>
      <c r="D1539" s="94">
        <v>66.64364929199219</v>
      </c>
      <c r="E1539" s="94">
        <v>5.7143649291992187</v>
      </c>
      <c r="F1539" s="94">
        <v>68.206283315022787</v>
      </c>
      <c r="G1539" s="94">
        <v>5.7587077007083378</v>
      </c>
      <c r="H1539" s="94">
        <v>0.8</v>
      </c>
      <c r="I1539" s="94">
        <v>0</v>
      </c>
      <c r="J1539" s="94">
        <v>2029.2076916803937</v>
      </c>
      <c r="K1539" s="94">
        <v>2.2361066388159259</v>
      </c>
      <c r="L1539" s="94">
        <v>0</v>
      </c>
      <c r="M1539" s="94">
        <v>0</v>
      </c>
      <c r="N1539" s="94">
        <v>0</v>
      </c>
      <c r="O1539" s="94">
        <v>0</v>
      </c>
    </row>
    <row r="1540" spans="1:15" x14ac:dyDescent="0.25">
      <c r="A1540" s="89">
        <v>45330.833333333336</v>
      </c>
      <c r="B1540" s="94">
        <v>359.86</v>
      </c>
      <c r="C1540" s="94">
        <v>300.42857565464959</v>
      </c>
      <c r="D1540" s="94">
        <v>69.942790960129457</v>
      </c>
      <c r="E1540" s="94">
        <v>5.7463996887207029</v>
      </c>
      <c r="F1540" s="94">
        <v>68.599999999999994</v>
      </c>
      <c r="G1540" s="94">
        <v>5.7113326198302881</v>
      </c>
      <c r="H1540" s="94">
        <v>0.8</v>
      </c>
      <c r="I1540" s="94">
        <v>0</v>
      </c>
      <c r="J1540" s="94">
        <v>2031.0852669924668</v>
      </c>
      <c r="K1540" s="94">
        <v>2.238</v>
      </c>
      <c r="L1540" s="94">
        <v>1</v>
      </c>
      <c r="M1540" s="94">
        <v>0</v>
      </c>
      <c r="N1540" s="94">
        <v>0</v>
      </c>
      <c r="O1540" s="94">
        <v>0</v>
      </c>
    </row>
    <row r="1541" spans="1:15" x14ac:dyDescent="0.25">
      <c r="A1541" s="89">
        <v>45331.333333333336</v>
      </c>
      <c r="B1541" s="94">
        <v>359.86</v>
      </c>
      <c r="C1541" s="94">
        <v>300.43</v>
      </c>
      <c r="D1541" s="94">
        <v>69.443798184194591</v>
      </c>
      <c r="E1541" s="94">
        <v>5.7380999755859374</v>
      </c>
      <c r="F1541" s="94">
        <v>68.097313187036605</v>
      </c>
      <c r="G1541" s="94">
        <v>5.7375176851809595</v>
      </c>
      <c r="H1541" s="94">
        <v>0.88636647790434586</v>
      </c>
      <c r="I1541" s="94">
        <v>0</v>
      </c>
      <c r="J1541" s="94">
        <v>2036.6095931698796</v>
      </c>
      <c r="K1541" s="94">
        <v>2.2389972188260896</v>
      </c>
      <c r="L1541" s="94">
        <v>0</v>
      </c>
      <c r="M1541" s="94">
        <v>0</v>
      </c>
      <c r="N1541" s="94">
        <v>0</v>
      </c>
      <c r="O1541" s="94">
        <v>0</v>
      </c>
    </row>
    <row r="1542" spans="1:15" x14ac:dyDescent="0.25">
      <c r="A1542" s="89">
        <v>45331.833333333336</v>
      </c>
      <c r="B1542" s="94">
        <v>359.86</v>
      </c>
      <c r="C1542" s="94">
        <v>300.52</v>
      </c>
      <c r="D1542" s="94">
        <v>80.451793328141051</v>
      </c>
      <c r="E1542" s="94">
        <v>6.6063443187707689</v>
      </c>
      <c r="F1542" s="94">
        <v>77.328940121969083</v>
      </c>
      <c r="G1542" s="94">
        <v>6.7374718264937279</v>
      </c>
      <c r="H1542" s="94">
        <v>0.8</v>
      </c>
      <c r="I1542" s="94">
        <v>0</v>
      </c>
      <c r="J1542" s="94">
        <v>2344.371328998765</v>
      </c>
      <c r="K1542" s="94">
        <v>2.3210213104916027</v>
      </c>
      <c r="L1542" s="94">
        <v>1</v>
      </c>
      <c r="M1542" s="94">
        <v>0</v>
      </c>
      <c r="N1542" s="94">
        <v>0</v>
      </c>
      <c r="O1542" s="94">
        <v>0</v>
      </c>
    </row>
    <row r="1543" spans="1:15" x14ac:dyDescent="0.25">
      <c r="A1543" s="89">
        <v>45332.333333333336</v>
      </c>
      <c r="B1543" s="94">
        <v>359.86</v>
      </c>
      <c r="C1543" s="94">
        <v>300.51829852256043</v>
      </c>
      <c r="D1543" s="94">
        <v>79.3</v>
      </c>
      <c r="E1543" s="94">
        <v>6.6425275272477835</v>
      </c>
      <c r="F1543" s="94">
        <v>79.235590294867009</v>
      </c>
      <c r="G1543" s="94">
        <v>6.6241459451172773</v>
      </c>
      <c r="H1543" s="94">
        <v>0.8</v>
      </c>
      <c r="I1543" s="94">
        <v>0</v>
      </c>
      <c r="J1543" s="94">
        <v>2326.7786619492781</v>
      </c>
      <c r="K1543" s="94">
        <v>2.315640225216324</v>
      </c>
      <c r="L1543" s="94">
        <v>9.7238460944965022E-2</v>
      </c>
      <c r="M1543" s="94">
        <v>0</v>
      </c>
      <c r="N1543" s="94">
        <v>0</v>
      </c>
      <c r="O1543" s="94">
        <v>0</v>
      </c>
    </row>
    <row r="1544" spans="1:15" x14ac:dyDescent="0.25">
      <c r="A1544" s="89">
        <v>45332.833333333336</v>
      </c>
      <c r="B1544" s="94">
        <v>359.86</v>
      </c>
      <c r="C1544" s="94">
        <v>300.52</v>
      </c>
      <c r="D1544" s="94">
        <v>79.400000000000006</v>
      </c>
      <c r="E1544" s="94">
        <v>6.6517855218615622</v>
      </c>
      <c r="F1544" s="94">
        <v>79.367941477298004</v>
      </c>
      <c r="G1544" s="94">
        <v>6.64</v>
      </c>
      <c r="H1544" s="94">
        <v>0.7728955869261096</v>
      </c>
      <c r="I1544" s="94">
        <v>0</v>
      </c>
      <c r="J1544" s="94">
        <v>2327.6219102613495</v>
      </c>
      <c r="K1544" s="94">
        <v>2.3159835960943971</v>
      </c>
      <c r="L1544" s="94">
        <v>1</v>
      </c>
      <c r="M1544" s="94">
        <v>0</v>
      </c>
      <c r="N1544" s="94">
        <v>0</v>
      </c>
      <c r="O1544" s="94">
        <v>0</v>
      </c>
    </row>
    <row r="1545" spans="1:15" x14ac:dyDescent="0.25">
      <c r="A1545" s="89">
        <v>45333.333333333336</v>
      </c>
      <c r="B1545" s="94">
        <v>359.86</v>
      </c>
      <c r="C1545" s="94">
        <v>300.51307328598375</v>
      </c>
      <c r="D1545" s="94">
        <v>78.897801610088393</v>
      </c>
      <c r="E1545" s="94">
        <v>6.6285670820273674</v>
      </c>
      <c r="F1545" s="94">
        <v>79.2</v>
      </c>
      <c r="G1545" s="94">
        <v>6.6471942297548336</v>
      </c>
      <c r="H1545" s="94">
        <v>0.8</v>
      </c>
      <c r="I1545" s="94">
        <v>0</v>
      </c>
      <c r="J1545" s="94">
        <v>2322.0174156382368</v>
      </c>
      <c r="K1545" s="94">
        <v>2.314304277790225</v>
      </c>
      <c r="L1545" s="94">
        <v>5.8420907268704997E-2</v>
      </c>
      <c r="M1545" s="94">
        <v>0</v>
      </c>
      <c r="N1545" s="94">
        <v>0</v>
      </c>
      <c r="O1545" s="94">
        <v>0</v>
      </c>
    </row>
    <row r="1546" spans="1:15" x14ac:dyDescent="0.25">
      <c r="A1546" s="89">
        <v>45333.833333333336</v>
      </c>
      <c r="B1546" s="94">
        <v>359.86</v>
      </c>
      <c r="C1546" s="94">
        <v>300.51624211409097</v>
      </c>
      <c r="D1546" s="94">
        <v>79.748246600096223</v>
      </c>
      <c r="E1546" s="94">
        <v>6.6208922304247855</v>
      </c>
      <c r="F1546" s="94">
        <v>80.787763616388489</v>
      </c>
      <c r="G1546" s="94">
        <v>6.6510183197039607</v>
      </c>
      <c r="H1546" s="94">
        <v>0.75806681315104163</v>
      </c>
      <c r="I1546" s="94">
        <v>0</v>
      </c>
      <c r="J1546" s="94">
        <v>2330</v>
      </c>
      <c r="K1546" s="94">
        <v>2.3170000000000002</v>
      </c>
      <c r="L1546" s="94">
        <v>1</v>
      </c>
      <c r="M1546" s="94">
        <v>0</v>
      </c>
      <c r="N1546" s="94">
        <v>0</v>
      </c>
      <c r="O1546" s="94">
        <v>0</v>
      </c>
    </row>
    <row r="1547" spans="1:15" x14ac:dyDescent="0.25">
      <c r="A1547" s="89">
        <v>45334.333333333336</v>
      </c>
      <c r="B1547" s="94">
        <v>359.79</v>
      </c>
      <c r="C1547" s="94">
        <v>300.52</v>
      </c>
      <c r="D1547" s="94">
        <v>79.495981717777127</v>
      </c>
      <c r="E1547" s="94">
        <v>6.6335807098363917</v>
      </c>
      <c r="F1547" s="94">
        <v>80.505493063235022</v>
      </c>
      <c r="G1547" s="94">
        <v>6.6727565509724762</v>
      </c>
      <c r="H1547" s="94">
        <v>0.8</v>
      </c>
      <c r="I1547" s="94">
        <v>0</v>
      </c>
      <c r="J1547" s="94">
        <v>2326</v>
      </c>
      <c r="K1547" s="94">
        <v>2.3166663291250491</v>
      </c>
      <c r="L1547" s="94">
        <v>1</v>
      </c>
      <c r="M1547" s="94">
        <v>0</v>
      </c>
      <c r="N1547" s="94">
        <v>0</v>
      </c>
      <c r="O1547" s="94">
        <v>0</v>
      </c>
    </row>
    <row r="1548" spans="1:15" x14ac:dyDescent="0.25">
      <c r="A1548" s="89">
        <v>45334.833333333336</v>
      </c>
      <c r="B1548" s="94">
        <v>359.79</v>
      </c>
      <c r="C1548" s="94">
        <v>300.52</v>
      </c>
      <c r="D1548" s="94">
        <v>80.2</v>
      </c>
      <c r="E1548" s="94">
        <v>6.6551364759222924</v>
      </c>
      <c r="F1548" s="94">
        <v>80.785411444706682</v>
      </c>
      <c r="G1548" s="94">
        <v>6.6610970335627711</v>
      </c>
      <c r="H1548" s="94">
        <v>0.74679069672842879</v>
      </c>
      <c r="I1548" s="94">
        <v>0</v>
      </c>
      <c r="J1548" s="94">
        <v>2326.7896868021703</v>
      </c>
      <c r="K1548" s="94">
        <v>2.3170000000000002</v>
      </c>
      <c r="L1548" s="94">
        <v>1</v>
      </c>
      <c r="M1548" s="94">
        <v>0</v>
      </c>
      <c r="N1548" s="94">
        <v>0</v>
      </c>
      <c r="O1548" s="94">
        <v>0</v>
      </c>
    </row>
    <row r="1549" spans="1:15" x14ac:dyDescent="0.25">
      <c r="A1549" s="89">
        <v>45335.333333333336</v>
      </c>
      <c r="B1549" s="94">
        <v>359.77</v>
      </c>
      <c r="C1549" s="94">
        <v>300.52</v>
      </c>
      <c r="D1549" s="94">
        <v>79.599999999999994</v>
      </c>
      <c r="E1549" s="94">
        <v>6.6226678910315275</v>
      </c>
      <c r="F1549" s="94">
        <v>80.647765500289907</v>
      </c>
      <c r="G1549" s="94">
        <v>6.6672693150307172</v>
      </c>
      <c r="H1549" s="94">
        <v>0.76852891933028922</v>
      </c>
      <c r="I1549" s="94">
        <v>0</v>
      </c>
      <c r="J1549" s="94">
        <v>2326.7878819838379</v>
      </c>
      <c r="K1549" s="94">
        <v>2.3166783363137666</v>
      </c>
      <c r="L1549" s="94">
        <v>1</v>
      </c>
      <c r="M1549" s="94">
        <v>0</v>
      </c>
      <c r="N1549" s="94">
        <v>0</v>
      </c>
      <c r="O1549" s="94">
        <v>0</v>
      </c>
    </row>
    <row r="1550" spans="1:15" x14ac:dyDescent="0.25">
      <c r="A1550" s="89">
        <v>45335.833333333336</v>
      </c>
      <c r="B1550" s="94">
        <v>359.77</v>
      </c>
      <c r="C1550" s="94">
        <v>300.46871393217259</v>
      </c>
      <c r="D1550" s="94">
        <v>70.211689413257062</v>
      </c>
      <c r="E1550" s="94">
        <v>5.93</v>
      </c>
      <c r="F1550" s="94">
        <v>75.457396599985302</v>
      </c>
      <c r="G1550" s="94">
        <v>5.9537600708007812</v>
      </c>
      <c r="H1550" s="94">
        <v>0.72379760742187493</v>
      </c>
      <c r="I1550" s="94">
        <v>0</v>
      </c>
      <c r="J1550" s="94">
        <v>2104</v>
      </c>
      <c r="K1550" s="94">
        <v>2.258</v>
      </c>
      <c r="L1550" s="94">
        <v>1</v>
      </c>
      <c r="M1550" s="94">
        <v>0</v>
      </c>
      <c r="N1550" s="94">
        <v>0</v>
      </c>
      <c r="O1550" s="94">
        <v>0</v>
      </c>
    </row>
    <row r="1551" spans="1:15" x14ac:dyDescent="0.25">
      <c r="A1551" s="89">
        <v>45336.333333333336</v>
      </c>
      <c r="B1551" s="94">
        <v>359.77</v>
      </c>
      <c r="C1551" s="94">
        <v>300.46250744551435</v>
      </c>
      <c r="D1551" s="94">
        <v>69.556161489434928</v>
      </c>
      <c r="E1551" s="94">
        <v>5.9263598632812498</v>
      </c>
      <c r="F1551" s="94">
        <v>75.193607358579285</v>
      </c>
      <c r="G1551" s="94">
        <v>5.9657371892750257</v>
      </c>
      <c r="H1551" s="94">
        <v>0.72646342591165503</v>
      </c>
      <c r="I1551" s="94">
        <v>0</v>
      </c>
      <c r="J1551" s="94">
        <v>2104</v>
      </c>
      <c r="K1551" s="94">
        <v>2.2590926816855035</v>
      </c>
      <c r="L1551" s="94">
        <v>0</v>
      </c>
      <c r="M1551" s="94">
        <v>0</v>
      </c>
      <c r="N1551" s="94">
        <v>0</v>
      </c>
      <c r="O1551" s="94">
        <v>0</v>
      </c>
    </row>
    <row r="1552" spans="1:15" x14ac:dyDescent="0.25">
      <c r="A1552" s="89">
        <v>45336.833333333336</v>
      </c>
      <c r="B1552" s="94">
        <v>359.77</v>
      </c>
      <c r="C1552" s="94">
        <v>300.46993491459693</v>
      </c>
      <c r="D1552" s="94">
        <v>71.830974740932646</v>
      </c>
      <c r="E1552" s="94">
        <v>5.9378132536516555</v>
      </c>
      <c r="F1552" s="94">
        <v>75.864038663412913</v>
      </c>
      <c r="G1552" s="94">
        <v>5.9874671592775046</v>
      </c>
      <c r="H1552" s="94">
        <v>0.73662722524251145</v>
      </c>
      <c r="I1552" s="94">
        <v>0</v>
      </c>
      <c r="J1552" s="94">
        <v>2105.4052114064502</v>
      </c>
      <c r="K1552" s="94">
        <v>2.2587161702449521</v>
      </c>
      <c r="L1552" s="94">
        <v>1</v>
      </c>
      <c r="M1552" s="94">
        <v>0</v>
      </c>
      <c r="N1552" s="94">
        <v>0</v>
      </c>
      <c r="O1552" s="94">
        <v>0</v>
      </c>
    </row>
    <row r="1553" spans="1:15" x14ac:dyDescent="0.25">
      <c r="A1553" s="89">
        <v>45337.333333333336</v>
      </c>
      <c r="B1553" s="94">
        <v>359.75</v>
      </c>
      <c r="C1553" s="94">
        <v>300.45999999999998</v>
      </c>
      <c r="D1553" s="94">
        <v>72.004399974926102</v>
      </c>
      <c r="E1553" s="94">
        <v>5.9329748758434713</v>
      </c>
      <c r="F1553" s="94">
        <v>75.7</v>
      </c>
      <c r="G1553" s="94">
        <v>5.9627913104758399</v>
      </c>
      <c r="H1553" s="94">
        <v>0.8</v>
      </c>
      <c r="I1553" s="94">
        <v>0</v>
      </c>
      <c r="J1553" s="94">
        <v>2112.0350517624952</v>
      </c>
      <c r="K1553" s="94">
        <v>2.2595472678904507</v>
      </c>
      <c r="L1553" s="94">
        <v>0</v>
      </c>
      <c r="M1553" s="94">
        <v>0</v>
      </c>
      <c r="N1553" s="94">
        <v>0</v>
      </c>
      <c r="O1553" s="94">
        <v>0</v>
      </c>
    </row>
    <row r="1554" spans="1:15" x14ac:dyDescent="0.25">
      <c r="A1554" s="89">
        <v>45337.833333333336</v>
      </c>
      <c r="B1554" s="94">
        <v>359.75</v>
      </c>
      <c r="C1554" s="94">
        <v>300.46292210129877</v>
      </c>
      <c r="D1554" s="94">
        <v>70.206971779884512</v>
      </c>
      <c r="E1554" s="94">
        <v>5.9472347257048499</v>
      </c>
      <c r="F1554" s="94">
        <v>75.8</v>
      </c>
      <c r="G1554" s="94">
        <v>5.9664155712841254</v>
      </c>
      <c r="H1554" s="94">
        <v>0.8937862009588371</v>
      </c>
      <c r="I1554" s="94">
        <v>0</v>
      </c>
      <c r="J1554" s="94">
        <v>2103.206658781995</v>
      </c>
      <c r="K1554" s="94">
        <v>2.2570000000000001</v>
      </c>
      <c r="L1554" s="94">
        <v>1</v>
      </c>
      <c r="M1554" s="94">
        <v>0</v>
      </c>
      <c r="N1554" s="94">
        <v>0</v>
      </c>
      <c r="O1554" s="94">
        <v>0</v>
      </c>
    </row>
    <row r="1555" spans="1:15" x14ac:dyDescent="0.25">
      <c r="A1555" s="89">
        <v>45338.333333333336</v>
      </c>
      <c r="B1555" s="94">
        <v>359.75</v>
      </c>
      <c r="C1555" s="94">
        <v>300.45852497479643</v>
      </c>
      <c r="D1555" s="94">
        <v>72.117269020458181</v>
      </c>
      <c r="E1555" s="94">
        <v>5.936874420258488</v>
      </c>
      <c r="F1555" s="94">
        <v>75.7</v>
      </c>
      <c r="G1555" s="94">
        <v>5.932768730017659</v>
      </c>
      <c r="H1555" s="94">
        <v>0.85434318351801586</v>
      </c>
      <c r="I1555" s="94">
        <v>0</v>
      </c>
      <c r="J1555" s="94">
        <v>2108.8061689506535</v>
      </c>
      <c r="K1555" s="94">
        <v>2.2589103980313765</v>
      </c>
      <c r="L1555" s="94">
        <v>0</v>
      </c>
      <c r="M1555" s="94">
        <v>0</v>
      </c>
      <c r="N1555" s="94">
        <v>0</v>
      </c>
      <c r="O1555" s="94">
        <v>0</v>
      </c>
    </row>
    <row r="1556" spans="1:15" x14ac:dyDescent="0.25">
      <c r="A1556" s="89">
        <v>45338.833333333336</v>
      </c>
      <c r="B1556" s="94">
        <v>359.75</v>
      </c>
      <c r="C1556" s="94">
        <v>300.46743304952605</v>
      </c>
      <c r="D1556" s="94">
        <v>72.438748373155306</v>
      </c>
      <c r="E1556" s="94">
        <v>5.946259833937737</v>
      </c>
      <c r="F1556" s="94">
        <v>75.788028708485044</v>
      </c>
      <c r="G1556" s="94">
        <v>5.96</v>
      </c>
      <c r="H1556" s="94">
        <v>0.85186953337296201</v>
      </c>
      <c r="I1556" s="94">
        <v>0</v>
      </c>
      <c r="J1556" s="94">
        <v>2119.8082217893921</v>
      </c>
      <c r="K1556" s="94">
        <v>2.2619124513859834</v>
      </c>
      <c r="L1556" s="94">
        <v>1</v>
      </c>
      <c r="M1556" s="94">
        <v>0</v>
      </c>
      <c r="N1556" s="94">
        <v>0</v>
      </c>
      <c r="O1556" s="94">
        <v>0</v>
      </c>
    </row>
    <row r="1557" spans="1:15" x14ac:dyDescent="0.25">
      <c r="A1557" s="89">
        <v>45339.333333333336</v>
      </c>
      <c r="B1557" s="94">
        <v>359.75</v>
      </c>
      <c r="C1557" s="94">
        <v>300.4670930328507</v>
      </c>
      <c r="D1557" s="94">
        <v>70.901434391307546</v>
      </c>
      <c r="E1557" s="94">
        <v>5.9236639122665</v>
      </c>
      <c r="F1557" s="94">
        <v>75.77557391822333</v>
      </c>
      <c r="G1557" s="94">
        <v>5.9549074578665859</v>
      </c>
      <c r="H1557" s="94">
        <v>0.83881372912176733</v>
      </c>
      <c r="I1557" s="94">
        <v>0</v>
      </c>
      <c r="J1557" s="94">
        <v>2114.2082134835969</v>
      </c>
      <c r="K1557" s="94">
        <v>2.2597718721128746</v>
      </c>
      <c r="L1557" s="94">
        <v>0</v>
      </c>
      <c r="M1557" s="94">
        <v>0</v>
      </c>
      <c r="N1557" s="94">
        <v>0</v>
      </c>
      <c r="O1557" s="94">
        <v>0</v>
      </c>
    </row>
    <row r="1558" spans="1:15" x14ac:dyDescent="0.25">
      <c r="A1558" s="89">
        <v>45339.833333333336</v>
      </c>
      <c r="B1558" s="94">
        <v>359.75</v>
      </c>
      <c r="C1558" s="94">
        <v>300.4634766159819</v>
      </c>
      <c r="D1558" s="94">
        <v>72.79408322176559</v>
      </c>
      <c r="E1558" s="94">
        <v>5.94</v>
      </c>
      <c r="F1558" s="94">
        <v>75.845770183730309</v>
      </c>
      <c r="G1558" s="94">
        <v>5.9473797607421872</v>
      </c>
      <c r="H1558" s="94">
        <v>0.8</v>
      </c>
      <c r="I1558" s="94">
        <v>0</v>
      </c>
      <c r="J1558" s="94">
        <v>2104</v>
      </c>
      <c r="K1558" s="94">
        <v>2.258</v>
      </c>
      <c r="L1558" s="94">
        <v>1</v>
      </c>
      <c r="M1558" s="94">
        <v>0</v>
      </c>
      <c r="N1558" s="94">
        <v>0</v>
      </c>
      <c r="O1558" s="94">
        <v>0</v>
      </c>
    </row>
    <row r="1559" spans="1:15" x14ac:dyDescent="0.25">
      <c r="A1559" s="89">
        <v>45340.333333333336</v>
      </c>
      <c r="B1559" s="94">
        <v>359.75</v>
      </c>
      <c r="C1559" s="94">
        <v>300.46629686495527</v>
      </c>
      <c r="D1559" s="94">
        <v>72.141390883387913</v>
      </c>
      <c r="E1559" s="94">
        <v>5.9285066731770835</v>
      </c>
      <c r="F1559" s="94">
        <v>75.724628557477686</v>
      </c>
      <c r="G1559" s="94">
        <v>5.926920722375268</v>
      </c>
      <c r="H1559" s="94">
        <v>0.84714167652736294</v>
      </c>
      <c r="I1559" s="94">
        <v>0</v>
      </c>
      <c r="J1559" s="94">
        <v>2106.1897351556377</v>
      </c>
      <c r="K1559" s="94">
        <v>2.2590694746858455</v>
      </c>
      <c r="L1559" s="94">
        <v>1</v>
      </c>
      <c r="M1559" s="94">
        <v>0</v>
      </c>
      <c r="N1559" s="94">
        <v>0</v>
      </c>
      <c r="O1559" s="94">
        <v>0</v>
      </c>
    </row>
    <row r="1560" spans="1:15" x14ac:dyDescent="0.25">
      <c r="A1560" s="89">
        <v>45340.833333333336</v>
      </c>
      <c r="B1560" s="94">
        <v>359.75</v>
      </c>
      <c r="C1560" s="94">
        <v>300.46286287704385</v>
      </c>
      <c r="D1560" s="94">
        <v>73.075354500616513</v>
      </c>
      <c r="E1560" s="94">
        <v>5.95</v>
      </c>
      <c r="F1560" s="94">
        <v>75.892298455821944</v>
      </c>
      <c r="G1560" s="94">
        <v>5.94</v>
      </c>
      <c r="H1560" s="94">
        <v>0.7</v>
      </c>
      <c r="I1560" s="94">
        <v>0</v>
      </c>
      <c r="J1560" s="94">
        <v>2102.397170760551</v>
      </c>
      <c r="K1560" s="94">
        <v>2.2579357986153199</v>
      </c>
      <c r="L1560" s="94">
        <v>1</v>
      </c>
      <c r="M1560" s="94">
        <v>0</v>
      </c>
      <c r="N1560" s="94">
        <v>0</v>
      </c>
      <c r="O1560" s="94">
        <v>0</v>
      </c>
    </row>
    <row r="1561" spans="1:15" x14ac:dyDescent="0.25">
      <c r="A1561" s="89">
        <v>45341.333333333336</v>
      </c>
      <c r="B1561" s="94">
        <v>359.64</v>
      </c>
      <c r="C1561" s="94">
        <v>300.46340036596746</v>
      </c>
      <c r="D1561" s="94">
        <v>72.5</v>
      </c>
      <c r="E1561" s="94">
        <v>5.9242987539178964</v>
      </c>
      <c r="F1561" s="94">
        <v>75.656813042382893</v>
      </c>
      <c r="G1561" s="94">
        <v>5.96</v>
      </c>
      <c r="H1561" s="94">
        <v>0.8</v>
      </c>
      <c r="I1561" s="94">
        <v>0</v>
      </c>
      <c r="J1561" s="94">
        <v>2104</v>
      </c>
      <c r="K1561" s="94">
        <v>2.2599999999999998</v>
      </c>
      <c r="L1561" s="94">
        <v>1</v>
      </c>
      <c r="M1561" s="94">
        <v>0</v>
      </c>
      <c r="N1561" s="94">
        <v>0</v>
      </c>
      <c r="O1561" s="94">
        <v>0</v>
      </c>
    </row>
    <row r="1562" spans="1:15" x14ac:dyDescent="0.25">
      <c r="A1562" s="89">
        <v>45341.833333333336</v>
      </c>
      <c r="B1562" s="94">
        <v>359.64</v>
      </c>
      <c r="C1562" s="94">
        <v>300.46426554659865</v>
      </c>
      <c r="D1562" s="94">
        <v>73.142233158115957</v>
      </c>
      <c r="E1562" s="94">
        <v>5.97</v>
      </c>
      <c r="F1562" s="94">
        <v>75.724104076111743</v>
      </c>
      <c r="G1562" s="94">
        <v>5.96</v>
      </c>
      <c r="H1562" s="94">
        <v>0.70216263287656788</v>
      </c>
      <c r="I1562" s="94">
        <v>0</v>
      </c>
      <c r="J1562" s="94">
        <v>2101.6013722118901</v>
      </c>
      <c r="K1562" s="94">
        <v>2.258</v>
      </c>
      <c r="L1562" s="94">
        <v>1</v>
      </c>
      <c r="M1562" s="94">
        <v>0</v>
      </c>
      <c r="N1562" s="94">
        <v>0</v>
      </c>
      <c r="O1562" s="94">
        <v>0</v>
      </c>
    </row>
    <row r="1563" spans="1:15" x14ac:dyDescent="0.25">
      <c r="A1563" s="89">
        <v>45342.333333333336</v>
      </c>
      <c r="B1563" s="94">
        <v>359.64</v>
      </c>
      <c r="C1563" s="94">
        <v>300.4614301188364</v>
      </c>
      <c r="D1563" s="94">
        <v>72.119763842263779</v>
      </c>
      <c r="E1563" s="94">
        <v>5.947497479761723</v>
      </c>
      <c r="F1563" s="94">
        <v>75.77850691946783</v>
      </c>
      <c r="G1563" s="94">
        <v>5.959188766917598</v>
      </c>
      <c r="H1563" s="94">
        <v>0.8</v>
      </c>
      <c r="I1563" s="94">
        <v>0</v>
      </c>
      <c r="J1563" s="94">
        <v>2103.2010189338121</v>
      </c>
      <c r="K1563" s="94">
        <v>2.2579394544811624</v>
      </c>
      <c r="L1563" s="94">
        <v>0</v>
      </c>
      <c r="M1563" s="94">
        <v>0</v>
      </c>
      <c r="N1563" s="94">
        <v>0</v>
      </c>
      <c r="O1563" s="94">
        <v>0</v>
      </c>
    </row>
    <row r="1564" spans="1:15" x14ac:dyDescent="0.25">
      <c r="A1564" s="89">
        <v>45342.833333333336</v>
      </c>
      <c r="B1564" s="94">
        <v>359.64</v>
      </c>
      <c r="C1564" s="94">
        <v>300.45999999999998</v>
      </c>
      <c r="D1564" s="94">
        <v>71.738398742675784</v>
      </c>
      <c r="E1564" s="94">
        <v>5.9334192969822137</v>
      </c>
      <c r="F1564" s="94">
        <v>75.8</v>
      </c>
      <c r="G1564" s="94">
        <v>5.9585986161812103</v>
      </c>
      <c r="H1564" s="94">
        <v>0.73737485246280754</v>
      </c>
      <c r="I1564" s="94">
        <v>0</v>
      </c>
      <c r="J1564" s="94">
        <v>2100.790054931329</v>
      </c>
      <c r="K1564" s="94">
        <v>2.2577800831761841</v>
      </c>
      <c r="L1564" s="94">
        <v>1</v>
      </c>
      <c r="M1564" s="94">
        <v>0</v>
      </c>
      <c r="N1564" s="94">
        <v>0</v>
      </c>
      <c r="O1564" s="94">
        <v>0</v>
      </c>
    </row>
    <row r="1565" spans="1:15" x14ac:dyDescent="0.25">
      <c r="A1565" s="89">
        <v>45343.333333333336</v>
      </c>
      <c r="B1565" s="94">
        <v>359.64</v>
      </c>
      <c r="C1565" s="94">
        <v>300.46426838764842</v>
      </c>
      <c r="D1565" s="94">
        <v>72.599999999999994</v>
      </c>
      <c r="E1565" s="94">
        <v>5.9287574344469078</v>
      </c>
      <c r="F1565" s="94">
        <v>75.599999999999994</v>
      </c>
      <c r="G1565" s="94">
        <v>5.9583757987874817</v>
      </c>
      <c r="H1565" s="94">
        <v>0.73076054003358848</v>
      </c>
      <c r="I1565" s="94">
        <v>0</v>
      </c>
      <c r="J1565" s="94">
        <v>2100.7988124741487</v>
      </c>
      <c r="K1565" s="94">
        <v>2.2562568269677832</v>
      </c>
      <c r="L1565" s="94">
        <v>0</v>
      </c>
      <c r="M1565" s="94">
        <v>0</v>
      </c>
      <c r="N1565" s="94">
        <v>0</v>
      </c>
      <c r="O1565" s="94">
        <v>0</v>
      </c>
    </row>
    <row r="1566" spans="1:15" x14ac:dyDescent="0.25">
      <c r="A1566" s="89">
        <v>45343.833333333336</v>
      </c>
      <c r="B1566" s="94">
        <v>359.64</v>
      </c>
      <c r="C1566" s="94">
        <v>300.47000000000003</v>
      </c>
      <c r="D1566" s="94">
        <v>72.597648325249267</v>
      </c>
      <c r="E1566" s="94">
        <v>5.9021161626185066</v>
      </c>
      <c r="F1566" s="94">
        <v>75.840545415331775</v>
      </c>
      <c r="G1566" s="94">
        <v>5.9481636548223351</v>
      </c>
      <c r="H1566" s="94">
        <v>0.7</v>
      </c>
      <c r="I1566" s="94">
        <v>0</v>
      </c>
      <c r="J1566" s="94">
        <v>2104</v>
      </c>
      <c r="K1566" s="94">
        <v>2.2578803375269465</v>
      </c>
      <c r="L1566" s="94">
        <v>1</v>
      </c>
      <c r="M1566" s="94">
        <v>0</v>
      </c>
      <c r="N1566" s="94">
        <v>0</v>
      </c>
      <c r="O1566" s="94">
        <v>0</v>
      </c>
    </row>
    <row r="1567" spans="1:15" x14ac:dyDescent="0.25">
      <c r="A1567" s="89">
        <v>45344.333333333336</v>
      </c>
      <c r="B1567" s="94">
        <v>359.62</v>
      </c>
      <c r="C1567" s="94">
        <v>300.46197705731743</v>
      </c>
      <c r="D1567" s="94">
        <v>72.34388896117315</v>
      </c>
      <c r="E1567" s="94">
        <v>5.9362081784386618</v>
      </c>
      <c r="F1567" s="94">
        <v>75.46256205037345</v>
      </c>
      <c r="G1567" s="94">
        <v>5.9408098830273852</v>
      </c>
      <c r="H1567" s="94">
        <v>0.70929509746725938</v>
      </c>
      <c r="I1567" s="94">
        <v>0</v>
      </c>
      <c r="J1567" s="94">
        <v>2100</v>
      </c>
      <c r="K1567" s="94">
        <v>2.2576780652014099</v>
      </c>
      <c r="L1567" s="94">
        <v>6.3183452662816442E-2</v>
      </c>
      <c r="M1567" s="94">
        <v>0</v>
      </c>
      <c r="N1567" s="94">
        <v>0</v>
      </c>
      <c r="O1567" s="94">
        <v>0</v>
      </c>
    </row>
    <row r="1568" spans="1:15" x14ac:dyDescent="0.25">
      <c r="A1568" s="89">
        <v>45344.833333333336</v>
      </c>
      <c r="B1568" s="94">
        <v>359.62</v>
      </c>
      <c r="C1568" s="94">
        <v>300.46898127130879</v>
      </c>
      <c r="D1568" s="94">
        <v>72.608585612474869</v>
      </c>
      <c r="E1568" s="94">
        <v>5.9295507637017071</v>
      </c>
      <c r="F1568" s="94">
        <v>76.832368109779893</v>
      </c>
      <c r="G1568" s="94">
        <v>6.0197435794542535</v>
      </c>
      <c r="H1568" s="94">
        <v>0.7</v>
      </c>
      <c r="I1568" s="94">
        <v>0</v>
      </c>
      <c r="J1568" s="94">
        <v>2115</v>
      </c>
      <c r="K1568" s="94">
        <v>2.2620201275948117</v>
      </c>
      <c r="L1568" s="94">
        <v>1</v>
      </c>
      <c r="M1568" s="94">
        <v>0</v>
      </c>
      <c r="N1568" s="94">
        <v>0</v>
      </c>
      <c r="O1568" s="94">
        <v>0</v>
      </c>
    </row>
    <row r="1569" spans="1:15" x14ac:dyDescent="0.25">
      <c r="A1569" s="89">
        <v>45345.333333333336</v>
      </c>
      <c r="B1569" s="94">
        <v>359.62</v>
      </c>
      <c r="C1569" s="94">
        <v>300.47000000000003</v>
      </c>
      <c r="D1569" s="94">
        <v>72.130929385914513</v>
      </c>
      <c r="E1569" s="94">
        <v>5.9312912587252367</v>
      </c>
      <c r="F1569" s="94">
        <v>76.599999999999994</v>
      </c>
      <c r="G1569" s="94">
        <v>6.028678784175959</v>
      </c>
      <c r="H1569" s="94">
        <v>0.7</v>
      </c>
      <c r="I1569" s="94">
        <v>0</v>
      </c>
      <c r="J1569" s="94">
        <v>2116.3791403313739</v>
      </c>
      <c r="K1569" s="94">
        <v>2.2610000000000001</v>
      </c>
      <c r="L1569" s="94">
        <v>1</v>
      </c>
      <c r="M1569" s="94">
        <v>0</v>
      </c>
      <c r="N1569" s="94">
        <v>0</v>
      </c>
      <c r="O1569" s="94">
        <v>0</v>
      </c>
    </row>
    <row r="1570" spans="1:15" x14ac:dyDescent="0.25">
      <c r="A1570" s="89">
        <v>45345.833333333336</v>
      </c>
      <c r="B1570" s="94">
        <v>359.62</v>
      </c>
      <c r="C1570" s="94">
        <v>300.46445077162525</v>
      </c>
      <c r="D1570" s="94">
        <v>72.540985192058869</v>
      </c>
      <c r="E1570" s="94">
        <v>5.9441294611046649</v>
      </c>
      <c r="F1570" s="94">
        <v>76.8</v>
      </c>
      <c r="G1570" s="94">
        <v>6.0424161273144357</v>
      </c>
      <c r="H1570" s="94">
        <v>0.7</v>
      </c>
      <c r="I1570" s="94">
        <v>0</v>
      </c>
      <c r="J1570" s="94">
        <v>2120.622247045822</v>
      </c>
      <c r="K1570" s="94">
        <v>2.2624123075924452</v>
      </c>
      <c r="L1570" s="94">
        <v>1</v>
      </c>
      <c r="M1570" s="94">
        <v>0</v>
      </c>
      <c r="N1570" s="94">
        <v>0</v>
      </c>
      <c r="O1570" s="94">
        <v>0</v>
      </c>
    </row>
    <row r="1571" spans="1:15" x14ac:dyDescent="0.25">
      <c r="A1571" s="89">
        <v>45346.333333333336</v>
      </c>
      <c r="B1571" s="94">
        <v>359.62</v>
      </c>
      <c r="C1571" s="94">
        <v>300.46731432895967</v>
      </c>
      <c r="D1571" s="94">
        <v>72.5</v>
      </c>
      <c r="E1571" s="94">
        <v>5.9362172200470784</v>
      </c>
      <c r="F1571" s="94">
        <v>76.487783358279287</v>
      </c>
      <c r="G1571" s="94">
        <v>6.01</v>
      </c>
      <c r="H1571" s="94">
        <v>0.79741711213734989</v>
      </c>
      <c r="I1571" s="94">
        <v>0</v>
      </c>
      <c r="J1571" s="94">
        <v>2127.0304464060728</v>
      </c>
      <c r="K1571" s="94">
        <v>2.2635790046832702</v>
      </c>
      <c r="L1571" s="94">
        <v>0</v>
      </c>
      <c r="M1571" s="94">
        <v>0</v>
      </c>
      <c r="N1571" s="94">
        <v>0</v>
      </c>
      <c r="O1571" s="94">
        <v>0</v>
      </c>
    </row>
    <row r="1572" spans="1:15" x14ac:dyDescent="0.25">
      <c r="A1572" s="89">
        <v>45346.833333333336</v>
      </c>
      <c r="B1572" s="94">
        <v>359.62</v>
      </c>
      <c r="C1572" s="94">
        <v>300.6285124752718</v>
      </c>
      <c r="D1572" s="94">
        <v>59.624400909035572</v>
      </c>
      <c r="E1572" s="94">
        <v>4.7650247441576292</v>
      </c>
      <c r="F1572" s="94">
        <v>40.884059981738325</v>
      </c>
      <c r="G1572" s="94">
        <v>2.6639903259277347</v>
      </c>
      <c r="H1572" s="94">
        <v>46.625276844470072</v>
      </c>
      <c r="I1572" s="94">
        <v>7.0212648221343876</v>
      </c>
      <c r="J1572" s="94">
        <v>2864.7698778135978</v>
      </c>
      <c r="K1572" s="94">
        <v>2.4432445586076708</v>
      </c>
      <c r="L1572" s="94">
        <v>1</v>
      </c>
      <c r="M1572" s="94">
        <v>0</v>
      </c>
      <c r="N1572" s="94">
        <v>0</v>
      </c>
      <c r="O1572" s="94">
        <v>0</v>
      </c>
    </row>
    <row r="1573" spans="1:15" x14ac:dyDescent="0.25">
      <c r="A1573" s="89">
        <v>45347.333333333336</v>
      </c>
      <c r="B1573" s="94">
        <v>359.62</v>
      </c>
      <c r="C1573" s="94">
        <v>300.62545972074679</v>
      </c>
      <c r="D1573" s="94">
        <v>61.286000061035153</v>
      </c>
      <c r="E1573" s="94">
        <v>4.6655999755859376</v>
      </c>
      <c r="F1573" s="94">
        <v>43.6</v>
      </c>
      <c r="G1573" s="94">
        <v>2.7004702917366732</v>
      </c>
      <c r="H1573" s="94">
        <v>46.805521349376427</v>
      </c>
      <c r="I1573" s="94">
        <v>7.0570058020010045</v>
      </c>
      <c r="J1573" s="94">
        <v>2894</v>
      </c>
      <c r="K1573" s="94">
        <v>2.4492658164774275</v>
      </c>
      <c r="L1573" s="94">
        <v>0</v>
      </c>
      <c r="M1573" s="94">
        <v>0</v>
      </c>
      <c r="N1573" s="94">
        <v>0</v>
      </c>
      <c r="O1573" s="94">
        <v>0</v>
      </c>
    </row>
    <row r="1574" spans="1:15" x14ac:dyDescent="0.25">
      <c r="A1574" s="89">
        <v>45347.833333333336</v>
      </c>
      <c r="B1574" s="94">
        <v>359.62</v>
      </c>
      <c r="C1574" s="94">
        <v>300.96755422076183</v>
      </c>
      <c r="D1574" s="94">
        <v>71.178121735582508</v>
      </c>
      <c r="E1574" s="94">
        <v>5.7064956439528718</v>
      </c>
      <c r="F1574" s="94">
        <v>52.444146851749686</v>
      </c>
      <c r="G1574" s="94">
        <v>3.1247886956388253</v>
      </c>
      <c r="H1574" s="94">
        <v>83.805766989307244</v>
      </c>
      <c r="I1574" s="94">
        <v>17.100000000000001</v>
      </c>
      <c r="J1574" s="94">
        <v>4789.473883059416</v>
      </c>
      <c r="K1574" s="94">
        <v>2.7948461011270607</v>
      </c>
      <c r="L1574" s="94">
        <v>1</v>
      </c>
      <c r="M1574" s="94">
        <v>0</v>
      </c>
      <c r="N1574" s="94">
        <v>0</v>
      </c>
      <c r="O1574" s="94">
        <v>0</v>
      </c>
    </row>
    <row r="1575" spans="1:15" x14ac:dyDescent="0.25">
      <c r="A1575" s="89">
        <v>45348.333333333336</v>
      </c>
      <c r="B1575" s="94">
        <v>359.5</v>
      </c>
      <c r="C1575" s="94">
        <v>300.96552868941717</v>
      </c>
      <c r="D1575" s="94">
        <v>72.132066470238001</v>
      </c>
      <c r="E1575" s="94">
        <v>5.7128993225097657</v>
      </c>
      <c r="F1575" s="94">
        <v>51.3</v>
      </c>
      <c r="G1575" s="94">
        <v>3.1947091674804686</v>
      </c>
      <c r="H1575" s="94">
        <v>84.554290645423919</v>
      </c>
      <c r="I1575" s="94">
        <v>16.977026011516546</v>
      </c>
      <c r="J1575" s="94">
        <v>4784.6099829354143</v>
      </c>
      <c r="K1575" s="94">
        <v>2.7942263989016753</v>
      </c>
      <c r="L1575" s="94">
        <v>0.13927122487230675</v>
      </c>
      <c r="M1575" s="94">
        <v>0</v>
      </c>
      <c r="N1575" s="94">
        <v>0</v>
      </c>
      <c r="O1575" s="94">
        <v>0</v>
      </c>
    </row>
    <row r="1576" spans="1:15" x14ac:dyDescent="0.25">
      <c r="A1576" s="89">
        <v>45348.833333333336</v>
      </c>
      <c r="B1576" s="94">
        <v>359.5</v>
      </c>
      <c r="C1576" s="94">
        <v>300.83999999999997</v>
      </c>
      <c r="D1576" s="94">
        <v>47.3</v>
      </c>
      <c r="E1576" s="94">
        <v>2.9447476703930211</v>
      </c>
      <c r="F1576" s="94">
        <v>46.118293987639611</v>
      </c>
      <c r="G1576" s="94">
        <v>2.9002197824540001</v>
      </c>
      <c r="H1576" s="94">
        <v>77.599999999999994</v>
      </c>
      <c r="I1576" s="94">
        <v>15.898442401792655</v>
      </c>
      <c r="J1576" s="94">
        <v>4000.7873466073147</v>
      </c>
      <c r="K1576" s="94">
        <v>2.6646849115073277</v>
      </c>
      <c r="L1576" s="94">
        <v>1</v>
      </c>
      <c r="M1576" s="94">
        <v>0</v>
      </c>
      <c r="N1576" s="94">
        <v>0</v>
      </c>
      <c r="O1576" s="94">
        <v>0</v>
      </c>
    </row>
    <row r="1577" spans="1:15" x14ac:dyDescent="0.25">
      <c r="A1577" s="89">
        <v>45349.333333333336</v>
      </c>
      <c r="B1577" s="94">
        <v>359.43</v>
      </c>
      <c r="C1577" s="94">
        <v>300.8414949533294</v>
      </c>
      <c r="D1577" s="94">
        <v>46.621240862849831</v>
      </c>
      <c r="E1577" s="94">
        <v>2.8836588464071764</v>
      </c>
      <c r="F1577" s="94">
        <v>47.512294607820145</v>
      </c>
      <c r="G1577" s="94">
        <v>2.9421545757007914</v>
      </c>
      <c r="H1577" s="94">
        <v>78.400000000000006</v>
      </c>
      <c r="I1577" s="94">
        <v>15.834605776173285</v>
      </c>
      <c r="J1577" s="94">
        <v>4015.5154833037536</v>
      </c>
      <c r="K1577" s="94">
        <v>2.6677690910879575</v>
      </c>
      <c r="L1577" s="94">
        <v>1</v>
      </c>
      <c r="M1577" s="94">
        <v>0</v>
      </c>
      <c r="N1577" s="94">
        <v>0</v>
      </c>
      <c r="O1577" s="94">
        <v>0</v>
      </c>
    </row>
    <row r="1578" spans="1:15" x14ac:dyDescent="0.25">
      <c r="A1578" s="89">
        <v>45349.833333333336</v>
      </c>
      <c r="B1578" s="94">
        <v>359.43</v>
      </c>
      <c r="C1578" s="94">
        <v>300.65753749809073</v>
      </c>
      <c r="D1578" s="94">
        <v>62.9</v>
      </c>
      <c r="E1578" s="94">
        <v>4.9762114797148831</v>
      </c>
      <c r="F1578" s="94">
        <v>66.697656497521592</v>
      </c>
      <c r="G1578" s="94">
        <v>4.9538839302248068</v>
      </c>
      <c r="H1578" s="94">
        <v>39.165934652317439</v>
      </c>
      <c r="I1578" s="94">
        <v>4.7019214921953809</v>
      </c>
      <c r="J1578" s="94">
        <v>3002</v>
      </c>
      <c r="K1578" s="94">
        <v>2.4736443863522912</v>
      </c>
      <c r="L1578" s="94">
        <v>1</v>
      </c>
      <c r="M1578" s="94">
        <v>0</v>
      </c>
      <c r="N1578" s="94">
        <v>0</v>
      </c>
      <c r="O1578" s="94">
        <v>0</v>
      </c>
    </row>
    <row r="1579" spans="1:15" x14ac:dyDescent="0.25">
      <c r="A1579" s="89">
        <v>45350.333333333336</v>
      </c>
      <c r="B1579" s="94">
        <v>359.38</v>
      </c>
      <c r="C1579" s="94">
        <v>300.95116243361508</v>
      </c>
      <c r="D1579" s="94">
        <v>66.230523019498207</v>
      </c>
      <c r="E1579" s="94">
        <v>4.9978242527600756</v>
      </c>
      <c r="F1579" s="94">
        <v>67.318091850871269</v>
      </c>
      <c r="G1579" s="94">
        <v>5.0174574378169527</v>
      </c>
      <c r="H1579" s="94">
        <v>40.171921270117444</v>
      </c>
      <c r="I1579" s="94">
        <v>4.882999877929687</v>
      </c>
      <c r="J1579" s="94">
        <v>4216.1485440014249</v>
      </c>
      <c r="K1579" s="94">
        <v>2.7133608805466194</v>
      </c>
      <c r="L1579" s="94">
        <v>0</v>
      </c>
      <c r="M1579" s="94">
        <v>0</v>
      </c>
      <c r="N1579" s="94">
        <v>8.6467171167479755</v>
      </c>
      <c r="O1579" s="94">
        <v>0.51935387332888128</v>
      </c>
    </row>
    <row r="1580" spans="1:15" x14ac:dyDescent="0.25">
      <c r="A1580" s="89">
        <v>45350.833333333336</v>
      </c>
      <c r="B1580" s="94">
        <v>359.38</v>
      </c>
      <c r="C1580" s="94">
        <v>300.66542705292034</v>
      </c>
      <c r="D1580" s="94">
        <v>63.4</v>
      </c>
      <c r="E1580" s="94">
        <v>4.9525132299223911</v>
      </c>
      <c r="F1580" s="94">
        <v>62.846790075448929</v>
      </c>
      <c r="G1580" s="94">
        <v>4.9681410559434598</v>
      </c>
      <c r="H1580" s="94">
        <v>39.1</v>
      </c>
      <c r="I1580" s="94">
        <v>4.9585213865430928</v>
      </c>
      <c r="J1580" s="94">
        <v>3028.7596676170733</v>
      </c>
      <c r="K1580" s="94">
        <v>2.4777109198007032</v>
      </c>
      <c r="L1580" s="94">
        <v>1</v>
      </c>
      <c r="M1580" s="94">
        <v>0</v>
      </c>
      <c r="N1580" s="94">
        <v>0</v>
      </c>
      <c r="O1580" s="94">
        <v>0</v>
      </c>
    </row>
    <row r="1581" spans="1:15" x14ac:dyDescent="0.25">
      <c r="A1581" s="89">
        <v>45351.333333333336</v>
      </c>
      <c r="B1581" s="94">
        <v>359.38</v>
      </c>
      <c r="C1581" s="94">
        <v>300.66278123326168</v>
      </c>
      <c r="D1581" s="94">
        <v>65.377936781424623</v>
      </c>
      <c r="E1581" s="94">
        <v>4.9886640185865252</v>
      </c>
      <c r="F1581" s="94">
        <v>64.051882590924606</v>
      </c>
      <c r="G1581" s="94">
        <v>4.9763971248876908</v>
      </c>
      <c r="H1581" s="94">
        <v>39.359643085186299</v>
      </c>
      <c r="I1581" s="94">
        <v>5.0581602720799239</v>
      </c>
      <c r="J1581" s="94">
        <v>3026.3942088901094</v>
      </c>
      <c r="K1581" s="94">
        <v>2.4762428056832011</v>
      </c>
      <c r="L1581" s="94">
        <v>0.71963774523481261</v>
      </c>
      <c r="M1581" s="94">
        <v>0</v>
      </c>
      <c r="N1581" s="94">
        <v>0</v>
      </c>
      <c r="O1581" s="94">
        <v>0</v>
      </c>
    </row>
    <row r="1582" spans="1:15" x14ac:dyDescent="0.25">
      <c r="A1582" s="89">
        <v>45351.833333333336</v>
      </c>
      <c r="B1582" s="94">
        <v>359.38</v>
      </c>
      <c r="C1582" s="94">
        <v>300.9301541991922</v>
      </c>
      <c r="D1582" s="94">
        <v>62.535709057639522</v>
      </c>
      <c r="E1582" s="94">
        <v>4.7162662009375858</v>
      </c>
      <c r="F1582" s="94">
        <v>49.4</v>
      </c>
      <c r="G1582" s="94">
        <v>2.9186346784324537</v>
      </c>
      <c r="H1582" s="94">
        <v>84.906670605643257</v>
      </c>
      <c r="I1582" s="94">
        <v>17.106656095842141</v>
      </c>
      <c r="J1582" s="94">
        <v>4635.5908431781945</v>
      </c>
      <c r="K1582" s="94">
        <v>2.771519769787496</v>
      </c>
      <c r="L1582" s="94">
        <v>1</v>
      </c>
      <c r="M1582" s="94">
        <v>0</v>
      </c>
      <c r="N1582" s="94">
        <v>0</v>
      </c>
      <c r="O1582" s="94">
        <v>0</v>
      </c>
    </row>
    <row r="1583" spans="1:15" x14ac:dyDescent="0.25">
      <c r="A1583" s="89">
        <v>45352.333333333336</v>
      </c>
      <c r="B1583" s="94">
        <v>359.38</v>
      </c>
      <c r="C1583" s="94">
        <v>300.93</v>
      </c>
      <c r="D1583" s="94">
        <v>62.914114861768745</v>
      </c>
      <c r="E1583" s="94">
        <v>4.6900000000000004</v>
      </c>
      <c r="F1583" s="94">
        <v>49.570048709032015</v>
      </c>
      <c r="G1583" s="94">
        <v>2.8338000488281248</v>
      </c>
      <c r="H1583" s="94">
        <v>85.347439352191813</v>
      </c>
      <c r="I1583" s="94">
        <v>17.192475208053022</v>
      </c>
      <c r="J1583" s="94">
        <v>4609.3965004441825</v>
      </c>
      <c r="K1583" s="94">
        <v>2.7671184163558484</v>
      </c>
      <c r="L1583" s="94">
        <v>1</v>
      </c>
      <c r="M1583" s="94">
        <v>0</v>
      </c>
      <c r="N1583" s="94">
        <v>0</v>
      </c>
      <c r="O1583" s="94">
        <v>0</v>
      </c>
    </row>
    <row r="1584" spans="1:15" x14ac:dyDescent="0.25">
      <c r="A1584" s="89">
        <v>45352.833333333336</v>
      </c>
      <c r="B1584" s="94">
        <v>359.38</v>
      </c>
      <c r="C1584" s="94">
        <v>301.06536600727145</v>
      </c>
      <c r="D1584" s="94">
        <v>68.099999999999994</v>
      </c>
      <c r="E1584" s="94">
        <v>5.1381868489583331</v>
      </c>
      <c r="F1584" s="94">
        <v>86.136236444172894</v>
      </c>
      <c r="G1584" s="94">
        <v>6.9634857177734375</v>
      </c>
      <c r="H1584" s="94">
        <v>84.756749049535784</v>
      </c>
      <c r="I1584" s="94">
        <v>17.129397939916796</v>
      </c>
      <c r="J1584" s="94">
        <v>5402.8802057891508</v>
      </c>
      <c r="K1584" s="94">
        <v>2.8915896714965954</v>
      </c>
      <c r="L1584" s="94">
        <v>1</v>
      </c>
      <c r="M1584" s="94">
        <v>0</v>
      </c>
      <c r="N1584" s="94">
        <v>0</v>
      </c>
      <c r="O1584" s="94">
        <v>0</v>
      </c>
    </row>
    <row r="1585" spans="1:15" x14ac:dyDescent="0.25">
      <c r="A1585" s="89">
        <v>45353.333333333336</v>
      </c>
      <c r="B1585" s="94">
        <v>359.38</v>
      </c>
      <c r="C1585" s="94">
        <v>301.07895292755859</v>
      </c>
      <c r="D1585" s="94">
        <v>68.969791649607743</v>
      </c>
      <c r="E1585" s="94">
        <v>5.1577398681640627</v>
      </c>
      <c r="F1585" s="94">
        <v>86.1</v>
      </c>
      <c r="G1585" s="94">
        <v>6.9177699279785152</v>
      </c>
      <c r="H1585" s="94">
        <v>85.5</v>
      </c>
      <c r="I1585" s="94">
        <v>17.244328936221713</v>
      </c>
      <c r="J1585" s="94">
        <v>5422.4074973825282</v>
      </c>
      <c r="K1585" s="94">
        <v>2.8955302126125289</v>
      </c>
      <c r="L1585" s="94">
        <v>1</v>
      </c>
      <c r="M1585" s="94">
        <v>0</v>
      </c>
      <c r="N1585" s="94">
        <v>0</v>
      </c>
      <c r="O1585" s="94">
        <v>0</v>
      </c>
    </row>
    <row r="1586" spans="1:15" x14ac:dyDescent="0.25">
      <c r="A1586" s="89">
        <v>45353.833333333336</v>
      </c>
      <c r="B1586" s="94">
        <v>359.38</v>
      </c>
      <c r="C1586" s="94">
        <v>301.07629858496296</v>
      </c>
      <c r="D1586" s="94">
        <v>68.32865978752163</v>
      </c>
      <c r="E1586" s="94">
        <v>5.1423480730470894</v>
      </c>
      <c r="F1586" s="94">
        <v>86.7</v>
      </c>
      <c r="G1586" s="94">
        <v>6.9380039157188138</v>
      </c>
      <c r="H1586" s="94">
        <v>85.414985531280237</v>
      </c>
      <c r="I1586" s="94">
        <v>17.107604921727479</v>
      </c>
      <c r="J1586" s="94">
        <v>5409.3493538615703</v>
      </c>
      <c r="K1586" s="94">
        <v>2.8918307491469393</v>
      </c>
      <c r="L1586" s="94">
        <v>1</v>
      </c>
      <c r="M1586" s="94">
        <v>0</v>
      </c>
      <c r="N1586" s="94">
        <v>0</v>
      </c>
      <c r="O1586" s="94">
        <v>0</v>
      </c>
    </row>
    <row r="1587" spans="1:15" x14ac:dyDescent="0.25">
      <c r="A1587" s="89">
        <v>45354.333333333336</v>
      </c>
      <c r="B1587" s="94">
        <v>359.38</v>
      </c>
      <c r="C1587" s="94">
        <v>301.07098195144476</v>
      </c>
      <c r="D1587" s="94">
        <v>68.875053135805601</v>
      </c>
      <c r="E1587" s="94">
        <v>5.1408193347763786</v>
      </c>
      <c r="F1587" s="94">
        <v>86.221167725597482</v>
      </c>
      <c r="G1587" s="94">
        <v>6.946549243547909</v>
      </c>
      <c r="H1587" s="94">
        <v>86.7293545073139</v>
      </c>
      <c r="I1587" s="94">
        <v>17.268608220840285</v>
      </c>
      <c r="J1587" s="94">
        <v>5395.8967059849028</v>
      </c>
      <c r="K1587" s="94">
        <v>2.8920866648707602</v>
      </c>
      <c r="L1587" s="94">
        <v>1</v>
      </c>
      <c r="M1587" s="94">
        <v>0</v>
      </c>
      <c r="N1587" s="94">
        <v>0</v>
      </c>
      <c r="O1587" s="94">
        <v>0</v>
      </c>
    </row>
    <row r="1588" spans="1:15" x14ac:dyDescent="0.25">
      <c r="A1588" s="89">
        <v>45354.833333333336</v>
      </c>
      <c r="B1588" s="94">
        <v>359.38</v>
      </c>
      <c r="C1588" s="94">
        <v>301.07487547764026</v>
      </c>
      <c r="D1588" s="94">
        <v>68.295674964445382</v>
      </c>
      <c r="E1588" s="94">
        <v>5.1191791785676104</v>
      </c>
      <c r="F1588" s="94">
        <v>87.1151080926156</v>
      </c>
      <c r="G1588" s="94">
        <v>6.9882770916334662</v>
      </c>
      <c r="H1588" s="94">
        <v>85.387564578760774</v>
      </c>
      <c r="I1588" s="94">
        <v>17.039458089107843</v>
      </c>
      <c r="J1588" s="94">
        <v>5435.7835114352702</v>
      </c>
      <c r="K1588" s="94">
        <v>2.8977525633470131</v>
      </c>
      <c r="L1588" s="94">
        <v>1</v>
      </c>
      <c r="M1588" s="94">
        <v>0</v>
      </c>
      <c r="N1588" s="94">
        <v>0</v>
      </c>
      <c r="O1588" s="94">
        <v>0</v>
      </c>
    </row>
    <row r="1589" spans="1:15" x14ac:dyDescent="0.25">
      <c r="A1589" s="89">
        <v>45355.333333333336</v>
      </c>
      <c r="B1589" s="94">
        <v>358.99</v>
      </c>
      <c r="C1589" s="94">
        <v>301.08999999999997</v>
      </c>
      <c r="D1589" s="94">
        <v>83.408739909811786</v>
      </c>
      <c r="E1589" s="94">
        <v>6.5086885696611452</v>
      </c>
      <c r="F1589" s="94">
        <v>86.752299445696536</v>
      </c>
      <c r="G1589" s="94">
        <v>6.9174401168748165</v>
      </c>
      <c r="H1589" s="94">
        <v>80.028225093408622</v>
      </c>
      <c r="I1589" s="94">
        <v>16.022457432051343</v>
      </c>
      <c r="J1589" s="94">
        <v>5441</v>
      </c>
      <c r="K1589" s="94">
        <v>2.8934028043601581</v>
      </c>
      <c r="L1589" s="94">
        <v>1</v>
      </c>
      <c r="M1589" s="94">
        <v>0</v>
      </c>
      <c r="N1589" s="94">
        <v>0</v>
      </c>
      <c r="O1589" s="94">
        <v>0</v>
      </c>
    </row>
    <row r="1590" spans="1:15" x14ac:dyDescent="0.25">
      <c r="A1590" s="89">
        <v>45355.833333333336</v>
      </c>
      <c r="B1590" s="94">
        <v>358.99</v>
      </c>
      <c r="C1590" s="94">
        <v>301.2</v>
      </c>
      <c r="D1590" s="94">
        <v>84.9</v>
      </c>
      <c r="E1590" s="94">
        <v>6.9486401367187502</v>
      </c>
      <c r="F1590" s="94">
        <v>87.9</v>
      </c>
      <c r="G1590" s="94">
        <v>6.9706953116651142</v>
      </c>
      <c r="H1590" s="94">
        <v>79.693897757482475</v>
      </c>
      <c r="I1590" s="94">
        <v>16.035359497070313</v>
      </c>
      <c r="J1590" s="94">
        <v>6032.2632788275214</v>
      </c>
      <c r="K1590" s="94">
        <v>2.9834779027733971</v>
      </c>
      <c r="L1590" s="94">
        <v>16</v>
      </c>
      <c r="M1590" s="94">
        <v>0</v>
      </c>
      <c r="N1590" s="94">
        <v>0</v>
      </c>
      <c r="O1590" s="94">
        <v>0</v>
      </c>
    </row>
    <row r="1591" spans="1:15" x14ac:dyDescent="0.25">
      <c r="A1591" s="89">
        <v>45356.333333333336</v>
      </c>
      <c r="B1591" s="94">
        <v>358.87</v>
      </c>
      <c r="C1591" s="94">
        <v>301.2</v>
      </c>
      <c r="D1591" s="94">
        <v>86.15968000157244</v>
      </c>
      <c r="E1591" s="94">
        <v>6.975701246082104</v>
      </c>
      <c r="F1591" s="94">
        <v>87.871341640547371</v>
      </c>
      <c r="G1591" s="94">
        <v>6.9627511719827186</v>
      </c>
      <c r="H1591" s="94">
        <v>80.058450228565917</v>
      </c>
      <c r="I1591" s="94">
        <v>15.981325642675491</v>
      </c>
      <c r="J1591" s="94">
        <v>6068.7926955073735</v>
      </c>
      <c r="K1591" s="94">
        <v>2.9888713413905048</v>
      </c>
      <c r="L1591" s="94">
        <v>16</v>
      </c>
      <c r="M1591" s="94">
        <v>0</v>
      </c>
      <c r="N1591" s="94">
        <v>0</v>
      </c>
      <c r="O1591" s="94">
        <v>0</v>
      </c>
    </row>
    <row r="1592" spans="1:15" x14ac:dyDescent="0.25">
      <c r="A1592" s="89">
        <v>45356.833333333336</v>
      </c>
      <c r="B1592" s="94">
        <v>358.87</v>
      </c>
      <c r="C1592" s="94">
        <v>301.26</v>
      </c>
      <c r="D1592" s="94">
        <v>87.2</v>
      </c>
      <c r="E1592" s="94">
        <v>6.9538682833323193</v>
      </c>
      <c r="F1592" s="94">
        <v>88.2</v>
      </c>
      <c r="G1592" s="94">
        <v>6.9523930141633583</v>
      </c>
      <c r="H1592" s="94">
        <v>79.807485564441762</v>
      </c>
      <c r="I1592" s="94">
        <v>16</v>
      </c>
      <c r="J1592" s="94">
        <v>6595.401122792463</v>
      </c>
      <c r="K1592" s="94">
        <v>3.0621362429760803</v>
      </c>
      <c r="L1592" s="94">
        <v>33</v>
      </c>
      <c r="M1592" s="94">
        <v>0</v>
      </c>
      <c r="N1592" s="94">
        <v>0</v>
      </c>
      <c r="O1592" s="94">
        <v>0</v>
      </c>
    </row>
    <row r="1593" spans="1:15" x14ac:dyDescent="0.25">
      <c r="A1593" s="89">
        <v>45357.333333333336</v>
      </c>
      <c r="B1593" s="94">
        <v>358.87</v>
      </c>
      <c r="C1593" s="94">
        <v>301.26</v>
      </c>
      <c r="D1593" s="94">
        <v>88.5</v>
      </c>
      <c r="E1593" s="94">
        <v>6.9724446143261218</v>
      </c>
      <c r="F1593" s="94">
        <v>87.978802129088933</v>
      </c>
      <c r="G1593" s="94">
        <v>6.9728573172433039</v>
      </c>
      <c r="H1593" s="94">
        <v>80.400000000000006</v>
      </c>
      <c r="I1593" s="94">
        <v>15.909453548026617</v>
      </c>
      <c r="J1593" s="94">
        <v>6465</v>
      </c>
      <c r="K1593" s="94">
        <v>3.0423782420471799</v>
      </c>
      <c r="L1593" s="94">
        <v>28</v>
      </c>
      <c r="M1593" s="94">
        <v>0</v>
      </c>
      <c r="N1593" s="94">
        <v>0</v>
      </c>
      <c r="O1593" s="94">
        <v>0</v>
      </c>
    </row>
    <row r="1594" spans="1:15" x14ac:dyDescent="0.25">
      <c r="A1594" s="89">
        <v>45357.833333333336</v>
      </c>
      <c r="B1594" s="94">
        <v>358.87</v>
      </c>
      <c r="C1594" s="94">
        <v>301.26</v>
      </c>
      <c r="D1594" s="94">
        <v>89.475799560546875</v>
      </c>
      <c r="E1594" s="94">
        <v>6.9445202636718744</v>
      </c>
      <c r="F1594" s="94">
        <v>88.527398681640619</v>
      </c>
      <c r="G1594" s="94">
        <v>6.9514013838187898</v>
      </c>
      <c r="H1594" s="94">
        <v>79.875650240604259</v>
      </c>
      <c r="I1594" s="94">
        <v>15.907687276204427</v>
      </c>
      <c r="J1594" s="94">
        <v>6469.3323520399899</v>
      </c>
      <c r="K1594" s="94">
        <v>3.0447874423670713</v>
      </c>
      <c r="L1594" s="94">
        <v>28</v>
      </c>
      <c r="M1594" s="94">
        <v>0</v>
      </c>
      <c r="N1594" s="94">
        <v>0</v>
      </c>
      <c r="O1594" s="94">
        <v>0</v>
      </c>
    </row>
    <row r="1595" spans="1:15" x14ac:dyDescent="0.25">
      <c r="A1595" s="89">
        <v>45358.333333333336</v>
      </c>
      <c r="B1595" s="94">
        <v>358.87</v>
      </c>
      <c r="C1595" s="94">
        <v>301.25466263063697</v>
      </c>
      <c r="D1595" s="94">
        <v>89.2</v>
      </c>
      <c r="E1595" s="94">
        <v>6.9427801513671881</v>
      </c>
      <c r="F1595" s="94">
        <v>88.331834403452845</v>
      </c>
      <c r="G1595" s="94">
        <v>6.9646655254148007</v>
      </c>
      <c r="H1595" s="94">
        <v>80.7</v>
      </c>
      <c r="I1595" s="94">
        <v>15.826622185294761</v>
      </c>
      <c r="J1595" s="94">
        <v>6473.6919362298568</v>
      </c>
      <c r="K1595" s="94">
        <v>3.0462477549333715</v>
      </c>
      <c r="L1595" s="94">
        <v>28</v>
      </c>
      <c r="M1595" s="94">
        <v>0</v>
      </c>
      <c r="N1595" s="94">
        <v>0</v>
      </c>
      <c r="O1595" s="94">
        <v>0</v>
      </c>
    </row>
    <row r="1596" spans="1:15" x14ac:dyDescent="0.25">
      <c r="A1596" s="89">
        <v>45358.833333333336</v>
      </c>
      <c r="B1596" s="94">
        <v>358.87</v>
      </c>
      <c r="C1596" s="94">
        <v>301.24553962243237</v>
      </c>
      <c r="D1596" s="94">
        <v>89.5</v>
      </c>
      <c r="E1596" s="94">
        <v>6.9609065755208333</v>
      </c>
      <c r="F1596" s="94">
        <v>88.745988453365825</v>
      </c>
      <c r="G1596" s="94">
        <v>6.9613913242706582</v>
      </c>
      <c r="H1596" s="94">
        <v>80.08374704118107</v>
      </c>
      <c r="I1596" s="94">
        <v>15.948883513989669</v>
      </c>
      <c r="J1596" s="94">
        <v>6459.0880901138216</v>
      </c>
      <c r="K1596" s="94">
        <v>3.0421828602491621</v>
      </c>
      <c r="L1596" s="94">
        <v>29</v>
      </c>
      <c r="M1596" s="94">
        <v>0</v>
      </c>
      <c r="N1596" s="94">
        <v>0</v>
      </c>
      <c r="O1596" s="94">
        <v>0</v>
      </c>
    </row>
    <row r="1597" spans="1:15" x14ac:dyDescent="0.25">
      <c r="A1597" s="89">
        <v>45359.333333333336</v>
      </c>
      <c r="B1597" s="94">
        <v>358.87</v>
      </c>
      <c r="C1597" s="94">
        <v>301.24991196957393</v>
      </c>
      <c r="D1597" s="94">
        <v>90.162374036838216</v>
      </c>
      <c r="E1597" s="94">
        <v>6.9449267029003918</v>
      </c>
      <c r="F1597" s="94">
        <v>88.7</v>
      </c>
      <c r="G1597" s="94">
        <v>6.9998082290282877</v>
      </c>
      <c r="H1597" s="94">
        <v>80.894650268554699</v>
      </c>
      <c r="I1597" s="94">
        <v>15.915700073242187</v>
      </c>
      <c r="J1597" s="94">
        <v>4971.8284449276016</v>
      </c>
      <c r="K1597" s="94">
        <v>3.0481188674893254</v>
      </c>
      <c r="L1597" s="94">
        <v>28</v>
      </c>
      <c r="M1597" s="94">
        <v>0</v>
      </c>
      <c r="N1597" s="94">
        <v>0</v>
      </c>
      <c r="O1597" s="94">
        <v>0</v>
      </c>
    </row>
    <row r="1598" spans="1:15" x14ac:dyDescent="0.25">
      <c r="A1598" s="89">
        <v>45359.833333333336</v>
      </c>
      <c r="B1598" s="94">
        <v>358.87</v>
      </c>
      <c r="C1598" s="94">
        <v>301.24</v>
      </c>
      <c r="D1598" s="94">
        <v>89.5</v>
      </c>
      <c r="E1598" s="94">
        <v>6.9394396972656249</v>
      </c>
      <c r="F1598" s="94">
        <v>88.726584566556497</v>
      </c>
      <c r="G1598" s="94">
        <v>6.957245744977679</v>
      </c>
      <c r="H1598" s="94">
        <v>80.099999999999994</v>
      </c>
      <c r="I1598" s="94">
        <v>15.806331606939638</v>
      </c>
      <c r="J1598" s="94">
        <v>6474.9266066218879</v>
      </c>
      <c r="K1598" s="94">
        <v>3.0466057059800877</v>
      </c>
      <c r="L1598" s="94">
        <v>28</v>
      </c>
      <c r="M1598" s="94">
        <v>0</v>
      </c>
      <c r="N1598" s="94">
        <v>0</v>
      </c>
      <c r="O1598" s="94">
        <v>0</v>
      </c>
    </row>
    <row r="1599" spans="1:15" x14ac:dyDescent="0.25">
      <c r="A1599" s="89">
        <v>45360.333333333336</v>
      </c>
      <c r="B1599" s="94">
        <v>358.87</v>
      </c>
      <c r="C1599" s="94">
        <v>301.25303649277407</v>
      </c>
      <c r="D1599" s="94">
        <v>89.2</v>
      </c>
      <c r="E1599" s="94">
        <v>6.9279071488680026</v>
      </c>
      <c r="F1599" s="94">
        <v>88.9</v>
      </c>
      <c r="G1599" s="94">
        <v>6.93</v>
      </c>
      <c r="H1599" s="94">
        <v>81.193662815877204</v>
      </c>
      <c r="I1599" s="94">
        <v>15.753417634996582</v>
      </c>
      <c r="J1599" s="94">
        <v>2598.0347904324281</v>
      </c>
      <c r="K1599" s="94">
        <v>3.05</v>
      </c>
      <c r="L1599" s="94">
        <v>28</v>
      </c>
      <c r="M1599" s="94">
        <v>0</v>
      </c>
      <c r="N1599" s="94">
        <v>0</v>
      </c>
      <c r="O1599" s="94">
        <v>0</v>
      </c>
    </row>
    <row r="1600" spans="1:15" x14ac:dyDescent="0.25">
      <c r="A1600" s="89">
        <v>45360.833333333336</v>
      </c>
      <c r="B1600" s="94">
        <v>358.87</v>
      </c>
      <c r="C1600" s="94">
        <v>301.25</v>
      </c>
      <c r="D1600" s="94">
        <v>89.2</v>
      </c>
      <c r="E1600" s="94">
        <v>6.9134667968750003</v>
      </c>
      <c r="F1600" s="94">
        <v>89.201019685800333</v>
      </c>
      <c r="G1600" s="94">
        <v>6.9496890065657571</v>
      </c>
      <c r="H1600" s="94">
        <v>80.727710530275601</v>
      </c>
      <c r="I1600" s="94">
        <v>15.871255205325388</v>
      </c>
      <c r="J1600" s="94">
        <v>6484.1977834498166</v>
      </c>
      <c r="K1600" s="94">
        <v>3.0470092220582417</v>
      </c>
      <c r="L1600" s="94">
        <v>28</v>
      </c>
      <c r="M1600" s="94">
        <v>0</v>
      </c>
      <c r="N1600" s="94">
        <v>0</v>
      </c>
      <c r="O1600" s="94">
        <v>0</v>
      </c>
    </row>
    <row r="1601" spans="1:15" x14ac:dyDescent="0.25">
      <c r="A1601" s="89">
        <v>45361.333333333336</v>
      </c>
      <c r="B1601" s="94">
        <v>358.87</v>
      </c>
      <c r="C1601" s="94">
        <v>301.26</v>
      </c>
      <c r="D1601" s="94">
        <v>88.8</v>
      </c>
      <c r="E1601" s="94">
        <v>6.958868692265801</v>
      </c>
      <c r="F1601" s="94">
        <v>89.2</v>
      </c>
      <c r="G1601" s="94">
        <v>6.9295416274050883</v>
      </c>
      <c r="H1601" s="94">
        <v>81.720166273760583</v>
      </c>
      <c r="I1601" s="94">
        <v>15.970496285968414</v>
      </c>
      <c r="J1601" s="94">
        <v>5268.5235838986018</v>
      </c>
      <c r="K1601" s="94">
        <v>3.0501226975630429</v>
      </c>
      <c r="L1601" s="94">
        <v>28</v>
      </c>
      <c r="M1601" s="94">
        <v>0</v>
      </c>
      <c r="N1601" s="94">
        <v>0</v>
      </c>
      <c r="O1601" s="94">
        <v>0</v>
      </c>
    </row>
    <row r="1602" spans="1:15" x14ac:dyDescent="0.25">
      <c r="A1602" s="89">
        <v>45361.833333333336</v>
      </c>
      <c r="B1602" s="94">
        <v>358.87</v>
      </c>
      <c r="C1602" s="94">
        <v>301.2</v>
      </c>
      <c r="D1602" s="94">
        <v>88.547494839844049</v>
      </c>
      <c r="E1602" s="94">
        <v>6.9597498464203538</v>
      </c>
      <c r="F1602" s="94">
        <v>89.568379156953952</v>
      </c>
      <c r="G1602" s="94">
        <v>6.9348667648702191</v>
      </c>
      <c r="H1602" s="94">
        <v>80.646427439689418</v>
      </c>
      <c r="I1602" s="94">
        <v>15.852680053710937</v>
      </c>
      <c r="J1602" s="94">
        <v>5045.6636047812299</v>
      </c>
      <c r="K1602" s="94">
        <v>3.0020711402345901</v>
      </c>
      <c r="L1602" s="94">
        <v>16</v>
      </c>
      <c r="M1602" s="94">
        <v>0</v>
      </c>
      <c r="N1602" s="94">
        <v>0</v>
      </c>
      <c r="O1602" s="94">
        <v>0</v>
      </c>
    </row>
    <row r="1603" spans="1:15" x14ac:dyDescent="0.25">
      <c r="A1603" s="89">
        <v>45362.333333333336</v>
      </c>
      <c r="B1603" s="94">
        <v>358.16</v>
      </c>
      <c r="C1603" s="94">
        <v>301.2</v>
      </c>
      <c r="D1603" s="94">
        <v>89.384043452888633</v>
      </c>
      <c r="E1603" s="94">
        <v>6.97</v>
      </c>
      <c r="F1603" s="94">
        <v>89.395202781349909</v>
      </c>
      <c r="G1603" s="94">
        <v>6.9427952238927517</v>
      </c>
      <c r="H1603" s="94">
        <v>81.790520337757215</v>
      </c>
      <c r="I1603" s="94">
        <v>15.953566049815555</v>
      </c>
      <c r="J1603" s="94">
        <v>6128.6170214580197</v>
      </c>
      <c r="K1603" s="94">
        <v>2.9983063559862799</v>
      </c>
      <c r="L1603" s="94">
        <v>16</v>
      </c>
      <c r="M1603" s="94">
        <v>0</v>
      </c>
      <c r="N1603" s="94">
        <v>0</v>
      </c>
      <c r="O1603" s="94">
        <v>0</v>
      </c>
    </row>
    <row r="1604" spans="1:15" x14ac:dyDescent="0.25">
      <c r="A1604" s="89">
        <v>45362.833333333336</v>
      </c>
      <c r="B1604" s="94">
        <v>358.16</v>
      </c>
      <c r="C1604" s="94">
        <v>301.05</v>
      </c>
      <c r="D1604" s="94">
        <v>75.561624201653203</v>
      </c>
      <c r="E1604" s="94">
        <v>5.9249482445281423</v>
      </c>
      <c r="F1604" s="94">
        <v>73.848208152223464</v>
      </c>
      <c r="G1604" s="94">
        <v>5.9582149505615236</v>
      </c>
      <c r="H1604" s="94">
        <v>80.82825515259006</v>
      </c>
      <c r="I1604" s="94">
        <v>15.894705978222119</v>
      </c>
      <c r="J1604" s="94">
        <v>5193</v>
      </c>
      <c r="K1604" s="94">
        <v>2.86</v>
      </c>
      <c r="L1604" s="94">
        <v>1</v>
      </c>
      <c r="M1604" s="94">
        <v>0</v>
      </c>
      <c r="N1604" s="94">
        <v>0</v>
      </c>
      <c r="O1604" s="94">
        <v>0</v>
      </c>
    </row>
    <row r="1605" spans="1:15" x14ac:dyDescent="0.25">
      <c r="A1605" s="89">
        <v>45363.333333333336</v>
      </c>
      <c r="B1605" s="94">
        <v>358.07</v>
      </c>
      <c r="C1605" s="94">
        <v>301.05</v>
      </c>
      <c r="D1605" s="94">
        <v>75.527477624078628</v>
      </c>
      <c r="E1605" s="94">
        <v>5.9449636079262058</v>
      </c>
      <c r="F1605" s="94">
        <v>73.351630193727047</v>
      </c>
      <c r="G1605" s="94">
        <v>5.9241510781093814</v>
      </c>
      <c r="H1605" s="94">
        <v>82.1</v>
      </c>
      <c r="I1605" s="94">
        <v>15.96765623913454</v>
      </c>
      <c r="J1605" s="94">
        <v>5208.2179972669801</v>
      </c>
      <c r="K1605" s="94">
        <v>2.8626225394059497</v>
      </c>
      <c r="L1605" s="94">
        <v>1</v>
      </c>
      <c r="M1605" s="94">
        <v>0</v>
      </c>
      <c r="N1605" s="94">
        <v>0</v>
      </c>
      <c r="O1605" s="94">
        <v>0</v>
      </c>
    </row>
    <row r="1606" spans="1:15" x14ac:dyDescent="0.25">
      <c r="A1606" s="89">
        <v>45363.833333333336</v>
      </c>
      <c r="B1606" s="94">
        <v>358.07</v>
      </c>
      <c r="C1606" s="94">
        <v>301.05</v>
      </c>
      <c r="D1606" s="94">
        <v>75.115060512730054</v>
      </c>
      <c r="E1606" s="94">
        <v>5.9271212121212118</v>
      </c>
      <c r="F1606" s="94">
        <v>78.954773206482443</v>
      </c>
      <c r="G1606" s="94">
        <v>5.9764093420468631</v>
      </c>
      <c r="H1606" s="94">
        <v>81</v>
      </c>
      <c r="I1606" s="94">
        <v>15.88</v>
      </c>
      <c r="J1606" s="94">
        <v>5226.052209481295</v>
      </c>
      <c r="K1606" s="94">
        <v>2.8645396880145304</v>
      </c>
      <c r="L1606" s="94">
        <v>1</v>
      </c>
      <c r="M1606" s="94">
        <v>0</v>
      </c>
      <c r="N1606" s="94">
        <v>0</v>
      </c>
      <c r="O1606" s="94">
        <v>0</v>
      </c>
    </row>
    <row r="1607" spans="1:15" x14ac:dyDescent="0.25">
      <c r="A1607" s="89">
        <v>45364.333333333336</v>
      </c>
      <c r="B1607" s="94">
        <v>358.05318735305212</v>
      </c>
      <c r="C1607" s="94">
        <v>301.05498525270326</v>
      </c>
      <c r="D1607" s="94">
        <v>76.422056958385156</v>
      </c>
      <c r="E1607" s="94">
        <v>5.95</v>
      </c>
      <c r="F1607" s="94">
        <v>78.889510579225188</v>
      </c>
      <c r="G1607" s="94">
        <v>5.9524526866670726</v>
      </c>
      <c r="H1607" s="94">
        <v>82.114633046025816</v>
      </c>
      <c r="I1607" s="94">
        <v>15.967200012207032</v>
      </c>
      <c r="J1607" s="94">
        <v>5208.2485338966753</v>
      </c>
      <c r="K1607" s="94">
        <v>2.8618847836739758</v>
      </c>
      <c r="L1607" s="94">
        <v>1</v>
      </c>
      <c r="M1607" s="94">
        <v>0</v>
      </c>
      <c r="N1607" s="94">
        <v>0</v>
      </c>
      <c r="O1607" s="94">
        <v>0</v>
      </c>
    </row>
    <row r="1608" spans="1:15" x14ac:dyDescent="0.25">
      <c r="A1608" s="89">
        <v>45364.833333333336</v>
      </c>
      <c r="B1608" s="94">
        <v>357.98</v>
      </c>
      <c r="C1608" s="94">
        <v>301.05903290223688</v>
      </c>
      <c r="D1608" s="94">
        <v>75.534365537622577</v>
      </c>
      <c r="E1608" s="94">
        <v>5.9275067467483717</v>
      </c>
      <c r="F1608" s="94">
        <v>78.820512600149698</v>
      </c>
      <c r="G1608" s="94">
        <v>5.99</v>
      </c>
      <c r="H1608" s="94">
        <v>81.3</v>
      </c>
      <c r="I1608" s="94">
        <v>15.962356940337186</v>
      </c>
      <c r="J1608" s="94">
        <v>5226.1934246857072</v>
      </c>
      <c r="K1608" s="94">
        <v>2.8650652730606367</v>
      </c>
      <c r="L1608" s="94">
        <v>1</v>
      </c>
      <c r="M1608" s="94">
        <v>0</v>
      </c>
      <c r="N1608" s="94">
        <v>0</v>
      </c>
      <c r="O1608" s="94">
        <v>0</v>
      </c>
    </row>
    <row r="1609" spans="1:15" x14ac:dyDescent="0.25">
      <c r="A1609" s="89">
        <v>45365.333333333336</v>
      </c>
      <c r="B1609" s="94">
        <v>357.96024288656787</v>
      </c>
      <c r="C1609" s="94">
        <v>301.05115244593833</v>
      </c>
      <c r="D1609" s="94">
        <v>76.788614129486632</v>
      </c>
      <c r="E1609" s="94">
        <v>5.9351279296874999</v>
      </c>
      <c r="F1609" s="94">
        <v>78.768832323478932</v>
      </c>
      <c r="G1609" s="94">
        <v>5.9671428244780991</v>
      </c>
      <c r="H1609" s="94">
        <v>81.654968157681552</v>
      </c>
      <c r="I1609" s="94">
        <v>15.861291583931571</v>
      </c>
      <c r="J1609" s="94">
        <v>5245.8671707248859</v>
      </c>
      <c r="K1609" s="94">
        <v>2.8675151475312561</v>
      </c>
      <c r="L1609" s="94">
        <v>1</v>
      </c>
      <c r="M1609" s="94">
        <v>0</v>
      </c>
      <c r="N1609" s="94">
        <v>0</v>
      </c>
      <c r="O1609" s="94">
        <v>0</v>
      </c>
    </row>
    <row r="1610" spans="1:15" x14ac:dyDescent="0.25">
      <c r="A1610" s="89">
        <v>45365.833333333336</v>
      </c>
      <c r="B1610" s="94">
        <v>357.88</v>
      </c>
      <c r="C1610" s="94">
        <v>300.93</v>
      </c>
      <c r="D1610" s="94">
        <v>47.9</v>
      </c>
      <c r="E1610" s="94">
        <v>2.87</v>
      </c>
      <c r="F1610" s="94">
        <v>67.610301291813329</v>
      </c>
      <c r="G1610" s="94">
        <v>5.0037781804004311</v>
      </c>
      <c r="H1610" s="94">
        <v>81.439896218642076</v>
      </c>
      <c r="I1610" s="94">
        <v>16.002560424804688</v>
      </c>
      <c r="J1610" s="94">
        <v>4510</v>
      </c>
      <c r="K1610" s="94">
        <v>2.7509999999999999</v>
      </c>
      <c r="L1610" s="94">
        <v>1</v>
      </c>
      <c r="M1610" s="94">
        <v>0</v>
      </c>
      <c r="N1610" s="94">
        <v>0</v>
      </c>
      <c r="O1610" s="94">
        <v>0</v>
      </c>
    </row>
    <row r="1611" spans="1:15" x14ac:dyDescent="0.25">
      <c r="A1611" s="89">
        <v>45366.333333333336</v>
      </c>
      <c r="B1611" s="94">
        <v>357.88</v>
      </c>
      <c r="C1611" s="94">
        <v>300.93441180957564</v>
      </c>
      <c r="D1611" s="94">
        <v>48.843800354003903</v>
      </c>
      <c r="E1611" s="94">
        <v>2.8624601877081441</v>
      </c>
      <c r="F1611" s="94">
        <v>68.642468270586718</v>
      </c>
      <c r="G1611" s="94">
        <v>5.0224407374890259</v>
      </c>
      <c r="H1611" s="94">
        <v>82.472210170075485</v>
      </c>
      <c r="I1611" s="94">
        <v>16.006573985152666</v>
      </c>
      <c r="J1611" s="94">
        <v>4548.0619175264264</v>
      </c>
      <c r="K1611" s="94">
        <v>2.75652886562859</v>
      </c>
      <c r="L1611" s="94">
        <v>0</v>
      </c>
      <c r="M1611" s="94">
        <v>0</v>
      </c>
      <c r="N1611" s="94">
        <v>0</v>
      </c>
      <c r="O1611" s="94">
        <v>0</v>
      </c>
    </row>
    <row r="1612" spans="1:15" x14ac:dyDescent="0.25">
      <c r="A1612" s="89">
        <v>45366.833333333336</v>
      </c>
      <c r="B1612" s="94">
        <v>357.88</v>
      </c>
      <c r="C1612" s="94">
        <v>300.82868449736111</v>
      </c>
      <c r="D1612" s="94">
        <v>40.714314953413776</v>
      </c>
      <c r="E1612" s="94">
        <v>2.4571370093172447</v>
      </c>
      <c r="F1612" s="94">
        <v>41.8</v>
      </c>
      <c r="G1612" s="94">
        <v>2.2708988825691763</v>
      </c>
      <c r="H1612" s="94">
        <v>82.495614416592701</v>
      </c>
      <c r="I1612" s="94">
        <v>15.969578857421874</v>
      </c>
      <c r="J1612" s="94">
        <v>4010</v>
      </c>
      <c r="K1612" s="94">
        <v>2.6659999999999999</v>
      </c>
      <c r="L1612" s="94">
        <v>1</v>
      </c>
      <c r="M1612" s="94">
        <v>0</v>
      </c>
      <c r="N1612" s="94">
        <v>0</v>
      </c>
      <c r="O1612" s="94">
        <v>0</v>
      </c>
    </row>
    <row r="1613" spans="1:15" x14ac:dyDescent="0.25">
      <c r="A1613" s="89">
        <v>45367.333333333336</v>
      </c>
      <c r="B1613" s="94">
        <v>357.88</v>
      </c>
      <c r="C1613" s="94">
        <v>300.82</v>
      </c>
      <c r="D1613" s="94">
        <v>42.9</v>
      </c>
      <c r="E1613" s="94">
        <v>2.4546261258045101</v>
      </c>
      <c r="F1613" s="94">
        <v>41.230201189647012</v>
      </c>
      <c r="G1613" s="94">
        <v>2.2246092061809435</v>
      </c>
      <c r="H1613" s="94">
        <v>82.386316905442996</v>
      </c>
      <c r="I1613" s="94">
        <v>15.908779754638672</v>
      </c>
      <c r="J1613" s="94">
        <v>4005.1865651579374</v>
      </c>
      <c r="K1613" s="94">
        <v>2.6653578340647885</v>
      </c>
      <c r="L1613" s="94">
        <v>0</v>
      </c>
      <c r="M1613" s="94">
        <v>0</v>
      </c>
      <c r="N1613" s="94">
        <v>0</v>
      </c>
      <c r="O1613" s="94">
        <v>0</v>
      </c>
    </row>
    <row r="1614" spans="1:15" x14ac:dyDescent="0.25">
      <c r="A1614" s="89">
        <v>45367.833333333336</v>
      </c>
      <c r="B1614" s="94">
        <v>357.88</v>
      </c>
      <c r="C1614" s="94">
        <v>300.73</v>
      </c>
      <c r="D1614" s="94">
        <v>37.77972066051688</v>
      </c>
      <c r="E1614" s="94">
        <v>2.2318039357502335</v>
      </c>
      <c r="F1614" s="94">
        <v>41.371877274349458</v>
      </c>
      <c r="G1614" s="94">
        <v>2.2792705903873416</v>
      </c>
      <c r="H1614" s="94">
        <v>71.528684762454787</v>
      </c>
      <c r="I1614" s="94">
        <v>13.351273511991307</v>
      </c>
      <c r="J1614" s="94">
        <v>3521.828534240306</v>
      </c>
      <c r="K1614" s="94">
        <v>2.5758858552398047</v>
      </c>
      <c r="L1614" s="94">
        <v>1</v>
      </c>
      <c r="M1614" s="94">
        <v>0</v>
      </c>
      <c r="N1614" s="94">
        <v>0</v>
      </c>
      <c r="O1614" s="94">
        <v>0</v>
      </c>
    </row>
    <row r="1615" spans="1:15" x14ac:dyDescent="0.25">
      <c r="A1615" s="89">
        <v>45368.333333333336</v>
      </c>
      <c r="B1615" s="94">
        <v>357.88</v>
      </c>
      <c r="C1615" s="94">
        <v>300.72076144074913</v>
      </c>
      <c r="D1615" s="94">
        <v>38.624985495866866</v>
      </c>
      <c r="E1615" s="94">
        <v>2.2714398015303683</v>
      </c>
      <c r="F1615" s="94">
        <v>41.2</v>
      </c>
      <c r="G1615" s="94">
        <v>2.2787250372351742</v>
      </c>
      <c r="H1615" s="94">
        <v>71.598695185825235</v>
      </c>
      <c r="I1615" s="94">
        <v>13.216933826677268</v>
      </c>
      <c r="J1615" s="94">
        <v>3529.6012117742889</v>
      </c>
      <c r="K1615" s="94">
        <v>2.5760000000000001</v>
      </c>
      <c r="L1615" s="94">
        <v>0</v>
      </c>
      <c r="M1615" s="94">
        <v>0</v>
      </c>
      <c r="N1615" s="94">
        <v>0</v>
      </c>
      <c r="O1615" s="94">
        <v>0</v>
      </c>
    </row>
    <row r="1616" spans="1:15" x14ac:dyDescent="0.25">
      <c r="A1616" s="89">
        <v>45368.833333333336</v>
      </c>
      <c r="B1616" s="94">
        <v>357.88</v>
      </c>
      <c r="C1616" s="94">
        <v>300.64999999999998</v>
      </c>
      <c r="D1616" s="94">
        <v>61.718227176869711</v>
      </c>
      <c r="E1616" s="94">
        <v>4.4442687963075427</v>
      </c>
      <c r="F1616" s="94">
        <v>48.695239498145988</v>
      </c>
      <c r="G1616" s="94">
        <v>2.6951133235129783</v>
      </c>
      <c r="H1616" s="94">
        <v>48.6</v>
      </c>
      <c r="I1616" s="94">
        <v>7.0085773641349505</v>
      </c>
      <c r="J1616" s="94">
        <v>2969</v>
      </c>
      <c r="K1616" s="94">
        <v>2.466370138353168</v>
      </c>
      <c r="L1616" s="94">
        <v>1</v>
      </c>
      <c r="M1616" s="94">
        <v>0</v>
      </c>
      <c r="N1616" s="94">
        <v>0</v>
      </c>
      <c r="O1616" s="94">
        <v>0</v>
      </c>
    </row>
    <row r="1617" spans="1:15" x14ac:dyDescent="0.25">
      <c r="A1617" s="89">
        <v>45369.333333333336</v>
      </c>
      <c r="B1617" s="94">
        <v>357.58</v>
      </c>
      <c r="C1617" s="94">
        <v>300.643388506527</v>
      </c>
      <c r="D1617" s="94">
        <v>63.972844423496262</v>
      </c>
      <c r="E1617" s="94">
        <v>4.5228869986738012</v>
      </c>
      <c r="F1617" s="94">
        <v>47.942176316351585</v>
      </c>
      <c r="G1617" s="94">
        <v>2.6657740617664096</v>
      </c>
      <c r="H1617" s="94">
        <v>48.926057802818875</v>
      </c>
      <c r="I1617" s="94">
        <v>7.101678328074267</v>
      </c>
      <c r="J1617" s="94">
        <v>2967.7612652005687</v>
      </c>
      <c r="K1617" s="94">
        <v>2.4654798271711482</v>
      </c>
      <c r="L1617" s="94">
        <v>0</v>
      </c>
      <c r="M1617" s="94">
        <v>0</v>
      </c>
      <c r="N1617" s="94">
        <v>0</v>
      </c>
      <c r="O1617" s="94">
        <v>0</v>
      </c>
    </row>
    <row r="1618" spans="1:15" x14ac:dyDescent="0.25">
      <c r="A1618" s="89">
        <v>45369.833333333336</v>
      </c>
      <c r="B1618" s="94">
        <v>357.58</v>
      </c>
      <c r="C1618" s="94">
        <v>300.43</v>
      </c>
      <c r="D1618" s="94">
        <v>69.8</v>
      </c>
      <c r="E1618" s="94">
        <v>5.44</v>
      </c>
      <c r="F1618" s="94">
        <v>74.130184370120645</v>
      </c>
      <c r="G1618" s="94">
        <v>5.46</v>
      </c>
      <c r="H1618" s="94">
        <v>0.45817241625016542</v>
      </c>
      <c r="I1618" s="94">
        <v>0</v>
      </c>
      <c r="J1618" s="94">
        <v>2005</v>
      </c>
      <c r="K1618" s="94">
        <v>2.2310905774938705</v>
      </c>
      <c r="L1618" s="94">
        <v>1</v>
      </c>
      <c r="M1618" s="94">
        <v>0</v>
      </c>
      <c r="N1618" s="94">
        <v>0</v>
      </c>
      <c r="O1618" s="94">
        <v>21.200535126242258</v>
      </c>
    </row>
    <row r="1619" spans="1:15" x14ac:dyDescent="0.25">
      <c r="A1619" s="89">
        <v>45370.333333333336</v>
      </c>
      <c r="B1619" s="94">
        <v>357.56</v>
      </c>
      <c r="C1619" s="94">
        <v>300.43790933815859</v>
      </c>
      <c r="D1619" s="94">
        <v>70.131963247385102</v>
      </c>
      <c r="E1619" s="94">
        <v>5.432442302698905</v>
      </c>
      <c r="F1619" s="94">
        <v>74.079293484344305</v>
      </c>
      <c r="G1619" s="94">
        <v>5.4374976516140858</v>
      </c>
      <c r="H1619" s="94">
        <v>0.67181636060100158</v>
      </c>
      <c r="I1619" s="94">
        <v>0</v>
      </c>
      <c r="J1619" s="94">
        <v>2007.4079354896257</v>
      </c>
      <c r="K1619" s="94">
        <v>2.2318520086532572</v>
      </c>
      <c r="L1619" s="94">
        <v>0.5698355479039543</v>
      </c>
      <c r="M1619" s="94">
        <v>0</v>
      </c>
      <c r="N1619" s="94">
        <v>0</v>
      </c>
      <c r="O1619" s="94">
        <v>21.734771904582299</v>
      </c>
    </row>
    <row r="1620" spans="1:15" x14ac:dyDescent="0.25">
      <c r="A1620" s="89">
        <v>45370.833333333336</v>
      </c>
      <c r="B1620" s="94">
        <v>357.56</v>
      </c>
      <c r="C1620" s="94">
        <v>300.2759813294781</v>
      </c>
      <c r="D1620" s="94">
        <v>43.214440307617188</v>
      </c>
      <c r="E1620" s="94">
        <v>2.4486100769042971</v>
      </c>
      <c r="F1620" s="94">
        <v>70.34305038452149</v>
      </c>
      <c r="G1620" s="94">
        <v>5.5</v>
      </c>
      <c r="H1620" s="94">
        <v>0.7</v>
      </c>
      <c r="I1620" s="94">
        <v>0</v>
      </c>
      <c r="J1620" s="94">
        <v>1538.7729678474714</v>
      </c>
      <c r="K1620" s="94">
        <v>2.0881042018690588</v>
      </c>
      <c r="L1620" s="94">
        <v>1</v>
      </c>
      <c r="M1620" s="94">
        <v>0</v>
      </c>
      <c r="N1620" s="94">
        <v>0</v>
      </c>
      <c r="O1620" s="94">
        <v>83</v>
      </c>
    </row>
    <row r="1621" spans="1:15" x14ac:dyDescent="0.25">
      <c r="A1621" s="89">
        <v>45371.333333333336</v>
      </c>
      <c r="B1621" s="94">
        <v>357.55618238619059</v>
      </c>
      <c r="C1621" s="94">
        <v>300.27419919345084</v>
      </c>
      <c r="D1621" s="94">
        <v>42.9</v>
      </c>
      <c r="E1621" s="94">
        <v>2.4465067254956034</v>
      </c>
      <c r="F1621" s="94">
        <v>69.900000000000006</v>
      </c>
      <c r="G1621" s="94">
        <v>5.52</v>
      </c>
      <c r="H1621" s="94">
        <v>0.7</v>
      </c>
      <c r="I1621" s="94">
        <v>0</v>
      </c>
      <c r="J1621" s="94">
        <v>1543</v>
      </c>
      <c r="K1621" s="94">
        <v>2.0897369061336506</v>
      </c>
      <c r="L1621" s="94">
        <v>1</v>
      </c>
      <c r="M1621" s="94">
        <v>0</v>
      </c>
      <c r="N1621" s="94">
        <v>0</v>
      </c>
      <c r="O1621" s="94">
        <v>87</v>
      </c>
    </row>
    <row r="1622" spans="1:15" x14ac:dyDescent="0.25">
      <c r="A1622" s="89">
        <v>45371.833333333336</v>
      </c>
      <c r="B1622" s="94">
        <v>357.54</v>
      </c>
      <c r="C1622" s="94">
        <v>300.27515272903878</v>
      </c>
      <c r="D1622" s="94">
        <v>41.87436920613775</v>
      </c>
      <c r="E1622" s="94">
        <v>2.4655942744775232</v>
      </c>
      <c r="F1622" s="94">
        <v>70.096736880967612</v>
      </c>
      <c r="G1622" s="94">
        <v>5.5256839730496026</v>
      </c>
      <c r="H1622" s="94">
        <v>0.7</v>
      </c>
      <c r="I1622" s="94">
        <v>0</v>
      </c>
      <c r="J1622" s="94">
        <v>1538.1849439546138</v>
      </c>
      <c r="K1622" s="94">
        <v>2.089</v>
      </c>
      <c r="L1622" s="94">
        <v>1</v>
      </c>
      <c r="M1622" s="94">
        <v>0</v>
      </c>
      <c r="N1622" s="94">
        <v>0</v>
      </c>
      <c r="O1622" s="94">
        <v>21</v>
      </c>
    </row>
    <row r="1623" spans="1:15" x14ac:dyDescent="0.25">
      <c r="A1623" s="89">
        <v>45372.333333333336</v>
      </c>
      <c r="B1623" s="94">
        <v>357.53797322523593</v>
      </c>
      <c r="C1623" s="94">
        <v>300.27055544519561</v>
      </c>
      <c r="D1623" s="94">
        <v>42.4</v>
      </c>
      <c r="E1623" s="94">
        <v>2.4863063035542456</v>
      </c>
      <c r="F1623" s="94">
        <v>69.404636635808515</v>
      </c>
      <c r="G1623" s="94">
        <v>5.4725223766610656</v>
      </c>
      <c r="H1623" s="94">
        <v>0.8</v>
      </c>
      <c r="I1623" s="94">
        <v>0</v>
      </c>
      <c r="J1623" s="94">
        <v>1537</v>
      </c>
      <c r="K1623" s="94">
        <v>2.0869628591785059</v>
      </c>
      <c r="L1623" s="94">
        <v>0</v>
      </c>
      <c r="M1623" s="94">
        <v>0</v>
      </c>
      <c r="N1623" s="94">
        <v>0</v>
      </c>
      <c r="O1623" s="94">
        <v>20.548889503043828</v>
      </c>
    </row>
    <row r="1624" spans="1:15" x14ac:dyDescent="0.25">
      <c r="A1624" s="89">
        <v>45372.833333333336</v>
      </c>
      <c r="B1624" s="94">
        <v>357.53</v>
      </c>
      <c r="C1624" s="94">
        <v>300.32205961087647</v>
      </c>
      <c r="D1624" s="94">
        <v>41.378634172748001</v>
      </c>
      <c r="E1624" s="94">
        <v>2.42</v>
      </c>
      <c r="F1624" s="94">
        <v>81.400000000000006</v>
      </c>
      <c r="G1624" s="94">
        <v>6.4856758820833971</v>
      </c>
      <c r="H1624" s="94">
        <v>0.78619295698465574</v>
      </c>
      <c r="I1624" s="94">
        <v>0</v>
      </c>
      <c r="J1624" s="94">
        <v>1691.8126528242726</v>
      </c>
      <c r="K1624" s="94">
        <v>2.1379999999999999</v>
      </c>
      <c r="L1624" s="94">
        <v>0.80174025589179876</v>
      </c>
      <c r="M1624" s="94">
        <v>0</v>
      </c>
      <c r="N1624" s="94">
        <v>0</v>
      </c>
      <c r="O1624" s="94">
        <v>0</v>
      </c>
    </row>
    <row r="1625" spans="1:15" x14ac:dyDescent="0.25">
      <c r="A1625" s="89">
        <v>45373.333333333336</v>
      </c>
      <c r="B1625" s="94">
        <v>357.53</v>
      </c>
      <c r="C1625" s="94">
        <v>300.32</v>
      </c>
      <c r="D1625" s="94">
        <v>41.891300735577211</v>
      </c>
      <c r="E1625" s="94">
        <v>2.4847595214843752</v>
      </c>
      <c r="F1625" s="94">
        <v>80.913101196289063</v>
      </c>
      <c r="G1625" s="94">
        <v>6.4764002990722656</v>
      </c>
      <c r="H1625" s="94">
        <v>0.87013238867621412</v>
      </c>
      <c r="I1625" s="94">
        <v>0</v>
      </c>
      <c r="J1625" s="94">
        <v>1688.992472649559</v>
      </c>
      <c r="K1625" s="94">
        <v>2.1368021550016554</v>
      </c>
      <c r="L1625" s="94">
        <v>0</v>
      </c>
      <c r="M1625" s="94">
        <v>0</v>
      </c>
      <c r="N1625" s="94">
        <v>0</v>
      </c>
      <c r="O1625" s="94">
        <v>0</v>
      </c>
    </row>
    <row r="1626" spans="1:15" x14ac:dyDescent="0.25">
      <c r="A1626" s="89">
        <v>45373.833333333336</v>
      </c>
      <c r="B1626" s="94">
        <v>357.53</v>
      </c>
      <c r="C1626" s="94">
        <v>300.3290624556135</v>
      </c>
      <c r="D1626" s="94">
        <v>42.819942339223921</v>
      </c>
      <c r="E1626" s="94">
        <v>2.4704713609286695</v>
      </c>
      <c r="F1626" s="94">
        <v>81.658036850134962</v>
      </c>
      <c r="G1626" s="94">
        <v>6.5065599975585933</v>
      </c>
      <c r="H1626" s="94">
        <v>0.82469404727007667</v>
      </c>
      <c r="I1626" s="94">
        <v>0</v>
      </c>
      <c r="J1626" s="94">
        <v>1691.8020795869966</v>
      </c>
      <c r="K1626" s="94">
        <v>2.1372132268414812</v>
      </c>
      <c r="L1626" s="94">
        <v>1</v>
      </c>
      <c r="M1626" s="94">
        <v>0</v>
      </c>
      <c r="N1626" s="94">
        <v>0</v>
      </c>
      <c r="O1626" s="94">
        <v>0</v>
      </c>
    </row>
    <row r="1627" spans="1:15" x14ac:dyDescent="0.25">
      <c r="A1627" s="89">
        <v>45374.333333333336</v>
      </c>
      <c r="B1627" s="94">
        <v>357.53</v>
      </c>
      <c r="C1627" s="94">
        <v>300.32246777728068</v>
      </c>
      <c r="D1627" s="94">
        <v>42.130425153654699</v>
      </c>
      <c r="E1627" s="94">
        <v>2.4413544536271807</v>
      </c>
      <c r="F1627" s="94">
        <v>81.358282978412362</v>
      </c>
      <c r="G1627" s="94">
        <v>6.45972739078384</v>
      </c>
      <c r="H1627" s="94">
        <v>0.9</v>
      </c>
      <c r="I1627" s="94">
        <v>0</v>
      </c>
      <c r="J1627" s="94">
        <v>1685.8071970301069</v>
      </c>
      <c r="K1627" s="94">
        <v>2.136182292966128</v>
      </c>
      <c r="L1627" s="94">
        <v>0</v>
      </c>
      <c r="M1627" s="94">
        <v>0</v>
      </c>
      <c r="N1627" s="94">
        <v>0</v>
      </c>
      <c r="O1627" s="94">
        <v>0</v>
      </c>
    </row>
    <row r="1628" spans="1:15" x14ac:dyDescent="0.25">
      <c r="A1628" s="89">
        <v>45374.833333333336</v>
      </c>
      <c r="B1628" s="94">
        <v>357.53</v>
      </c>
      <c r="C1628" s="94">
        <v>300.32463674597267</v>
      </c>
      <c r="D1628" s="94">
        <v>44.119068854165434</v>
      </c>
      <c r="E1628" s="94">
        <v>2.4740796915167094</v>
      </c>
      <c r="F1628" s="94">
        <v>81.5</v>
      </c>
      <c r="G1628" s="94">
        <v>6.4404100036621097</v>
      </c>
      <c r="H1628" s="94">
        <v>0.9</v>
      </c>
      <c r="I1628" s="94">
        <v>0</v>
      </c>
      <c r="J1628" s="94">
        <v>1694.2134643935576</v>
      </c>
      <c r="K1628" s="94">
        <v>2.1378148371832406</v>
      </c>
      <c r="L1628" s="94">
        <v>0</v>
      </c>
      <c r="M1628" s="94">
        <v>0</v>
      </c>
      <c r="N1628" s="94">
        <v>0</v>
      </c>
      <c r="O1628" s="94">
        <v>0</v>
      </c>
    </row>
    <row r="1629" spans="1:15" x14ac:dyDescent="0.25">
      <c r="A1629" s="89">
        <v>45375.333333333336</v>
      </c>
      <c r="B1629" s="94">
        <v>357.53</v>
      </c>
      <c r="C1629" s="94">
        <v>300.32278947216031</v>
      </c>
      <c r="D1629" s="94">
        <v>43.294682563906903</v>
      </c>
      <c r="E1629" s="94">
        <v>2.4572241161100679</v>
      </c>
      <c r="F1629" s="94">
        <v>81.295548167388858</v>
      </c>
      <c r="G1629" s="94">
        <v>6.4547760676083943</v>
      </c>
      <c r="H1629" s="94">
        <v>0.9</v>
      </c>
      <c r="I1629" s="94">
        <v>0</v>
      </c>
      <c r="J1629" s="94">
        <v>1694.7986184580998</v>
      </c>
      <c r="K1629" s="94">
        <v>2.1379999999999999</v>
      </c>
      <c r="L1629" s="94">
        <v>0</v>
      </c>
      <c r="M1629" s="94">
        <v>0</v>
      </c>
      <c r="N1629" s="94">
        <v>0</v>
      </c>
      <c r="O1629" s="94">
        <v>0</v>
      </c>
    </row>
    <row r="1630" spans="1:15" x14ac:dyDescent="0.25">
      <c r="A1630" s="89">
        <v>45375.833333333336</v>
      </c>
      <c r="B1630" s="94">
        <v>357.53</v>
      </c>
      <c r="C1630" s="94">
        <v>300.32751222398542</v>
      </c>
      <c r="D1630" s="94">
        <v>43.8</v>
      </c>
      <c r="E1630" s="94">
        <v>2.4439426501289452</v>
      </c>
      <c r="F1630" s="94">
        <v>81.779599800092257</v>
      </c>
      <c r="G1630" s="94">
        <v>6.5075401306152338</v>
      </c>
      <c r="H1630" s="94">
        <v>0.89799873775931927</v>
      </c>
      <c r="I1630" s="94">
        <v>0</v>
      </c>
      <c r="J1630" s="94">
        <v>1695.4001097826178</v>
      </c>
      <c r="K1630" s="94">
        <v>2.1389999999999998</v>
      </c>
      <c r="L1630" s="94">
        <v>1</v>
      </c>
      <c r="M1630" s="94">
        <v>0</v>
      </c>
      <c r="N1630" s="94">
        <v>0</v>
      </c>
      <c r="O1630" s="94">
        <v>0</v>
      </c>
    </row>
    <row r="1631" spans="1:15" x14ac:dyDescent="0.25">
      <c r="A1631" s="89">
        <v>45376.333333333336</v>
      </c>
      <c r="B1631" s="94">
        <v>357.45</v>
      </c>
      <c r="C1631" s="94">
        <v>300.01812271196366</v>
      </c>
      <c r="D1631" s="94">
        <v>42.20983998616537</v>
      </c>
      <c r="E1631" s="94">
        <v>2.5629377153135575</v>
      </c>
      <c r="F1631" s="94">
        <v>1.4565866941918659</v>
      </c>
      <c r="G1631" s="94">
        <v>0</v>
      </c>
      <c r="H1631" s="94">
        <v>1</v>
      </c>
      <c r="I1631" s="94">
        <v>0</v>
      </c>
      <c r="J1631" s="94">
        <v>1629.7536078843866</v>
      </c>
      <c r="K1631" s="94">
        <v>2.1057462520832475</v>
      </c>
      <c r="L1631" s="94">
        <v>0</v>
      </c>
      <c r="M1631" s="94">
        <v>0</v>
      </c>
      <c r="N1631" s="94">
        <v>0</v>
      </c>
      <c r="O1631" s="94">
        <v>0</v>
      </c>
    </row>
    <row r="1632" spans="1:15" x14ac:dyDescent="0.25">
      <c r="A1632" s="89">
        <v>45376.833333333336</v>
      </c>
      <c r="B1632" s="94">
        <v>357.45</v>
      </c>
      <c r="C1632" s="94">
        <v>299.80867378977479</v>
      </c>
      <c r="D1632" s="94">
        <v>39.583963720480661</v>
      </c>
      <c r="E1632" s="94">
        <v>2.4712899780273436</v>
      </c>
      <c r="F1632" s="94">
        <v>3.3</v>
      </c>
      <c r="G1632" s="94">
        <v>0</v>
      </c>
      <c r="H1632" s="94">
        <v>0.96882723983727437</v>
      </c>
      <c r="I1632" s="94">
        <v>0</v>
      </c>
      <c r="J1632" s="94">
        <v>527.39648045815375</v>
      </c>
      <c r="K1632" s="94">
        <v>1.611</v>
      </c>
      <c r="L1632" s="94">
        <v>1</v>
      </c>
      <c r="M1632" s="94">
        <v>0</v>
      </c>
      <c r="N1632" s="94">
        <v>0</v>
      </c>
      <c r="O1632" s="94">
        <v>0</v>
      </c>
    </row>
    <row r="1633" spans="1:15" x14ac:dyDescent="0.25">
      <c r="A1633" s="89">
        <v>45377.333333333336</v>
      </c>
      <c r="B1633" s="94">
        <v>357.4533549040458</v>
      </c>
      <c r="C1633" s="94">
        <v>299.8</v>
      </c>
      <c r="D1633" s="94">
        <v>38.5</v>
      </c>
      <c r="E1633" s="94">
        <v>2.4581410256410257</v>
      </c>
      <c r="F1633" s="94">
        <v>2.9</v>
      </c>
      <c r="G1633" s="94">
        <v>0</v>
      </c>
      <c r="H1633" s="94">
        <v>1</v>
      </c>
      <c r="I1633" s="94">
        <v>0</v>
      </c>
      <c r="J1633" s="94">
        <v>530</v>
      </c>
      <c r="K1633" s="94">
        <v>1.6113929568114154</v>
      </c>
      <c r="L1633" s="94">
        <v>0</v>
      </c>
      <c r="M1633" s="94">
        <v>0</v>
      </c>
      <c r="N1633" s="94">
        <v>0</v>
      </c>
      <c r="O1633" s="94">
        <v>0</v>
      </c>
    </row>
    <row r="1634" spans="1:15" x14ac:dyDescent="0.25">
      <c r="A1634" s="89">
        <v>45377.833333333336</v>
      </c>
      <c r="B1634" s="94">
        <v>357.46</v>
      </c>
      <c r="C1634" s="94">
        <v>299.80710092042364</v>
      </c>
      <c r="D1634" s="94">
        <v>39.960298561351451</v>
      </c>
      <c r="E1634" s="94">
        <v>2.46</v>
      </c>
      <c r="F1634" s="94">
        <v>3.3731425216059971</v>
      </c>
      <c r="G1634" s="94">
        <v>0</v>
      </c>
      <c r="H1634" s="94">
        <v>0.91008938941735151</v>
      </c>
      <c r="I1634" s="94">
        <v>0</v>
      </c>
      <c r="J1634" s="94">
        <v>529.19757091954239</v>
      </c>
      <c r="K1634" s="94">
        <v>1.611</v>
      </c>
      <c r="L1634" s="94">
        <v>1</v>
      </c>
      <c r="M1634" s="94">
        <v>0</v>
      </c>
      <c r="N1634" s="94">
        <v>0</v>
      </c>
      <c r="O1634" s="94">
        <v>0</v>
      </c>
    </row>
    <row r="1635" spans="1:15" x14ac:dyDescent="0.25">
      <c r="A1635" s="89">
        <v>45378.333333333336</v>
      </c>
      <c r="B1635" s="94">
        <v>357.46342498920586</v>
      </c>
      <c r="C1635" s="94">
        <v>299.8</v>
      </c>
      <c r="D1635" s="94">
        <v>38.935748945764374</v>
      </c>
      <c r="E1635" s="94">
        <v>2.5056850465862226</v>
      </c>
      <c r="F1635" s="94">
        <v>3</v>
      </c>
      <c r="G1635" s="94">
        <v>0</v>
      </c>
      <c r="H1635" s="94">
        <v>0.91540833008952904</v>
      </c>
      <c r="I1635" s="94">
        <v>0</v>
      </c>
      <c r="J1635" s="94">
        <v>530</v>
      </c>
      <c r="K1635" s="94">
        <v>1.6103931466781076</v>
      </c>
      <c r="L1635" s="94">
        <v>0</v>
      </c>
      <c r="M1635" s="94">
        <v>0</v>
      </c>
      <c r="N1635" s="94">
        <v>0</v>
      </c>
      <c r="O1635" s="94">
        <v>0</v>
      </c>
    </row>
    <row r="1636" spans="1:15" x14ac:dyDescent="0.25">
      <c r="A1636" s="89">
        <v>45378.833333333336</v>
      </c>
      <c r="B1636" s="94">
        <v>357.47</v>
      </c>
      <c r="C1636" s="94">
        <v>299.80429173587845</v>
      </c>
      <c r="D1636" s="94">
        <v>40.797591471178933</v>
      </c>
      <c r="E1636" s="94">
        <v>2.4678662109374998</v>
      </c>
      <c r="F1636" s="94">
        <v>3.3801516608416771</v>
      </c>
      <c r="G1636" s="94">
        <v>0</v>
      </c>
      <c r="H1636" s="94">
        <v>0.90971003788256866</v>
      </c>
      <c r="I1636" s="94">
        <v>0</v>
      </c>
      <c r="J1636" s="94">
        <v>529.25647515412493</v>
      </c>
      <c r="K1636" s="94">
        <v>1.610877761611121</v>
      </c>
      <c r="L1636" s="94">
        <v>1</v>
      </c>
      <c r="M1636" s="94">
        <v>0</v>
      </c>
      <c r="N1636" s="94">
        <v>0</v>
      </c>
      <c r="O1636" s="94">
        <v>0</v>
      </c>
    </row>
    <row r="1637" spans="1:15" x14ac:dyDescent="0.25">
      <c r="A1637" s="89">
        <v>45379.333333333336</v>
      </c>
      <c r="B1637" s="94">
        <v>357.47</v>
      </c>
      <c r="C1637" s="94">
        <v>299.81</v>
      </c>
      <c r="D1637" s="94">
        <v>39.950023544510664</v>
      </c>
      <c r="E1637" s="94">
        <v>2.4643994140625001</v>
      </c>
      <c r="F1637" s="94">
        <v>3.123975244279813</v>
      </c>
      <c r="G1637" s="94">
        <v>0</v>
      </c>
      <c r="H1637" s="94">
        <v>0.9</v>
      </c>
      <c r="I1637" s="94">
        <v>0</v>
      </c>
      <c r="J1637" s="94">
        <v>529.80058389314968</v>
      </c>
      <c r="K1637" s="94">
        <v>1.6114337729222725</v>
      </c>
      <c r="L1637" s="94">
        <v>0</v>
      </c>
      <c r="M1637" s="94">
        <v>0</v>
      </c>
      <c r="N1637" s="94">
        <v>0</v>
      </c>
      <c r="O1637" s="94">
        <v>0</v>
      </c>
    </row>
    <row r="1638" spans="1:15" x14ac:dyDescent="0.25">
      <c r="A1638" s="89">
        <v>45379.833333333336</v>
      </c>
      <c r="B1638" s="94">
        <v>357.47</v>
      </c>
      <c r="C1638" s="94">
        <v>299.81</v>
      </c>
      <c r="D1638" s="94">
        <v>40.691364966686443</v>
      </c>
      <c r="E1638" s="94">
        <v>2.4786422403947186</v>
      </c>
      <c r="F1638" s="94">
        <v>3.4</v>
      </c>
      <c r="G1638" s="94">
        <v>0</v>
      </c>
      <c r="H1638" s="94">
        <v>0.93312483447803474</v>
      </c>
      <c r="I1638" s="94">
        <v>0</v>
      </c>
      <c r="J1638" s="94">
        <v>529.59973013245497</v>
      </c>
      <c r="K1638" s="94">
        <v>1.611</v>
      </c>
      <c r="L1638" s="94">
        <v>1</v>
      </c>
      <c r="M1638" s="94">
        <v>0</v>
      </c>
      <c r="N1638" s="94">
        <v>0</v>
      </c>
      <c r="O1638" s="94">
        <v>0</v>
      </c>
    </row>
    <row r="1639" spans="1:15" x14ac:dyDescent="0.25">
      <c r="A1639" s="89">
        <v>45380.333333333336</v>
      </c>
      <c r="B1639" s="94">
        <v>357.47</v>
      </c>
      <c r="C1639" s="94">
        <v>299.80301360866628</v>
      </c>
      <c r="D1639" s="94">
        <v>40.668312669231867</v>
      </c>
      <c r="E1639" s="94">
        <v>2.473216414383927</v>
      </c>
      <c r="F1639" s="94">
        <v>3.2961513513513512</v>
      </c>
      <c r="G1639" s="94">
        <v>0</v>
      </c>
      <c r="H1639" s="94">
        <v>0.96560188065139629</v>
      </c>
      <c r="I1639" s="94">
        <v>0</v>
      </c>
      <c r="J1639" s="94">
        <v>529</v>
      </c>
      <c r="K1639" s="94">
        <v>1.6114016078489</v>
      </c>
      <c r="L1639" s="94">
        <v>0</v>
      </c>
      <c r="M1639" s="94">
        <v>0</v>
      </c>
      <c r="N1639" s="94">
        <v>0</v>
      </c>
      <c r="O1639" s="94">
        <v>0</v>
      </c>
    </row>
    <row r="1640" spans="1:15" x14ac:dyDescent="0.25">
      <c r="A1640" s="89">
        <v>45380.833333333336</v>
      </c>
      <c r="B1640" s="94">
        <v>357.47</v>
      </c>
      <c r="C1640" s="94">
        <v>299.80671541542472</v>
      </c>
      <c r="D1640" s="94">
        <v>40.700000000000003</v>
      </c>
      <c r="E1640" s="94">
        <v>2.4889488315258901</v>
      </c>
      <c r="F1640" s="94">
        <v>3.4</v>
      </c>
      <c r="G1640" s="94">
        <v>0</v>
      </c>
      <c r="H1640" s="94">
        <v>0.92786464575447847</v>
      </c>
      <c r="I1640" s="94">
        <v>0</v>
      </c>
      <c r="J1640" s="94">
        <v>533</v>
      </c>
      <c r="K1640" s="94">
        <v>1.6123512951052388</v>
      </c>
      <c r="L1640" s="94">
        <v>1</v>
      </c>
      <c r="M1640" s="94">
        <v>0</v>
      </c>
      <c r="N1640" s="94">
        <v>0</v>
      </c>
      <c r="O1640" s="94">
        <v>0</v>
      </c>
    </row>
    <row r="1641" spans="1:15" x14ac:dyDescent="0.25">
      <c r="A1641" s="89">
        <v>45381.333333333336</v>
      </c>
      <c r="B1641" s="94">
        <v>357.47</v>
      </c>
      <c r="C1641" s="94">
        <v>299.81</v>
      </c>
      <c r="D1641" s="94">
        <v>38.700000000000003</v>
      </c>
      <c r="E1641" s="94">
        <v>2.4405605620895066</v>
      </c>
      <c r="F1641" s="94">
        <v>3.2018641743282372</v>
      </c>
      <c r="G1641" s="94">
        <v>0</v>
      </c>
      <c r="H1641" s="94">
        <v>0.97841398654387901</v>
      </c>
      <c r="I1641" s="94">
        <v>0</v>
      </c>
      <c r="J1641" s="94">
        <v>533.19697485557106</v>
      </c>
      <c r="K1641" s="94">
        <v>1.6138586248758677</v>
      </c>
      <c r="L1641" s="94">
        <v>0</v>
      </c>
      <c r="M1641" s="94">
        <v>0</v>
      </c>
      <c r="N1641" s="94">
        <v>0</v>
      </c>
      <c r="O1641" s="94">
        <v>0</v>
      </c>
    </row>
    <row r="1642" spans="1:15" x14ac:dyDescent="0.25">
      <c r="A1642" s="89">
        <v>45381.833333333336</v>
      </c>
      <c r="B1642" s="94">
        <v>357.47</v>
      </c>
      <c r="C1642" s="94">
        <v>299.81</v>
      </c>
      <c r="D1642" s="94">
        <v>41.916201452900175</v>
      </c>
      <c r="E1642" s="94">
        <v>2.5068022446095823</v>
      </c>
      <c r="F1642" s="94">
        <v>3.5</v>
      </c>
      <c r="G1642" s="94">
        <v>0</v>
      </c>
      <c r="H1642" s="94">
        <v>0.91950267070048564</v>
      </c>
      <c r="I1642" s="94">
        <v>0</v>
      </c>
      <c r="J1642" s="94">
        <v>529.80291503598642</v>
      </c>
      <c r="K1642" s="94">
        <v>1.6120278392011322</v>
      </c>
      <c r="L1642" s="94">
        <v>0.42886578772057571</v>
      </c>
      <c r="M1642" s="94">
        <v>0</v>
      </c>
      <c r="N1642" s="94">
        <v>0</v>
      </c>
      <c r="O1642" s="94">
        <v>0</v>
      </c>
    </row>
    <row r="1643" spans="1:15" x14ac:dyDescent="0.25">
      <c r="A1643" s="89">
        <v>45382.333333333336</v>
      </c>
      <c r="B1643" s="94">
        <v>357.47</v>
      </c>
      <c r="C1643" s="94">
        <v>299.81</v>
      </c>
      <c r="D1643" s="94">
        <v>40.347799682617186</v>
      </c>
      <c r="E1643" s="94">
        <v>2.4908611446289197</v>
      </c>
      <c r="F1643" s="94">
        <v>3.3</v>
      </c>
      <c r="G1643" s="94">
        <v>0</v>
      </c>
      <c r="H1643" s="94">
        <v>0.9</v>
      </c>
      <c r="I1643" s="94">
        <v>0</v>
      </c>
      <c r="J1643" s="94">
        <v>531.80034961105753</v>
      </c>
      <c r="K1643" s="94">
        <v>1.6126945848690613</v>
      </c>
      <c r="L1643" s="94">
        <v>0</v>
      </c>
      <c r="M1643" s="94">
        <v>0</v>
      </c>
      <c r="N1643" s="94">
        <v>0</v>
      </c>
      <c r="O1643" s="94">
        <v>0</v>
      </c>
    </row>
    <row r="1644" spans="1:15" x14ac:dyDescent="0.25">
      <c r="A1644" s="89">
        <v>45382.833333333336</v>
      </c>
      <c r="B1644" s="94">
        <v>357.47</v>
      </c>
      <c r="C1644" s="94">
        <v>299.81</v>
      </c>
      <c r="D1644" s="94">
        <v>40.275851637317288</v>
      </c>
      <c r="E1644" s="94">
        <v>2.453237775744638</v>
      </c>
      <c r="F1644" s="94">
        <v>3.5</v>
      </c>
      <c r="G1644" s="94">
        <v>0</v>
      </c>
      <c r="H1644" s="94">
        <v>0.96365724983535905</v>
      </c>
      <c r="I1644" s="94">
        <v>0</v>
      </c>
      <c r="J1644" s="94">
        <v>530</v>
      </c>
      <c r="K1644" s="94">
        <v>1.6119641171735857</v>
      </c>
      <c r="L1644" s="94">
        <v>0</v>
      </c>
      <c r="M1644" s="94">
        <v>0</v>
      </c>
      <c r="N1644" s="94">
        <v>0</v>
      </c>
      <c r="O1644" s="94">
        <v>0</v>
      </c>
    </row>
    <row r="1645" spans="1:15" x14ac:dyDescent="0.25">
      <c r="A1645" s="89">
        <v>45383.333333333336</v>
      </c>
      <c r="B1645" s="94">
        <v>357.47</v>
      </c>
      <c r="C1645" s="94">
        <v>299.81</v>
      </c>
      <c r="D1645" s="94">
        <v>40.091832578497829</v>
      </c>
      <c r="E1645" s="94">
        <v>2.4987486999580883</v>
      </c>
      <c r="F1645" s="94">
        <v>3.2000987913047476</v>
      </c>
      <c r="G1645" s="94">
        <v>0</v>
      </c>
      <c r="H1645" s="94">
        <v>0.96164970397949223</v>
      </c>
      <c r="I1645" s="94">
        <v>0</v>
      </c>
      <c r="J1645" s="94">
        <v>533</v>
      </c>
      <c r="K1645" s="94">
        <v>1.6142629951440708</v>
      </c>
      <c r="L1645" s="94">
        <v>0</v>
      </c>
      <c r="M1645" s="94">
        <v>0</v>
      </c>
      <c r="N1645" s="94">
        <v>0</v>
      </c>
      <c r="O1645" s="94">
        <v>0</v>
      </c>
    </row>
    <row r="1646" spans="1:15" x14ac:dyDescent="0.25">
      <c r="A1646" s="89">
        <v>45383.833333333336</v>
      </c>
      <c r="B1646" s="94">
        <v>357.47</v>
      </c>
      <c r="C1646" s="94">
        <v>299.80781834296658</v>
      </c>
      <c r="D1646" s="94">
        <v>39.776250591210776</v>
      </c>
      <c r="E1646" s="94">
        <v>2.432102457576637</v>
      </c>
      <c r="F1646" s="94">
        <v>3.5</v>
      </c>
      <c r="G1646" s="94">
        <v>0</v>
      </c>
      <c r="H1646" s="94">
        <v>0.9</v>
      </c>
      <c r="I1646" s="94">
        <v>0</v>
      </c>
      <c r="J1646" s="94">
        <v>530</v>
      </c>
      <c r="K1646" s="94">
        <v>1.6121752728454235</v>
      </c>
      <c r="L1646" s="94">
        <v>0</v>
      </c>
      <c r="M1646" s="94">
        <v>0</v>
      </c>
      <c r="N1646" s="94">
        <v>0</v>
      </c>
      <c r="O1646" s="94">
        <v>0</v>
      </c>
    </row>
    <row r="1647" spans="1:15" x14ac:dyDescent="0.25">
      <c r="A1647" s="89">
        <v>45384.333333333336</v>
      </c>
      <c r="B1647" s="94">
        <v>357.47</v>
      </c>
      <c r="C1647" s="94">
        <v>299.80045596270304</v>
      </c>
      <c r="D1647" s="94">
        <v>38.653783162434898</v>
      </c>
      <c r="E1647" s="94">
        <v>2.4703136228992557</v>
      </c>
      <c r="F1647" s="94">
        <v>3.3274002075195313</v>
      </c>
      <c r="G1647" s="94">
        <v>0</v>
      </c>
      <c r="H1647" s="94">
        <v>0.9</v>
      </c>
      <c r="I1647" s="94">
        <v>0</v>
      </c>
      <c r="J1647" s="94">
        <v>532.70243825358114</v>
      </c>
      <c r="K1647" s="94">
        <v>1.6128047906420553</v>
      </c>
      <c r="L1647" s="94">
        <v>0</v>
      </c>
      <c r="M1647" s="94">
        <v>0</v>
      </c>
      <c r="N1647" s="94">
        <v>0</v>
      </c>
      <c r="O1647" s="94">
        <v>0</v>
      </c>
    </row>
    <row r="1648" spans="1:15" x14ac:dyDescent="0.25">
      <c r="A1648" s="89">
        <v>45384.833333333336</v>
      </c>
      <c r="B1648" s="94">
        <v>357.47</v>
      </c>
      <c r="C1648" s="94">
        <v>299.80465988159182</v>
      </c>
      <c r="D1648" s="94">
        <v>38.129370843166441</v>
      </c>
      <c r="E1648" s="94">
        <v>2.5047446961250017</v>
      </c>
      <c r="F1648" s="94">
        <v>3.3137353427115177</v>
      </c>
      <c r="G1648" s="94">
        <v>0</v>
      </c>
      <c r="H1648" s="94">
        <v>0.9</v>
      </c>
      <c r="I1648" s="94">
        <v>0</v>
      </c>
      <c r="J1648" s="94">
        <v>529.79976923915592</v>
      </c>
      <c r="K1648" s="94">
        <v>1.6118691657608017</v>
      </c>
      <c r="L1648" s="94">
        <v>0</v>
      </c>
      <c r="M1648" s="94">
        <v>0</v>
      </c>
      <c r="N1648" s="94">
        <v>0</v>
      </c>
      <c r="O1648" s="94">
        <v>0</v>
      </c>
    </row>
    <row r="1649" spans="1:15" x14ac:dyDescent="0.25">
      <c r="A1649" s="89">
        <v>45385.333333333336</v>
      </c>
      <c r="B1649" s="94">
        <v>357.46647577474641</v>
      </c>
      <c r="C1649" s="94">
        <v>299.8</v>
      </c>
      <c r="D1649" s="94">
        <v>41.751589950392678</v>
      </c>
      <c r="E1649" s="94">
        <v>2.48</v>
      </c>
      <c r="F1649" s="94">
        <v>2.9</v>
      </c>
      <c r="G1649" s="94">
        <v>0</v>
      </c>
      <c r="H1649" s="94">
        <v>1</v>
      </c>
      <c r="I1649" s="94">
        <v>0</v>
      </c>
      <c r="J1649" s="94">
        <v>532.40733549071001</v>
      </c>
      <c r="K1649" s="94">
        <v>1.6140000000000001</v>
      </c>
      <c r="L1649" s="94">
        <v>0</v>
      </c>
      <c r="M1649" s="94">
        <v>0</v>
      </c>
      <c r="N1649" s="94">
        <v>0</v>
      </c>
      <c r="O1649" s="94">
        <v>0</v>
      </c>
    </row>
    <row r="1650" spans="1:15" x14ac:dyDescent="0.25">
      <c r="A1650" s="89">
        <v>45385.833333333336</v>
      </c>
      <c r="B1650" s="94">
        <v>357.46</v>
      </c>
      <c r="C1650" s="94">
        <v>299.8</v>
      </c>
      <c r="D1650" s="94">
        <v>40.623222495456005</v>
      </c>
      <c r="E1650" s="94">
        <v>2.4838350677490233</v>
      </c>
      <c r="F1650" s="94">
        <v>3.3</v>
      </c>
      <c r="G1650" s="94">
        <v>0</v>
      </c>
      <c r="H1650" s="94">
        <v>0.95397525823537299</v>
      </c>
      <c r="I1650" s="94">
        <v>0</v>
      </c>
      <c r="J1650" s="94">
        <v>527.39542247064355</v>
      </c>
      <c r="K1650" s="94">
        <v>1.6092555762126268</v>
      </c>
      <c r="L1650" s="94">
        <v>0</v>
      </c>
      <c r="M1650" s="94">
        <v>0</v>
      </c>
      <c r="N1650" s="94">
        <v>0</v>
      </c>
      <c r="O1650" s="94">
        <v>0</v>
      </c>
    </row>
    <row r="1651" spans="1:15" x14ac:dyDescent="0.25">
      <c r="A1651" s="89">
        <v>45386.333333333336</v>
      </c>
      <c r="B1651" s="94">
        <v>357.46</v>
      </c>
      <c r="C1651" s="94">
        <v>299.8064700870903</v>
      </c>
      <c r="D1651" s="94">
        <v>38.9</v>
      </c>
      <c r="E1651" s="94">
        <v>2.4665335983487502</v>
      </c>
      <c r="F1651" s="94">
        <v>3.1275559972479168</v>
      </c>
      <c r="G1651" s="94">
        <v>0</v>
      </c>
      <c r="H1651" s="94">
        <v>0.967373862528916</v>
      </c>
      <c r="I1651" s="94">
        <v>0</v>
      </c>
      <c r="J1651" s="94">
        <v>528.18484477348181</v>
      </c>
      <c r="K1651" s="94">
        <v>1.6109354213176093</v>
      </c>
      <c r="L1651" s="94">
        <v>0</v>
      </c>
      <c r="M1651" s="94">
        <v>0</v>
      </c>
      <c r="N1651" s="94">
        <v>0</v>
      </c>
      <c r="O1651" s="94">
        <v>0</v>
      </c>
    </row>
    <row r="1652" spans="1:15" x14ac:dyDescent="0.25">
      <c r="A1652" s="89">
        <v>45386.833333333336</v>
      </c>
      <c r="B1652" s="94">
        <v>357.46</v>
      </c>
      <c r="C1652" s="94">
        <v>299.81</v>
      </c>
      <c r="D1652" s="94">
        <v>38.002800496419269</v>
      </c>
      <c r="E1652" s="94">
        <v>2.4745899963378908</v>
      </c>
      <c r="F1652" s="94">
        <v>3.3</v>
      </c>
      <c r="G1652" s="94">
        <v>0</v>
      </c>
      <c r="H1652" s="94">
        <v>0.94046568649350915</v>
      </c>
      <c r="I1652" s="94">
        <v>0</v>
      </c>
      <c r="J1652" s="94">
        <v>529</v>
      </c>
      <c r="K1652" s="94">
        <v>1.609</v>
      </c>
      <c r="L1652" s="94">
        <v>0</v>
      </c>
      <c r="M1652" s="94">
        <v>0</v>
      </c>
      <c r="N1652" s="94">
        <v>0</v>
      </c>
      <c r="O1652" s="94">
        <v>0</v>
      </c>
    </row>
    <row r="1653" spans="1:15" x14ac:dyDescent="0.25">
      <c r="A1653" s="89">
        <v>45387.333333333336</v>
      </c>
      <c r="B1653" s="94">
        <v>357.46365396497958</v>
      </c>
      <c r="C1653" s="94">
        <v>299.80695261734104</v>
      </c>
      <c r="D1653" s="94">
        <v>38.583878744581938</v>
      </c>
      <c r="E1653" s="94">
        <v>2.5090405780311573</v>
      </c>
      <c r="F1653" s="94">
        <v>2.960134592314295</v>
      </c>
      <c r="G1653" s="94">
        <v>0</v>
      </c>
      <c r="H1653" s="94">
        <v>1</v>
      </c>
      <c r="I1653" s="94">
        <v>0</v>
      </c>
      <c r="J1653" s="94">
        <v>532.40404633883111</v>
      </c>
      <c r="K1653" s="94">
        <v>1.6135230839786707</v>
      </c>
      <c r="L1653" s="94">
        <v>0</v>
      </c>
      <c r="M1653" s="94">
        <v>0</v>
      </c>
      <c r="N1653" s="94">
        <v>0</v>
      </c>
      <c r="O1653" s="94">
        <v>0</v>
      </c>
    </row>
    <row r="1654" spans="1:15" x14ac:dyDescent="0.25">
      <c r="A1654" s="89">
        <v>45387.833333333336</v>
      </c>
      <c r="B1654" s="94">
        <v>357.47</v>
      </c>
      <c r="C1654" s="94">
        <v>300.71981978081112</v>
      </c>
      <c r="D1654" s="94">
        <v>39.151234903875803</v>
      </c>
      <c r="E1654" s="94">
        <v>2.2540000406901042</v>
      </c>
      <c r="F1654" s="94">
        <v>37.747315351458127</v>
      </c>
      <c r="G1654" s="94">
        <v>2.2875678684064065</v>
      </c>
      <c r="H1654" s="94">
        <v>71.992499725624768</v>
      </c>
      <c r="I1654" s="94">
        <v>13.015759277343749</v>
      </c>
      <c r="J1654" s="94">
        <v>3491.0242577753247</v>
      </c>
      <c r="K1654" s="94">
        <v>2.5710000000000002</v>
      </c>
      <c r="L1654" s="94">
        <v>0</v>
      </c>
      <c r="M1654" s="94">
        <v>0</v>
      </c>
      <c r="N1654" s="94">
        <v>0</v>
      </c>
      <c r="O1654" s="94">
        <v>0</v>
      </c>
    </row>
    <row r="1655" spans="1:15" x14ac:dyDescent="0.25">
      <c r="A1655" s="89">
        <v>45388.333333333336</v>
      </c>
      <c r="B1655" s="94">
        <v>357.47</v>
      </c>
      <c r="C1655" s="94">
        <v>300.70999999999998</v>
      </c>
      <c r="D1655" s="94">
        <v>38.917722046579712</v>
      </c>
      <c r="E1655" s="94">
        <v>2.2817722046579711</v>
      </c>
      <c r="F1655" s="94">
        <v>38.241720766095099</v>
      </c>
      <c r="G1655" s="94">
        <v>2.2405130681413858</v>
      </c>
      <c r="H1655" s="94">
        <v>72.36016001387604</v>
      </c>
      <c r="I1655" s="94">
        <v>12.981255060728746</v>
      </c>
      <c r="J1655" s="94">
        <v>3488.1280327659065</v>
      </c>
      <c r="K1655" s="94">
        <v>2.5709351578921833</v>
      </c>
      <c r="L1655" s="94">
        <v>0</v>
      </c>
      <c r="M1655" s="94">
        <v>0</v>
      </c>
      <c r="N1655" s="94">
        <v>0</v>
      </c>
      <c r="O1655" s="94">
        <v>0</v>
      </c>
    </row>
    <row r="1656" spans="1:15" x14ac:dyDescent="0.25">
      <c r="A1656" s="89">
        <v>45388.833333333336</v>
      </c>
      <c r="B1656" s="94">
        <v>357.47</v>
      </c>
      <c r="C1656" s="94">
        <v>300.51158287146717</v>
      </c>
      <c r="D1656" s="94">
        <v>37.245364796509662</v>
      </c>
      <c r="E1656" s="94">
        <v>2.3043994140624999</v>
      </c>
      <c r="F1656" s="94">
        <v>40.273999023437497</v>
      </c>
      <c r="G1656" s="94">
        <v>2.2777101135253908</v>
      </c>
      <c r="H1656" s="94">
        <v>48.836029304644526</v>
      </c>
      <c r="I1656" s="94">
        <v>7.0033187866210938</v>
      </c>
      <c r="J1656" s="94">
        <v>2516.0008878299514</v>
      </c>
      <c r="K1656" s="94">
        <v>2.3607958990770457</v>
      </c>
      <c r="L1656" s="94">
        <v>0</v>
      </c>
      <c r="M1656" s="94">
        <v>0</v>
      </c>
      <c r="N1656" s="94">
        <v>0</v>
      </c>
      <c r="O1656" s="94">
        <v>0</v>
      </c>
    </row>
    <row r="1657" spans="1:15" x14ac:dyDescent="0.25">
      <c r="A1657" s="89">
        <v>45389.333333333336</v>
      </c>
      <c r="B1657" s="94">
        <v>357.47</v>
      </c>
      <c r="C1657" s="94">
        <v>300.52</v>
      </c>
      <c r="D1657" s="94">
        <v>35.543772499234066</v>
      </c>
      <c r="E1657" s="94">
        <v>2.2751101684570312</v>
      </c>
      <c r="F1657" s="94">
        <v>40.081399875217016</v>
      </c>
      <c r="G1657" s="94">
        <v>2.264864138320783</v>
      </c>
      <c r="H1657" s="94">
        <v>48.95989556735929</v>
      </c>
      <c r="I1657" s="94">
        <v>7.1791249163957636</v>
      </c>
      <c r="J1657" s="94">
        <v>2514.4740128642616</v>
      </c>
      <c r="K1657" s="94">
        <v>2.3618574941639814</v>
      </c>
      <c r="L1657" s="94">
        <v>0</v>
      </c>
      <c r="M1657" s="94">
        <v>0</v>
      </c>
      <c r="N1657" s="94">
        <v>0</v>
      </c>
      <c r="O1657" s="94">
        <v>0</v>
      </c>
    </row>
    <row r="1658" spans="1:15" x14ac:dyDescent="0.25">
      <c r="A1658" s="89">
        <v>45389.833333333336</v>
      </c>
      <c r="B1658" s="94">
        <v>357.47</v>
      </c>
      <c r="C1658" s="94">
        <v>300.52</v>
      </c>
      <c r="D1658" s="94">
        <v>37.200000000000003</v>
      </c>
      <c r="E1658" s="94">
        <v>2.242330769932217</v>
      </c>
      <c r="F1658" s="94">
        <v>40.110847803096725</v>
      </c>
      <c r="G1658" s="94">
        <v>2.2588028326197671</v>
      </c>
      <c r="H1658" s="94">
        <v>48.708489537915533</v>
      </c>
      <c r="I1658" s="94">
        <v>6.8639999389648434</v>
      </c>
      <c r="J1658" s="94">
        <v>2510.4484946213743</v>
      </c>
      <c r="K1658" s="94">
        <v>2.3618746645199908</v>
      </c>
      <c r="L1658" s="94">
        <v>0</v>
      </c>
      <c r="M1658" s="94">
        <v>0</v>
      </c>
      <c r="N1658" s="94">
        <v>0</v>
      </c>
      <c r="O1658" s="94">
        <v>0</v>
      </c>
    </row>
    <row r="1659" spans="1:15" x14ac:dyDescent="0.25">
      <c r="A1659" s="89">
        <v>45390.333333333336</v>
      </c>
      <c r="B1659" s="94">
        <v>357.54211018297809</v>
      </c>
      <c r="C1659" s="94">
        <v>300.51372055547944</v>
      </c>
      <c r="D1659" s="94">
        <v>37.200000000000003</v>
      </c>
      <c r="E1659" s="94">
        <v>2.3086008386188523</v>
      </c>
      <c r="F1659" s="94">
        <v>39.799999999999997</v>
      </c>
      <c r="G1659" s="94">
        <v>2.2604365728125946</v>
      </c>
      <c r="H1659" s="94">
        <v>49.057778798969409</v>
      </c>
      <c r="I1659" s="94">
        <v>6.7832361764661089</v>
      </c>
      <c r="J1659" s="94">
        <v>2514.4245312774569</v>
      </c>
      <c r="K1659" s="94">
        <v>2.3618523488186125</v>
      </c>
      <c r="L1659" s="94">
        <v>0</v>
      </c>
      <c r="M1659" s="94">
        <v>0</v>
      </c>
      <c r="N1659" s="94">
        <v>0</v>
      </c>
      <c r="O1659" s="94">
        <v>0</v>
      </c>
    </row>
    <row r="1660" spans="1:15" x14ac:dyDescent="0.25">
      <c r="A1660" s="89">
        <v>45390.833333333336</v>
      </c>
      <c r="B1660" s="94">
        <v>357.67</v>
      </c>
      <c r="C1660" s="94">
        <v>300.5255293819427</v>
      </c>
      <c r="D1660" s="94">
        <v>37.777821915257931</v>
      </c>
      <c r="E1660" s="94">
        <v>2.3174792480468747</v>
      </c>
      <c r="F1660" s="94">
        <v>40.200000000000003</v>
      </c>
      <c r="G1660" s="94">
        <v>2.309900506594861</v>
      </c>
      <c r="H1660" s="94">
        <v>48.625984317278615</v>
      </c>
      <c r="I1660" s="94">
        <v>6.8613756328114652</v>
      </c>
      <c r="J1660" s="94">
        <v>2500.7854597444402</v>
      </c>
      <c r="K1660" s="94">
        <v>2.3593028179597324</v>
      </c>
      <c r="L1660" s="94">
        <v>0</v>
      </c>
      <c r="M1660" s="94">
        <v>0</v>
      </c>
      <c r="N1660" s="94">
        <v>0</v>
      </c>
      <c r="O1660" s="94">
        <v>0</v>
      </c>
    </row>
    <row r="1661" spans="1:15" x14ac:dyDescent="0.25">
      <c r="A1661" s="89">
        <v>45391.333333333336</v>
      </c>
      <c r="B1661" s="94">
        <v>357.68115770705339</v>
      </c>
      <c r="C1661" s="94">
        <v>300.52684100452927</v>
      </c>
      <c r="D1661" s="94">
        <v>38</v>
      </c>
      <c r="E1661" s="94">
        <v>2.2821293280800443</v>
      </c>
      <c r="F1661" s="94">
        <v>39.782253613936824</v>
      </c>
      <c r="G1661" s="94">
        <v>2.2623408007412609</v>
      </c>
      <c r="H1661" s="94">
        <v>49.020022607654631</v>
      </c>
      <c r="I1661" s="94">
        <v>6.8283764238208082</v>
      </c>
      <c r="J1661" s="94">
        <v>2532.2141617592019</v>
      </c>
      <c r="K1661" s="94">
        <v>2.3666265983360852</v>
      </c>
      <c r="L1661" s="94">
        <v>11.607584425873588</v>
      </c>
      <c r="M1661" s="94">
        <v>0</v>
      </c>
      <c r="N1661" s="94">
        <v>0</v>
      </c>
      <c r="O1661" s="94">
        <v>0</v>
      </c>
    </row>
    <row r="1662" spans="1:15" x14ac:dyDescent="0.25">
      <c r="A1662" s="89">
        <v>45391.833333333336</v>
      </c>
      <c r="B1662" s="94">
        <v>357.7</v>
      </c>
      <c r="C1662" s="94">
        <v>300.56</v>
      </c>
      <c r="D1662" s="94">
        <v>2.5607167883504456</v>
      </c>
      <c r="E1662" s="94">
        <v>0</v>
      </c>
      <c r="F1662" s="94">
        <v>2.8</v>
      </c>
      <c r="G1662" s="94">
        <v>0</v>
      </c>
      <c r="H1662" s="94">
        <v>83.888322109646268</v>
      </c>
      <c r="I1662" s="94">
        <v>16.152655760262977</v>
      </c>
      <c r="J1662" s="94">
        <v>2872.9762365767788</v>
      </c>
      <c r="K1662" s="94">
        <v>2.4456018545322302</v>
      </c>
      <c r="L1662" s="94">
        <v>0</v>
      </c>
      <c r="M1662" s="94">
        <v>0</v>
      </c>
      <c r="N1662" s="94">
        <v>0</v>
      </c>
      <c r="O1662" s="94">
        <v>0</v>
      </c>
    </row>
    <row r="1663" spans="1:15" x14ac:dyDescent="0.25">
      <c r="A1663" s="89">
        <v>45392.333333333336</v>
      </c>
      <c r="B1663" s="94">
        <v>357.7262998982871</v>
      </c>
      <c r="C1663" s="94">
        <v>300.55672274141563</v>
      </c>
      <c r="D1663" s="94">
        <v>2.5481731331703665</v>
      </c>
      <c r="E1663" s="94">
        <v>0</v>
      </c>
      <c r="F1663" s="94">
        <v>2.9</v>
      </c>
      <c r="G1663" s="94">
        <v>0</v>
      </c>
      <c r="H1663" s="94">
        <v>83.667194652249606</v>
      </c>
      <c r="I1663" s="94">
        <v>16.079999999999998</v>
      </c>
      <c r="J1663" s="94">
        <v>2865.5720250530439</v>
      </c>
      <c r="K1663" s="94">
        <v>2.4424057956848841</v>
      </c>
      <c r="L1663" s="94">
        <v>0</v>
      </c>
      <c r="M1663" s="94">
        <v>0</v>
      </c>
      <c r="N1663" s="94">
        <v>0</v>
      </c>
      <c r="O1663" s="94">
        <v>0</v>
      </c>
    </row>
    <row r="1664" spans="1:15" x14ac:dyDescent="0.25">
      <c r="A1664" s="89">
        <v>45392.833333333336</v>
      </c>
      <c r="B1664" s="94">
        <v>357.77</v>
      </c>
      <c r="C1664" s="94">
        <v>300.55721050486471</v>
      </c>
      <c r="D1664" s="94">
        <v>2.5</v>
      </c>
      <c r="E1664" s="94">
        <v>0</v>
      </c>
      <c r="F1664" s="94">
        <v>2.9</v>
      </c>
      <c r="G1664" s="94">
        <v>0</v>
      </c>
      <c r="H1664" s="94">
        <v>85.152693277994786</v>
      </c>
      <c r="I1664" s="94">
        <v>16.22606969675406</v>
      </c>
      <c r="J1664" s="94">
        <v>1433</v>
      </c>
      <c r="K1664" s="94">
        <v>2.0510000000000002</v>
      </c>
      <c r="L1664" s="94">
        <v>0</v>
      </c>
      <c r="M1664" s="94">
        <v>0</v>
      </c>
      <c r="N1664" s="94">
        <v>0</v>
      </c>
      <c r="O1664" s="94">
        <v>0</v>
      </c>
    </row>
    <row r="1665" spans="1:15" x14ac:dyDescent="0.25">
      <c r="A1665" s="89">
        <v>45393.333333333336</v>
      </c>
      <c r="B1665" s="94">
        <v>357.77</v>
      </c>
      <c r="C1665" s="94">
        <v>300.55</v>
      </c>
      <c r="D1665" s="94">
        <v>2.42711877042187</v>
      </c>
      <c r="E1665" s="94">
        <v>0</v>
      </c>
      <c r="F1665" s="94">
        <v>2.9</v>
      </c>
      <c r="G1665" s="94">
        <v>0</v>
      </c>
      <c r="H1665" s="94">
        <v>85.43349234575291</v>
      </c>
      <c r="I1665" s="94">
        <v>16.364482968654826</v>
      </c>
      <c r="J1665" s="94">
        <v>1433</v>
      </c>
      <c r="K1665" s="94">
        <v>2.0510000000000002</v>
      </c>
      <c r="L1665" s="94">
        <v>0</v>
      </c>
      <c r="M1665" s="94">
        <v>0</v>
      </c>
      <c r="N1665" s="94">
        <v>0</v>
      </c>
      <c r="O1665" s="94">
        <v>0</v>
      </c>
    </row>
    <row r="1666" spans="1:15" x14ac:dyDescent="0.25">
      <c r="A1666" s="89">
        <v>45393.833333333336</v>
      </c>
      <c r="B1666" s="94">
        <v>357.77</v>
      </c>
      <c r="C1666" s="94">
        <v>300.83267369239803</v>
      </c>
      <c r="D1666" s="94">
        <v>43.3</v>
      </c>
      <c r="E1666" s="94">
        <v>2.5159160383648769</v>
      </c>
      <c r="F1666" s="94">
        <v>47.905081479165133</v>
      </c>
      <c r="G1666" s="94">
        <v>2.4569292126956581</v>
      </c>
      <c r="H1666" s="94">
        <v>86.95759925365661</v>
      </c>
      <c r="I1666" s="94">
        <v>16.340051878416492</v>
      </c>
      <c r="J1666" s="94">
        <v>1433</v>
      </c>
      <c r="K1666" s="94">
        <v>2.0510000000000002</v>
      </c>
      <c r="L1666" s="94">
        <v>0</v>
      </c>
      <c r="M1666" s="94">
        <v>0</v>
      </c>
      <c r="N1666" s="94">
        <v>0</v>
      </c>
      <c r="O1666" s="94">
        <v>0</v>
      </c>
    </row>
    <row r="1667" spans="1:15" x14ac:dyDescent="0.25">
      <c r="A1667" s="89">
        <v>45394.333333333336</v>
      </c>
      <c r="B1667" s="94">
        <v>357.77</v>
      </c>
      <c r="C1667" s="94">
        <v>300.83999999999997</v>
      </c>
      <c r="D1667" s="94">
        <v>43.5</v>
      </c>
      <c r="E1667" s="94">
        <v>2.5263060943943789</v>
      </c>
      <c r="F1667" s="94">
        <v>48.2</v>
      </c>
      <c r="G1667" s="94">
        <v>2.4756005859374999</v>
      </c>
      <c r="H1667" s="94">
        <v>87.109271852913309</v>
      </c>
      <c r="I1667" s="94">
        <v>16.279009786287002</v>
      </c>
      <c r="J1667" s="94">
        <v>1433</v>
      </c>
      <c r="K1667" s="94">
        <v>2.0510000000000002</v>
      </c>
      <c r="L1667" s="94">
        <v>0</v>
      </c>
      <c r="M1667" s="94">
        <v>0</v>
      </c>
      <c r="N1667" s="94">
        <v>0</v>
      </c>
      <c r="O1667" s="94">
        <v>0</v>
      </c>
    </row>
    <row r="1668" spans="1:15" x14ac:dyDescent="0.25">
      <c r="A1668" s="89">
        <v>45394.833333333336</v>
      </c>
      <c r="B1668" s="94">
        <v>357.77</v>
      </c>
      <c r="C1668" s="94">
        <v>301.14</v>
      </c>
      <c r="D1668" s="94">
        <v>87.09014326424942</v>
      </c>
      <c r="E1668" s="94">
        <v>6.7569600423177079</v>
      </c>
      <c r="F1668" s="94">
        <v>88</v>
      </c>
      <c r="G1668" s="94">
        <v>6.76</v>
      </c>
      <c r="H1668" s="94">
        <v>89.887670699090222</v>
      </c>
      <c r="I1668" s="94">
        <v>16.625765911624995</v>
      </c>
      <c r="J1668" s="94">
        <v>1433</v>
      </c>
      <c r="K1668" s="94">
        <v>2.0510000000000002</v>
      </c>
      <c r="L1668" s="94">
        <v>7</v>
      </c>
      <c r="M1668" s="94">
        <v>0</v>
      </c>
      <c r="N1668" s="94">
        <v>0</v>
      </c>
      <c r="O1668" s="94">
        <v>0</v>
      </c>
    </row>
    <row r="1669" spans="1:15" x14ac:dyDescent="0.25">
      <c r="A1669" s="89">
        <v>45395.333333333336</v>
      </c>
      <c r="B1669" s="94">
        <v>357.77</v>
      </c>
      <c r="C1669" s="94">
        <v>301.15104878998989</v>
      </c>
      <c r="D1669" s="94">
        <v>85.1</v>
      </c>
      <c r="E1669" s="94">
        <v>6.7708801269531254</v>
      </c>
      <c r="F1669" s="94">
        <v>88.58394823646438</v>
      </c>
      <c r="G1669" s="94">
        <v>6.7338615329913143</v>
      </c>
      <c r="H1669" s="94">
        <v>89.777501319240471</v>
      </c>
      <c r="I1669" s="94">
        <v>16.365748571428572</v>
      </c>
      <c r="J1669" s="94">
        <v>1433</v>
      </c>
      <c r="K1669" s="94">
        <v>2.0510000000000002</v>
      </c>
      <c r="L1669" s="94">
        <v>7</v>
      </c>
      <c r="M1669" s="94">
        <v>0</v>
      </c>
      <c r="N1669" s="94">
        <v>0</v>
      </c>
      <c r="O1669" s="94">
        <v>0</v>
      </c>
    </row>
    <row r="1670" spans="1:15" x14ac:dyDescent="0.25">
      <c r="A1670" s="89">
        <v>45395.833333333336</v>
      </c>
      <c r="B1670" s="94">
        <v>357.77</v>
      </c>
      <c r="C1670" s="94">
        <v>301.36511483351859</v>
      </c>
      <c r="D1670" s="94">
        <v>87.861123982834457</v>
      </c>
      <c r="E1670" s="94">
        <v>6.7533475181616467</v>
      </c>
      <c r="F1670" s="94">
        <v>89.1</v>
      </c>
      <c r="G1670" s="94">
        <v>6.7745019605459129</v>
      </c>
      <c r="H1670" s="94">
        <v>90.5</v>
      </c>
      <c r="I1670" s="94">
        <v>16.33344142828286</v>
      </c>
      <c r="J1670" s="94">
        <v>1433</v>
      </c>
      <c r="K1670" s="94">
        <v>2.0510000000000002</v>
      </c>
      <c r="L1670" s="94">
        <v>61</v>
      </c>
      <c r="M1670" s="94">
        <v>0</v>
      </c>
      <c r="N1670" s="94">
        <v>0</v>
      </c>
      <c r="O1670" s="94">
        <v>0</v>
      </c>
    </row>
    <row r="1671" spans="1:15" x14ac:dyDescent="0.25">
      <c r="A1671" s="89">
        <v>45396.333333333336</v>
      </c>
      <c r="B1671" s="94">
        <v>357.77</v>
      </c>
      <c r="C1671" s="94">
        <v>301.37996202501841</v>
      </c>
      <c r="D1671" s="94">
        <v>87.173053283691402</v>
      </c>
      <c r="E1671" s="94">
        <v>6.7797199503580732</v>
      </c>
      <c r="F1671" s="94">
        <v>88.845799255371091</v>
      </c>
      <c r="G1671" s="94">
        <v>6.7496099853515625</v>
      </c>
      <c r="H1671" s="94">
        <v>92.377047283296108</v>
      </c>
      <c r="I1671" s="94">
        <v>16.561179232340475</v>
      </c>
      <c r="J1671" s="94">
        <v>1433</v>
      </c>
      <c r="K1671" s="94">
        <v>2.0510000000000002</v>
      </c>
      <c r="L1671" s="94">
        <v>60</v>
      </c>
      <c r="M1671" s="94">
        <v>0</v>
      </c>
      <c r="N1671" s="94">
        <v>0</v>
      </c>
      <c r="O1671" s="94">
        <v>0</v>
      </c>
    </row>
    <row r="1672" spans="1:15" x14ac:dyDescent="0.25">
      <c r="A1672" s="89">
        <v>45396.833333333336</v>
      </c>
      <c r="B1672" s="94">
        <v>357.77</v>
      </c>
      <c r="C1672" s="94">
        <v>301.55119334757126</v>
      </c>
      <c r="D1672" s="94">
        <v>88.451666197905666</v>
      </c>
      <c r="E1672" s="94">
        <v>6.7733702087402348</v>
      </c>
      <c r="F1672" s="94">
        <v>89.726672690998711</v>
      </c>
      <c r="G1672" s="94">
        <v>6.7314768452952016</v>
      </c>
      <c r="H1672" s="94">
        <v>91.922863688971987</v>
      </c>
      <c r="I1672" s="94">
        <v>16.449720586249519</v>
      </c>
      <c r="J1672" s="94">
        <v>1433</v>
      </c>
      <c r="K1672" s="94">
        <v>2.0510000000000002</v>
      </c>
      <c r="L1672" s="94">
        <v>60.982515566209848</v>
      </c>
      <c r="M1672" s="94">
        <v>50.780533805980809</v>
      </c>
      <c r="N1672" s="94">
        <v>0</v>
      </c>
      <c r="O1672" s="94">
        <v>0</v>
      </c>
    </row>
    <row r="1673" spans="1:15" x14ac:dyDescent="0.25">
      <c r="A1673" s="89">
        <v>45397.333333333336</v>
      </c>
      <c r="B1673" s="94">
        <v>357.77</v>
      </c>
      <c r="C1673" s="94">
        <v>301.55546406997234</v>
      </c>
      <c r="D1673" s="94">
        <v>87.779311253987657</v>
      </c>
      <c r="E1673" s="94">
        <v>6.7632672245283434</v>
      </c>
      <c r="F1673" s="94">
        <v>89.6</v>
      </c>
      <c r="G1673" s="94">
        <v>6.72550752812288</v>
      </c>
      <c r="H1673" s="94">
        <v>94.162956904826359</v>
      </c>
      <c r="I1673" s="94">
        <v>16.59</v>
      </c>
      <c r="J1673" s="94">
        <v>1433</v>
      </c>
      <c r="K1673" s="94">
        <v>2.0510000000000002</v>
      </c>
      <c r="L1673" s="94">
        <v>60</v>
      </c>
      <c r="M1673" s="94">
        <v>50</v>
      </c>
      <c r="N1673" s="94">
        <v>0</v>
      </c>
      <c r="O1673" s="94">
        <v>0</v>
      </c>
    </row>
    <row r="1674" spans="1:15" x14ac:dyDescent="0.25">
      <c r="A1674" s="89">
        <v>45397.833333333336</v>
      </c>
      <c r="B1674" s="94">
        <v>357.77</v>
      </c>
      <c r="C1674" s="94">
        <v>301.5</v>
      </c>
      <c r="D1674" s="94">
        <v>89.271655420510157</v>
      </c>
      <c r="E1674" s="94">
        <v>6.7747188773477953</v>
      </c>
      <c r="F1674" s="94">
        <v>90.236085728236603</v>
      </c>
      <c r="G1674" s="94">
        <v>6.8143994140624997</v>
      </c>
      <c r="H1674" s="94">
        <v>93.271413703913439</v>
      </c>
      <c r="I1674" s="94">
        <v>16.426120229084876</v>
      </c>
      <c r="J1674" s="94">
        <v>1433</v>
      </c>
      <c r="K1674" s="94">
        <v>2.0510000000000002</v>
      </c>
      <c r="L1674" s="94">
        <v>0</v>
      </c>
      <c r="M1674" s="94">
        <v>0</v>
      </c>
      <c r="N1674" s="94">
        <v>0</v>
      </c>
      <c r="O1674" s="94">
        <v>0</v>
      </c>
    </row>
    <row r="1675" spans="1:15" x14ac:dyDescent="0.25">
      <c r="A1675" s="89">
        <v>45398.333333333336</v>
      </c>
      <c r="B1675" s="94">
        <v>357.77</v>
      </c>
      <c r="C1675" s="94">
        <v>301.5</v>
      </c>
      <c r="D1675" s="94">
        <v>88.458785640725651</v>
      </c>
      <c r="E1675" s="94">
        <v>6.7562855868278042</v>
      </c>
      <c r="F1675" s="94">
        <v>89.823649597167972</v>
      </c>
      <c r="G1675" s="94">
        <v>6.7801798140905172</v>
      </c>
      <c r="H1675" s="94">
        <v>93.57554521643597</v>
      </c>
      <c r="I1675" s="94">
        <v>16.388405813886155</v>
      </c>
      <c r="J1675" s="94">
        <v>1433</v>
      </c>
      <c r="K1675" s="94">
        <v>2.0510000000000002</v>
      </c>
      <c r="L1675" s="94">
        <v>0</v>
      </c>
      <c r="M1675" s="94">
        <v>0</v>
      </c>
      <c r="N1675" s="94">
        <v>0</v>
      </c>
      <c r="O1675" s="94">
        <v>0</v>
      </c>
    </row>
    <row r="1676" spans="1:15" x14ac:dyDescent="0.25">
      <c r="A1676" s="89">
        <v>45398.833333333336</v>
      </c>
      <c r="B1676" s="94">
        <v>357.77</v>
      </c>
      <c r="C1676" s="94">
        <v>301.53468499603957</v>
      </c>
      <c r="D1676" s="94">
        <v>89.237803300206266</v>
      </c>
      <c r="E1676" s="94">
        <v>6.7610920311656253</v>
      </c>
      <c r="F1676" s="94">
        <v>90.441252161439039</v>
      </c>
      <c r="G1676" s="94">
        <v>6.7769413989418412</v>
      </c>
      <c r="H1676" s="94">
        <v>89.086008740875442</v>
      </c>
      <c r="I1676" s="94">
        <v>15.933806521799772</v>
      </c>
      <c r="J1676" s="94">
        <v>1433</v>
      </c>
      <c r="K1676" s="94">
        <v>2.0510000000000002</v>
      </c>
      <c r="L1676" s="94">
        <v>60</v>
      </c>
      <c r="M1676" s="94">
        <v>46</v>
      </c>
      <c r="N1676" s="94">
        <v>0</v>
      </c>
      <c r="O1676" s="94">
        <v>0</v>
      </c>
    </row>
    <row r="1677" spans="1:15" x14ac:dyDescent="0.25">
      <c r="A1677" s="89">
        <v>45399.333333333336</v>
      </c>
      <c r="B1677" s="94">
        <v>357.77</v>
      </c>
      <c r="C1677" s="94">
        <v>301.54657569730438</v>
      </c>
      <c r="D1677" s="94">
        <v>90.888345890123418</v>
      </c>
      <c r="E1677" s="94">
        <v>6.7921840837856431</v>
      </c>
      <c r="F1677" s="94">
        <v>90.304100181250647</v>
      </c>
      <c r="G1677" s="94">
        <v>6.745150370766761</v>
      </c>
      <c r="H1677" s="94">
        <v>89.648697165606123</v>
      </c>
      <c r="I1677" s="94">
        <v>15.95063487157296</v>
      </c>
      <c r="J1677" s="94">
        <v>1433</v>
      </c>
      <c r="K1677" s="94">
        <v>2.0510000000000002</v>
      </c>
      <c r="L1677" s="94">
        <v>59</v>
      </c>
      <c r="M1677" s="94">
        <v>50.622997146702559</v>
      </c>
      <c r="N1677" s="94">
        <v>0</v>
      </c>
      <c r="O1677" s="94">
        <v>0</v>
      </c>
    </row>
    <row r="1678" spans="1:15" x14ac:dyDescent="0.25">
      <c r="A1678" s="89">
        <v>45399.833333333336</v>
      </c>
      <c r="B1678" s="94">
        <v>357.77</v>
      </c>
      <c r="C1678" s="94">
        <v>301.54806199657355</v>
      </c>
      <c r="D1678" s="94">
        <v>91.322741909543723</v>
      </c>
      <c r="E1678" s="94">
        <v>6.756097374769694</v>
      </c>
      <c r="F1678" s="94">
        <v>91.232370549668119</v>
      </c>
      <c r="G1678" s="94">
        <v>6.769179992675781</v>
      </c>
      <c r="H1678" s="94">
        <v>88.906552997749515</v>
      </c>
      <c r="I1678" s="94">
        <v>15.89123091369315</v>
      </c>
      <c r="J1678" s="94">
        <v>1433</v>
      </c>
      <c r="K1678" s="94">
        <v>2.0510000000000002</v>
      </c>
      <c r="L1678" s="94">
        <v>60</v>
      </c>
      <c r="M1678" s="94">
        <v>51</v>
      </c>
      <c r="N1678" s="94">
        <v>0</v>
      </c>
      <c r="O1678" s="94">
        <v>0</v>
      </c>
    </row>
    <row r="1679" spans="1:15" x14ac:dyDescent="0.25">
      <c r="A1679" s="89">
        <v>45400.333333333336</v>
      </c>
      <c r="B1679" s="94">
        <v>357.77</v>
      </c>
      <c r="C1679" s="94">
        <v>301.54532846920938</v>
      </c>
      <c r="D1679" s="94">
        <v>90.251763451776654</v>
      </c>
      <c r="E1679" s="94">
        <v>6.7419022914952613</v>
      </c>
      <c r="F1679" s="94">
        <v>90.557128096572711</v>
      </c>
      <c r="G1679" s="94">
        <v>6.768160095214844</v>
      </c>
      <c r="H1679" s="94">
        <v>90.589449330434533</v>
      </c>
      <c r="I1679" s="94">
        <v>15.807383033104273</v>
      </c>
      <c r="J1679" s="94">
        <v>1433</v>
      </c>
      <c r="K1679" s="94">
        <v>2.0510000000000002</v>
      </c>
      <c r="L1679" s="94">
        <v>59</v>
      </c>
      <c r="M1679" s="94">
        <v>51</v>
      </c>
      <c r="N1679" s="94">
        <v>0</v>
      </c>
      <c r="O1679" s="94">
        <v>0</v>
      </c>
    </row>
    <row r="1680" spans="1:15" x14ac:dyDescent="0.25">
      <c r="A1680" s="89">
        <v>45400.833333333336</v>
      </c>
      <c r="B1680" s="94">
        <v>357.77</v>
      </c>
      <c r="C1680" s="94">
        <v>301.98346833559532</v>
      </c>
      <c r="D1680" s="94">
        <v>91.591885198821103</v>
      </c>
      <c r="E1680" s="94">
        <v>6.772119267183081</v>
      </c>
      <c r="F1680" s="94">
        <v>92.6</v>
      </c>
      <c r="G1680" s="94">
        <v>6.7428875644035244</v>
      </c>
      <c r="H1680" s="94">
        <v>92.89008841082854</v>
      </c>
      <c r="I1680" s="94">
        <v>16.044350344827588</v>
      </c>
      <c r="J1680" s="94">
        <v>1433</v>
      </c>
      <c r="K1680" s="94">
        <v>2.0510000000000002</v>
      </c>
      <c r="L1680" s="94">
        <v>60.345167872606375</v>
      </c>
      <c r="M1680" s="94">
        <v>51</v>
      </c>
      <c r="N1680" s="94">
        <v>65.600543556424938</v>
      </c>
      <c r="O1680" s="94">
        <v>66</v>
      </c>
    </row>
    <row r="1681" spans="1:15" x14ac:dyDescent="0.25">
      <c r="A1681" s="89">
        <v>45401.333333333336</v>
      </c>
      <c r="B1681" s="94">
        <v>357.77</v>
      </c>
      <c r="C1681" s="94">
        <v>301.99</v>
      </c>
      <c r="D1681" s="94">
        <v>90.282480259855703</v>
      </c>
      <c r="E1681" s="94">
        <v>6.78</v>
      </c>
      <c r="F1681" s="94">
        <v>92.081833713604553</v>
      </c>
      <c r="G1681" s="94">
        <v>6.7612703808527659</v>
      </c>
      <c r="H1681" s="94">
        <v>94.192076998590963</v>
      </c>
      <c r="I1681" s="94">
        <v>16.048393861980873</v>
      </c>
      <c r="J1681" s="94">
        <v>1433</v>
      </c>
      <c r="K1681" s="94">
        <v>2.0510000000000002</v>
      </c>
      <c r="L1681" s="94">
        <v>60</v>
      </c>
      <c r="M1681" s="94">
        <v>51</v>
      </c>
      <c r="N1681" s="94">
        <v>65</v>
      </c>
      <c r="O1681" s="94">
        <v>66</v>
      </c>
    </row>
    <row r="1682" spans="1:15" x14ac:dyDescent="0.25">
      <c r="A1682" s="89">
        <v>45401.833333333336</v>
      </c>
      <c r="B1682" s="94">
        <v>357.77</v>
      </c>
      <c r="C1682" s="94">
        <v>301.9854595526333</v>
      </c>
      <c r="D1682" s="94">
        <v>92.269662410654931</v>
      </c>
      <c r="E1682" s="94">
        <v>6.7628169659682396</v>
      </c>
      <c r="F1682" s="94">
        <v>92.795904025853261</v>
      </c>
      <c r="G1682" s="94">
        <v>6.7318501281738286</v>
      </c>
      <c r="H1682" s="94">
        <v>92.962227907419006</v>
      </c>
      <c r="I1682" s="94">
        <v>15.958589630126953</v>
      </c>
      <c r="J1682" s="94">
        <v>40</v>
      </c>
      <c r="K1682" s="94">
        <v>0</v>
      </c>
      <c r="L1682" s="94">
        <v>60</v>
      </c>
      <c r="M1682" s="94">
        <v>51</v>
      </c>
      <c r="N1682" s="94">
        <v>65.07422439760542</v>
      </c>
      <c r="O1682" s="94">
        <v>66.150775269172343</v>
      </c>
    </row>
    <row r="1683" spans="1:15" x14ac:dyDescent="0.25">
      <c r="A1683" s="89">
        <v>45402.333333333336</v>
      </c>
      <c r="B1683" s="94">
        <v>357.77</v>
      </c>
      <c r="C1683" s="94">
        <v>301.99</v>
      </c>
      <c r="D1683" s="94">
        <v>93.597786408363135</v>
      </c>
      <c r="E1683" s="94">
        <v>6.7726523145702444</v>
      </c>
      <c r="F1683" s="94">
        <v>92.8</v>
      </c>
      <c r="G1683" s="94">
        <v>6.7934831530652495</v>
      </c>
      <c r="H1683" s="94">
        <v>94.301614770883106</v>
      </c>
      <c r="I1683" s="94">
        <v>15.85666985645933</v>
      </c>
      <c r="J1683" s="94">
        <v>40</v>
      </c>
      <c r="K1683" s="94">
        <v>0</v>
      </c>
      <c r="L1683" s="94">
        <v>60</v>
      </c>
      <c r="M1683" s="94">
        <v>51</v>
      </c>
      <c r="N1683" s="94">
        <v>65</v>
      </c>
      <c r="O1683" s="94">
        <v>66</v>
      </c>
    </row>
    <row r="1684" spans="1:15" x14ac:dyDescent="0.25">
      <c r="A1684" s="89">
        <v>45402.833333333336</v>
      </c>
      <c r="B1684" s="94">
        <v>357.77</v>
      </c>
      <c r="C1684" s="94">
        <v>301.8612783016946</v>
      </c>
      <c r="D1684" s="94">
        <v>91.288576870471474</v>
      </c>
      <c r="E1684" s="94">
        <v>6.7689200258676436</v>
      </c>
      <c r="F1684" s="94">
        <v>92.706454402106743</v>
      </c>
      <c r="G1684" s="94">
        <v>6.7945232826258533</v>
      </c>
      <c r="H1684" s="94">
        <v>93.6</v>
      </c>
      <c r="I1684" s="94">
        <v>15.958652747955593</v>
      </c>
      <c r="J1684" s="94">
        <v>40</v>
      </c>
      <c r="K1684" s="94">
        <v>0</v>
      </c>
      <c r="L1684" s="94">
        <v>60.350090986484929</v>
      </c>
      <c r="M1684" s="94">
        <v>51</v>
      </c>
      <c r="N1684" s="94">
        <v>65</v>
      </c>
      <c r="O1684" s="94">
        <v>22</v>
      </c>
    </row>
    <row r="1685" spans="1:15" x14ac:dyDescent="0.25">
      <c r="A1685" s="89">
        <v>45403.333333333336</v>
      </c>
      <c r="B1685" s="94">
        <v>357.77</v>
      </c>
      <c r="C1685" s="94">
        <v>301.85942238570198</v>
      </c>
      <c r="D1685" s="94">
        <v>93.5</v>
      </c>
      <c r="E1685" s="94">
        <v>6.7715018765766324</v>
      </c>
      <c r="F1685" s="94">
        <v>92.328371607374109</v>
      </c>
      <c r="G1685" s="94">
        <v>6.794517197685602</v>
      </c>
      <c r="H1685" s="94">
        <v>94.354149730015479</v>
      </c>
      <c r="I1685" s="94">
        <v>15.915403912858274</v>
      </c>
      <c r="J1685" s="94">
        <v>40</v>
      </c>
      <c r="K1685" s="94">
        <v>0</v>
      </c>
      <c r="L1685" s="94">
        <v>60</v>
      </c>
      <c r="M1685" s="94">
        <v>51</v>
      </c>
      <c r="N1685" s="94">
        <v>65</v>
      </c>
      <c r="O1685" s="94">
        <v>22</v>
      </c>
    </row>
    <row r="1686" spans="1:15" x14ac:dyDescent="0.25">
      <c r="A1686" s="89">
        <v>45403.833333333336</v>
      </c>
      <c r="B1686" s="94">
        <v>357.77</v>
      </c>
      <c r="C1686" s="94">
        <v>301.85856211291321</v>
      </c>
      <c r="D1686" s="94">
        <v>94.747551903905375</v>
      </c>
      <c r="E1686" s="94">
        <v>6.7737451125859689</v>
      </c>
      <c r="F1686" s="94">
        <v>93.5</v>
      </c>
      <c r="G1686" s="94">
        <v>6.7691358063452691</v>
      </c>
      <c r="H1686" s="94">
        <v>94.688379237454967</v>
      </c>
      <c r="I1686" s="94">
        <v>15.966978712987425</v>
      </c>
      <c r="J1686" s="94">
        <v>40</v>
      </c>
      <c r="K1686" s="94">
        <v>0</v>
      </c>
      <c r="L1686" s="94">
        <v>60</v>
      </c>
      <c r="M1686" s="94">
        <v>51</v>
      </c>
      <c r="N1686" s="94">
        <v>65</v>
      </c>
      <c r="O1686" s="94">
        <v>22</v>
      </c>
    </row>
    <row r="1687" spans="1:15" x14ac:dyDescent="0.25">
      <c r="A1687" s="89">
        <v>45404.333333333336</v>
      </c>
      <c r="B1687" s="94">
        <v>357.77</v>
      </c>
      <c r="C1687" s="94">
        <v>301.86791312091935</v>
      </c>
      <c r="D1687" s="94">
        <v>93.9</v>
      </c>
      <c r="E1687" s="94">
        <v>6.7649615591217351</v>
      </c>
      <c r="F1687" s="94">
        <v>93.7</v>
      </c>
      <c r="G1687" s="94">
        <v>6.766164461016535</v>
      </c>
      <c r="H1687" s="94">
        <v>95.9</v>
      </c>
      <c r="I1687" s="94">
        <v>16.012770664444275</v>
      </c>
      <c r="J1687" s="94">
        <v>40</v>
      </c>
      <c r="K1687" s="94">
        <v>0</v>
      </c>
      <c r="L1687" s="94">
        <v>60</v>
      </c>
      <c r="M1687" s="94">
        <v>51</v>
      </c>
      <c r="N1687" s="94">
        <v>65</v>
      </c>
      <c r="O1687" s="94">
        <v>22</v>
      </c>
    </row>
    <row r="1688" spans="1:15" x14ac:dyDescent="0.25">
      <c r="A1688" s="89">
        <v>45404.833333333336</v>
      </c>
      <c r="B1688" s="94">
        <v>357.77</v>
      </c>
      <c r="C1688" s="94">
        <v>301.54000000000002</v>
      </c>
      <c r="D1688" s="94">
        <v>93.790815564089954</v>
      </c>
      <c r="E1688" s="94">
        <v>6.7434901746302716</v>
      </c>
      <c r="F1688" s="94">
        <v>91.9</v>
      </c>
      <c r="G1688" s="94">
        <v>6.8881973698278625</v>
      </c>
      <c r="H1688" s="94">
        <v>93.296059819585537</v>
      </c>
      <c r="I1688" s="94">
        <v>15.937873278236914</v>
      </c>
      <c r="J1688" s="94">
        <v>40</v>
      </c>
      <c r="K1688" s="94">
        <v>0</v>
      </c>
      <c r="L1688" s="94">
        <v>61</v>
      </c>
      <c r="M1688" s="94">
        <v>40</v>
      </c>
      <c r="N1688" s="94">
        <v>0</v>
      </c>
      <c r="O1688" s="94">
        <v>0</v>
      </c>
    </row>
    <row r="1689" spans="1:15" x14ac:dyDescent="0.25">
      <c r="A1689" s="89">
        <v>45405.333333333336</v>
      </c>
      <c r="B1689" s="94">
        <v>357.77</v>
      </c>
      <c r="C1689" s="94">
        <v>301.54000000000002</v>
      </c>
      <c r="D1689" s="94">
        <v>92.453381224260582</v>
      </c>
      <c r="E1689" s="94">
        <v>6.7219737447719679</v>
      </c>
      <c r="F1689" s="94">
        <v>89.6</v>
      </c>
      <c r="G1689" s="94">
        <v>6.7853241994476878</v>
      </c>
      <c r="H1689" s="94">
        <v>93.924365772017666</v>
      </c>
      <c r="I1689" s="94">
        <v>15.889998170787475</v>
      </c>
      <c r="J1689" s="94">
        <v>40</v>
      </c>
      <c r="K1689" s="94">
        <v>0</v>
      </c>
      <c r="L1689" s="94">
        <v>60</v>
      </c>
      <c r="M1689" s="94">
        <v>40</v>
      </c>
      <c r="N1689" s="94">
        <v>0</v>
      </c>
      <c r="O1689" s="94">
        <v>0</v>
      </c>
    </row>
    <row r="1690" spans="1:15" x14ac:dyDescent="0.25">
      <c r="A1690" s="89">
        <v>45405.833333333336</v>
      </c>
      <c r="B1690" s="94">
        <v>357.77</v>
      </c>
      <c r="C1690" s="94">
        <v>301.34589920279251</v>
      </c>
      <c r="D1690" s="94">
        <v>92.207273566691853</v>
      </c>
      <c r="E1690" s="94">
        <v>6.7737991333007814</v>
      </c>
      <c r="F1690" s="94">
        <v>89.634690906869977</v>
      </c>
      <c r="G1690" s="94">
        <v>6.7884092627223174</v>
      </c>
      <c r="H1690" s="94">
        <v>93.018219708313467</v>
      </c>
      <c r="I1690" s="94">
        <v>15.954175285626091</v>
      </c>
      <c r="J1690" s="94">
        <v>40</v>
      </c>
      <c r="K1690" s="94">
        <v>0</v>
      </c>
      <c r="L1690" s="94">
        <v>47</v>
      </c>
      <c r="M1690" s="94">
        <v>0</v>
      </c>
      <c r="N1690" s="94">
        <v>0</v>
      </c>
      <c r="O1690" s="94">
        <v>0</v>
      </c>
    </row>
    <row r="1691" spans="1:15" x14ac:dyDescent="0.25">
      <c r="A1691" s="89">
        <v>45406.333333333336</v>
      </c>
      <c r="B1691" s="94">
        <v>357.77</v>
      </c>
      <c r="C1691" s="94">
        <v>301.31968112072326</v>
      </c>
      <c r="D1691" s="94">
        <v>92.461117833788776</v>
      </c>
      <c r="E1691" s="94">
        <v>6.7736144733453516</v>
      </c>
      <c r="F1691" s="94">
        <v>89.580552885145366</v>
      </c>
      <c r="G1691" s="94">
        <v>6.8291021244648258</v>
      </c>
      <c r="H1691" s="94">
        <v>93.7</v>
      </c>
      <c r="I1691" s="94">
        <v>16.050960083007812</v>
      </c>
      <c r="J1691" s="94">
        <v>40</v>
      </c>
      <c r="K1691" s="94">
        <v>0</v>
      </c>
      <c r="L1691" s="94">
        <v>37</v>
      </c>
      <c r="M1691" s="94">
        <v>0</v>
      </c>
      <c r="N1691" s="94">
        <v>0</v>
      </c>
      <c r="O1691" s="94">
        <v>0</v>
      </c>
    </row>
    <row r="1692" spans="1:15" x14ac:dyDescent="0.25">
      <c r="A1692" s="89">
        <v>45406.833333333336</v>
      </c>
      <c r="B1692" s="94">
        <v>357.77</v>
      </c>
      <c r="C1692" s="94">
        <v>301.24560894408199</v>
      </c>
      <c r="D1692" s="94">
        <v>92.5</v>
      </c>
      <c r="E1692" s="94">
        <v>6.7665598551432291</v>
      </c>
      <c r="F1692" s="94">
        <v>89.862052080222384</v>
      </c>
      <c r="G1692" s="94">
        <v>6.7873960649474689</v>
      </c>
      <c r="H1692" s="94">
        <v>94.4</v>
      </c>
      <c r="I1692" s="94">
        <v>16.121762001496847</v>
      </c>
      <c r="J1692" s="94">
        <v>40</v>
      </c>
      <c r="K1692" s="94">
        <v>0</v>
      </c>
      <c r="L1692" s="94">
        <v>16</v>
      </c>
      <c r="M1692" s="94">
        <v>0</v>
      </c>
      <c r="N1692" s="94">
        <v>0</v>
      </c>
      <c r="O1692" s="94">
        <v>0</v>
      </c>
    </row>
    <row r="1693" spans="1:15" x14ac:dyDescent="0.25">
      <c r="A1693" s="89">
        <v>45407.333333333336</v>
      </c>
      <c r="B1693" s="94">
        <v>357.77</v>
      </c>
      <c r="C1693" s="94">
        <v>301.20852686004355</v>
      </c>
      <c r="D1693" s="94">
        <v>91.526923949043621</v>
      </c>
      <c r="E1693" s="94">
        <v>6.7369553725729387</v>
      </c>
      <c r="F1693" s="94">
        <v>89.402868543740723</v>
      </c>
      <c r="G1693" s="94">
        <v>6.7511706334061037</v>
      </c>
      <c r="H1693" s="94">
        <v>94.451168598102299</v>
      </c>
      <c r="I1693" s="94">
        <v>16.029035997853754</v>
      </c>
      <c r="J1693" s="94">
        <v>40</v>
      </c>
      <c r="K1693" s="94">
        <v>0</v>
      </c>
      <c r="L1693" s="94">
        <v>11</v>
      </c>
      <c r="M1693" s="94">
        <v>0</v>
      </c>
      <c r="N1693" s="94">
        <v>0</v>
      </c>
      <c r="O1693" s="94">
        <v>0</v>
      </c>
    </row>
    <row r="1694" spans="1:15" x14ac:dyDescent="0.25">
      <c r="A1694" s="89">
        <v>45407.833333333336</v>
      </c>
      <c r="B1694" s="94">
        <v>357.77</v>
      </c>
      <c r="C1694" s="94">
        <v>301.01002511513082</v>
      </c>
      <c r="D1694" s="94">
        <v>82.910039591942905</v>
      </c>
      <c r="E1694" s="94">
        <v>6.2210528070308353</v>
      </c>
      <c r="F1694" s="94">
        <v>84.889960408057107</v>
      </c>
      <c r="G1694" s="94">
        <v>6.2509836705289068</v>
      </c>
      <c r="H1694" s="94">
        <v>75.004897517890498</v>
      </c>
      <c r="I1694" s="94">
        <v>12.904130401611328</v>
      </c>
      <c r="J1694" s="94">
        <v>40</v>
      </c>
      <c r="K1694" s="94">
        <v>0</v>
      </c>
      <c r="L1694" s="94">
        <v>1</v>
      </c>
      <c r="M1694" s="94">
        <v>0</v>
      </c>
      <c r="N1694" s="94">
        <v>0</v>
      </c>
      <c r="O1694" s="94">
        <v>0</v>
      </c>
    </row>
    <row r="1695" spans="1:15" x14ac:dyDescent="0.25">
      <c r="A1695" s="89">
        <v>45408.333333333336</v>
      </c>
      <c r="B1695" s="94">
        <v>357.77</v>
      </c>
      <c r="C1695" s="94">
        <v>301.02</v>
      </c>
      <c r="D1695" s="94">
        <v>83.079099782307935</v>
      </c>
      <c r="E1695" s="94">
        <v>6.2184945460460099</v>
      </c>
      <c r="F1695" s="94">
        <v>84.537299346923831</v>
      </c>
      <c r="G1695" s="94">
        <v>6.2685598754882808</v>
      </c>
      <c r="H1695" s="94">
        <v>75.815326693590521</v>
      </c>
      <c r="I1695" s="94">
        <v>12.989800122436487</v>
      </c>
      <c r="J1695" s="94">
        <v>40</v>
      </c>
      <c r="K1695" s="94">
        <v>0</v>
      </c>
      <c r="L1695" s="94">
        <v>0</v>
      </c>
      <c r="M1695" s="94">
        <v>0</v>
      </c>
      <c r="N1695" s="94">
        <v>0</v>
      </c>
      <c r="O1695" s="94">
        <v>0</v>
      </c>
    </row>
    <row r="1696" spans="1:15" x14ac:dyDescent="0.25">
      <c r="A1696" s="89">
        <v>45408.833333333336</v>
      </c>
      <c r="B1696" s="94">
        <v>357.77</v>
      </c>
      <c r="C1696" s="94">
        <v>300.86664264463991</v>
      </c>
      <c r="D1696" s="94">
        <v>45.262121055548768</v>
      </c>
      <c r="E1696" s="94">
        <v>2.4111481888929633</v>
      </c>
      <c r="F1696" s="94">
        <v>76.400000000000006</v>
      </c>
      <c r="G1696" s="94">
        <v>5.9694670867101953</v>
      </c>
      <c r="H1696" s="94">
        <v>75.034245115753137</v>
      </c>
      <c r="I1696" s="94">
        <v>12.87560726339307</v>
      </c>
      <c r="J1696" s="94">
        <v>40</v>
      </c>
      <c r="K1696" s="94">
        <v>0</v>
      </c>
      <c r="L1696" s="94">
        <v>0</v>
      </c>
      <c r="M1696" s="94">
        <v>0</v>
      </c>
      <c r="N1696" s="94">
        <v>0</v>
      </c>
      <c r="O1696" s="94">
        <v>0</v>
      </c>
    </row>
    <row r="1697" spans="1:15" x14ac:dyDescent="0.25">
      <c r="A1697" s="89">
        <v>45409.333333333336</v>
      </c>
      <c r="B1697" s="94">
        <v>357.77</v>
      </c>
      <c r="C1697" s="94">
        <v>300.87</v>
      </c>
      <c r="D1697" s="94">
        <v>44.9</v>
      </c>
      <c r="E1697" s="94">
        <v>2.5364759431800827</v>
      </c>
      <c r="F1697" s="94">
        <v>75.8</v>
      </c>
      <c r="G1697" s="94">
        <v>5.9395891688581743</v>
      </c>
      <c r="H1697" s="94">
        <v>75.646385864930565</v>
      </c>
      <c r="I1697" s="94">
        <v>12.89</v>
      </c>
      <c r="J1697" s="94">
        <v>40</v>
      </c>
      <c r="K1697" s="94">
        <v>0</v>
      </c>
      <c r="L1697" s="94">
        <v>0</v>
      </c>
      <c r="M1697" s="94">
        <v>0</v>
      </c>
      <c r="N1697" s="94">
        <v>0</v>
      </c>
      <c r="O1697" s="94">
        <v>0</v>
      </c>
    </row>
    <row r="1698" spans="1:15" x14ac:dyDescent="0.25">
      <c r="A1698" s="89">
        <v>45409.833333333336</v>
      </c>
      <c r="B1698" s="94">
        <v>357.77</v>
      </c>
      <c r="C1698" s="94">
        <v>300.82983722620247</v>
      </c>
      <c r="D1698" s="94">
        <v>45.030755127212551</v>
      </c>
      <c r="E1698" s="94">
        <v>2.457830047607422</v>
      </c>
      <c r="F1698" s="94">
        <v>42.6</v>
      </c>
      <c r="G1698" s="94">
        <v>2.4694804008162521</v>
      </c>
      <c r="H1698" s="94">
        <v>84.42891080591582</v>
      </c>
      <c r="I1698" s="94">
        <v>14.92065032896955</v>
      </c>
      <c r="J1698" s="94">
        <v>40</v>
      </c>
      <c r="K1698" s="94">
        <v>0</v>
      </c>
      <c r="L1698" s="94">
        <v>0</v>
      </c>
      <c r="M1698" s="94">
        <v>0</v>
      </c>
      <c r="N1698" s="94">
        <v>0</v>
      </c>
      <c r="O1698" s="94">
        <v>0</v>
      </c>
    </row>
    <row r="1699" spans="1:15" x14ac:dyDescent="0.25">
      <c r="A1699" s="89">
        <v>45410.333333333336</v>
      </c>
      <c r="B1699" s="94">
        <v>357.77</v>
      </c>
      <c r="C1699" s="94">
        <v>300.82</v>
      </c>
      <c r="D1699" s="94">
        <v>44.820828778415873</v>
      </c>
      <c r="E1699" s="94">
        <v>2.4870402018229165</v>
      </c>
      <c r="F1699" s="94">
        <v>44.373248842480415</v>
      </c>
      <c r="G1699" s="94">
        <v>2.4619199218749999</v>
      </c>
      <c r="H1699" s="94">
        <v>84.534422563478827</v>
      </c>
      <c r="I1699" s="94">
        <v>15.002957207106915</v>
      </c>
      <c r="J1699" s="94">
        <v>40</v>
      </c>
      <c r="K1699" s="94">
        <v>0</v>
      </c>
      <c r="L1699" s="94">
        <v>0</v>
      </c>
      <c r="M1699" s="94">
        <v>0</v>
      </c>
      <c r="N1699" s="94">
        <v>0</v>
      </c>
      <c r="O1699" s="94">
        <v>0</v>
      </c>
    </row>
    <row r="1700" spans="1:15" x14ac:dyDescent="0.25">
      <c r="A1700" s="89">
        <v>45410.833333333336</v>
      </c>
      <c r="B1700" s="94">
        <v>357.77</v>
      </c>
      <c r="C1700" s="94">
        <v>300.78169584213884</v>
      </c>
      <c r="D1700" s="94">
        <v>44.688884000720357</v>
      </c>
      <c r="E1700" s="94">
        <v>2.4681361083984377</v>
      </c>
      <c r="F1700" s="94">
        <v>43.7</v>
      </c>
      <c r="G1700" s="94">
        <v>2.5179592895507814</v>
      </c>
      <c r="H1700" s="94">
        <v>79.181873940002305</v>
      </c>
      <c r="I1700" s="94">
        <v>13.881964365800954</v>
      </c>
      <c r="J1700" s="94">
        <v>40</v>
      </c>
      <c r="K1700" s="94">
        <v>0</v>
      </c>
      <c r="L1700" s="94">
        <v>0</v>
      </c>
      <c r="M1700" s="94">
        <v>0</v>
      </c>
      <c r="N1700" s="94">
        <v>0</v>
      </c>
      <c r="O1700" s="94">
        <v>0</v>
      </c>
    </row>
    <row r="1701" spans="1:15" x14ac:dyDescent="0.25">
      <c r="A1701" s="89">
        <v>45411.333333333336</v>
      </c>
      <c r="B1701" s="94">
        <v>357.77</v>
      </c>
      <c r="C1701" s="94">
        <v>300.78074497026108</v>
      </c>
      <c r="D1701" s="94">
        <v>44.616714616423408</v>
      </c>
      <c r="E1701" s="94">
        <v>2.456593480521069</v>
      </c>
      <c r="F1701" s="94">
        <v>43.222299194335939</v>
      </c>
      <c r="G1701" s="94">
        <v>2.4802801513671873</v>
      </c>
      <c r="H1701" s="94">
        <v>79.914544048653127</v>
      </c>
      <c r="I1701" s="94">
        <v>13.92</v>
      </c>
      <c r="J1701" s="94">
        <v>40</v>
      </c>
      <c r="K1701" s="94">
        <v>0</v>
      </c>
      <c r="L1701" s="94">
        <v>0</v>
      </c>
      <c r="M1701" s="94">
        <v>0</v>
      </c>
      <c r="N1701" s="94">
        <v>0</v>
      </c>
      <c r="O1701" s="94">
        <v>0</v>
      </c>
    </row>
    <row r="1702" spans="1:15" x14ac:dyDescent="0.25">
      <c r="A1702" s="89">
        <v>45411.833333333336</v>
      </c>
      <c r="B1702" s="94">
        <v>357.77</v>
      </c>
      <c r="C1702" s="94">
        <v>300.78669482186774</v>
      </c>
      <c r="D1702" s="94">
        <v>45.053154116389187</v>
      </c>
      <c r="E1702" s="94">
        <v>2.4872726025517906</v>
      </c>
      <c r="F1702" s="94">
        <v>43.526146783756957</v>
      </c>
      <c r="G1702" s="94">
        <v>2.489101298539532</v>
      </c>
      <c r="H1702" s="94">
        <v>79.457650886904972</v>
      </c>
      <c r="I1702" s="94">
        <v>13.877629699707033</v>
      </c>
      <c r="J1702" s="94">
        <v>40</v>
      </c>
      <c r="K1702" s="94">
        <v>0</v>
      </c>
      <c r="L1702" s="94">
        <v>0</v>
      </c>
      <c r="M1702" s="94">
        <v>0</v>
      </c>
      <c r="N1702" s="94">
        <v>0</v>
      </c>
      <c r="O1702" s="94">
        <v>0</v>
      </c>
    </row>
    <row r="1703" spans="1:15" x14ac:dyDescent="0.25">
      <c r="A1703" s="89">
        <v>45412.333333333336</v>
      </c>
      <c r="B1703" s="94">
        <v>355.09</v>
      </c>
      <c r="C1703" s="94">
        <v>300.79134098272232</v>
      </c>
      <c r="D1703" s="94">
        <v>46.526783564941461</v>
      </c>
      <c r="E1703" s="94">
        <v>2.5485216041970702</v>
      </c>
      <c r="F1703" s="94">
        <v>43</v>
      </c>
      <c r="G1703" s="94">
        <v>2.4778233877361737</v>
      </c>
      <c r="H1703" s="94">
        <v>79.606126880568667</v>
      </c>
      <c r="I1703" s="94">
        <v>13.892871616996031</v>
      </c>
      <c r="J1703" s="94">
        <v>40</v>
      </c>
      <c r="K1703" s="94">
        <v>0</v>
      </c>
      <c r="L1703" s="94">
        <v>0</v>
      </c>
      <c r="M1703" s="94">
        <v>0</v>
      </c>
      <c r="N1703" s="94">
        <v>0</v>
      </c>
      <c r="O1703" s="94">
        <v>0</v>
      </c>
    </row>
    <row r="1704" spans="1:15" x14ac:dyDescent="0.25">
      <c r="A1704" s="89">
        <v>45412.833333333336</v>
      </c>
      <c r="B1704" s="94">
        <v>355.09</v>
      </c>
      <c r="C1704" s="94">
        <v>300.78171456597153</v>
      </c>
      <c r="D1704" s="94">
        <v>45.386785013443635</v>
      </c>
      <c r="E1704" s="94">
        <v>2.4500000000000002</v>
      </c>
      <c r="F1704" s="94">
        <v>46.586715463491586</v>
      </c>
      <c r="G1704" s="94">
        <v>2.4814070038551215</v>
      </c>
      <c r="H1704" s="94">
        <v>79.304402101951851</v>
      </c>
      <c r="I1704" s="94">
        <v>13.828192533304096</v>
      </c>
      <c r="J1704" s="94">
        <v>3881</v>
      </c>
      <c r="K1704" s="94">
        <v>2.6429999999999998</v>
      </c>
      <c r="L1704" s="94">
        <v>0</v>
      </c>
      <c r="M1704" s="94">
        <v>0</v>
      </c>
      <c r="N1704" s="94">
        <v>0</v>
      </c>
      <c r="O1704" s="94">
        <v>0</v>
      </c>
    </row>
    <row r="1705" spans="1:15" x14ac:dyDescent="0.25">
      <c r="A1705" s="89">
        <v>45413.333333333336</v>
      </c>
      <c r="B1705" s="94">
        <v>355.01</v>
      </c>
      <c r="C1705" s="94">
        <v>300.78659021567876</v>
      </c>
      <c r="D1705" s="94">
        <v>45.679659684432174</v>
      </c>
      <c r="E1705" s="94">
        <v>2.4553538001890187</v>
      </c>
      <c r="F1705" s="94">
        <v>46.108651868226339</v>
      </c>
      <c r="G1705" s="94">
        <v>2.5154030335696826</v>
      </c>
      <c r="H1705" s="94">
        <v>80</v>
      </c>
      <c r="I1705" s="94">
        <v>13.921320910340615</v>
      </c>
      <c r="J1705" s="94">
        <v>3881</v>
      </c>
      <c r="K1705" s="94">
        <v>2.6429999999999998</v>
      </c>
      <c r="L1705" s="94">
        <v>0</v>
      </c>
      <c r="M1705" s="94">
        <v>0</v>
      </c>
      <c r="N1705" s="94">
        <v>0</v>
      </c>
      <c r="O1705" s="94">
        <v>0</v>
      </c>
    </row>
    <row r="1706" spans="1:15" x14ac:dyDescent="0.25">
      <c r="A1706" s="89">
        <v>45413.833333333336</v>
      </c>
      <c r="B1706" s="94">
        <v>355.01</v>
      </c>
      <c r="C1706" s="94">
        <v>300.7983433969668</v>
      </c>
      <c r="D1706" s="94">
        <v>44.099309417537633</v>
      </c>
      <c r="E1706" s="94">
        <v>2.4792390524048815</v>
      </c>
      <c r="F1706" s="94">
        <v>46.5</v>
      </c>
      <c r="G1706" s="94">
        <v>2.4900000000000002</v>
      </c>
      <c r="H1706" s="94">
        <v>79.551852756987927</v>
      </c>
      <c r="I1706" s="94">
        <v>13.886296770067158</v>
      </c>
      <c r="J1706" s="94">
        <v>3869.9786043026265</v>
      </c>
      <c r="K1706" s="94">
        <v>2.6395992530651022</v>
      </c>
      <c r="L1706" s="94">
        <v>1</v>
      </c>
      <c r="M1706" s="94">
        <v>0</v>
      </c>
      <c r="N1706" s="94">
        <v>0</v>
      </c>
      <c r="O1706" s="94">
        <v>0</v>
      </c>
    </row>
    <row r="1707" spans="1:15" x14ac:dyDescent="0.25">
      <c r="A1707" s="89">
        <v>45414.333333333336</v>
      </c>
      <c r="B1707" s="94">
        <v>355.00711810602576</v>
      </c>
      <c r="C1707" s="94">
        <v>300.79000000000002</v>
      </c>
      <c r="D1707" s="94">
        <v>45</v>
      </c>
      <c r="E1707" s="94">
        <v>2.4848599243164062</v>
      </c>
      <c r="F1707" s="94">
        <v>46.060996009717833</v>
      </c>
      <c r="G1707" s="94">
        <v>2.4747898519827007</v>
      </c>
      <c r="H1707" s="94">
        <v>80.3</v>
      </c>
      <c r="I1707" s="94">
        <v>14.003323243985397</v>
      </c>
      <c r="J1707" s="94">
        <v>3891.9476750013482</v>
      </c>
      <c r="K1707" s="94">
        <v>2.645</v>
      </c>
      <c r="L1707" s="94">
        <v>0</v>
      </c>
      <c r="M1707" s="94">
        <v>0</v>
      </c>
      <c r="N1707" s="94">
        <v>0</v>
      </c>
      <c r="O1707" s="94">
        <v>0</v>
      </c>
    </row>
    <row r="1708" spans="1:15" x14ac:dyDescent="0.25">
      <c r="A1708" s="89">
        <v>45414.833333333336</v>
      </c>
      <c r="B1708" s="94">
        <v>354.94</v>
      </c>
      <c r="C1708" s="94">
        <v>300.79935587790629</v>
      </c>
      <c r="D1708" s="94">
        <v>45.79560814412109</v>
      </c>
      <c r="E1708" s="94">
        <v>2.4595668881106443</v>
      </c>
      <c r="F1708" s="94">
        <v>46.5</v>
      </c>
      <c r="G1708" s="94">
        <v>2.4624551144410436</v>
      </c>
      <c r="H1708" s="94">
        <v>80.045303586219518</v>
      </c>
      <c r="I1708" s="94">
        <v>14.058040811368882</v>
      </c>
      <c r="J1708" s="94">
        <v>3902.9890135397318</v>
      </c>
      <c r="K1708" s="94">
        <v>2.6469999999999998</v>
      </c>
      <c r="L1708" s="94">
        <v>0</v>
      </c>
      <c r="M1708" s="94">
        <v>0</v>
      </c>
      <c r="N1708" s="94">
        <v>0</v>
      </c>
      <c r="O1708" s="94">
        <v>0</v>
      </c>
    </row>
    <row r="1709" spans="1:15" x14ac:dyDescent="0.25">
      <c r="A1709" s="89">
        <v>45415.333333333336</v>
      </c>
      <c r="B1709" s="94">
        <v>354.94</v>
      </c>
      <c r="C1709" s="94">
        <v>300.78135437087349</v>
      </c>
      <c r="D1709" s="94">
        <v>46</v>
      </c>
      <c r="E1709" s="94">
        <v>2.4592761230468749</v>
      </c>
      <c r="F1709" s="94">
        <v>46.126964790905497</v>
      </c>
      <c r="G1709" s="94">
        <v>2.4548494529272475</v>
      </c>
      <c r="H1709" s="94">
        <v>79.900000000000006</v>
      </c>
      <c r="I1709" s="94">
        <v>13.783407570006554</v>
      </c>
      <c r="J1709" s="94">
        <v>3880.8481624507504</v>
      </c>
      <c r="K1709" s="94">
        <v>2.6413114184483706</v>
      </c>
      <c r="L1709" s="94">
        <v>0</v>
      </c>
      <c r="M1709" s="94">
        <v>0</v>
      </c>
      <c r="N1709" s="94">
        <v>0</v>
      </c>
      <c r="O1709" s="94">
        <v>0</v>
      </c>
    </row>
    <row r="1710" spans="1:15" x14ac:dyDescent="0.25">
      <c r="A1710" s="89">
        <v>45415.833333333336</v>
      </c>
      <c r="B1710" s="94">
        <v>354.94</v>
      </c>
      <c r="C1710" s="94">
        <v>300.8</v>
      </c>
      <c r="D1710" s="94">
        <v>46.507325297696624</v>
      </c>
      <c r="E1710" s="94">
        <v>2.4888811146171554</v>
      </c>
      <c r="F1710" s="94">
        <v>46.5</v>
      </c>
      <c r="G1710" s="94">
        <v>2.4792504801682878</v>
      </c>
      <c r="H1710" s="94">
        <v>80.7</v>
      </c>
      <c r="I1710" s="94">
        <v>14.102050018310546</v>
      </c>
      <c r="J1710" s="94">
        <v>3875.0675957654976</v>
      </c>
      <c r="K1710" s="94">
        <v>2.6420066077627413</v>
      </c>
      <c r="L1710" s="94">
        <v>0</v>
      </c>
      <c r="M1710" s="94">
        <v>0</v>
      </c>
      <c r="N1710" s="94">
        <v>0</v>
      </c>
      <c r="O1710" s="94">
        <v>0</v>
      </c>
    </row>
    <row r="1711" spans="1:15" x14ac:dyDescent="0.25">
      <c r="A1711" s="89">
        <v>45416.333333333336</v>
      </c>
      <c r="B1711" s="94">
        <v>354.94</v>
      </c>
      <c r="C1711" s="94">
        <v>300.79981659436737</v>
      </c>
      <c r="D1711" s="94">
        <v>45.3</v>
      </c>
      <c r="E1711" s="94">
        <v>2.46</v>
      </c>
      <c r="F1711" s="94">
        <v>46.5</v>
      </c>
      <c r="G1711" s="94">
        <v>2.4669159545898438</v>
      </c>
      <c r="H1711" s="94">
        <v>80.467671856851197</v>
      </c>
      <c r="I1711" s="94">
        <v>14.029692556389842</v>
      </c>
      <c r="J1711" s="94">
        <v>3891.9038298051869</v>
      </c>
      <c r="K1711" s="94">
        <v>2.644979403032782</v>
      </c>
      <c r="L1711" s="94">
        <v>0</v>
      </c>
      <c r="M1711" s="94">
        <v>0</v>
      </c>
      <c r="N1711" s="94">
        <v>0</v>
      </c>
      <c r="O1711" s="94">
        <v>0</v>
      </c>
    </row>
    <row r="1712" spans="1:15" x14ac:dyDescent="0.25">
      <c r="A1712" s="89">
        <v>45416.833333333336</v>
      </c>
      <c r="B1712" s="94">
        <v>354.94</v>
      </c>
      <c r="C1712" s="94">
        <v>300.79978101345534</v>
      </c>
      <c r="D1712" s="94">
        <v>46.4</v>
      </c>
      <c r="E1712" s="94">
        <v>2.4727909951394218</v>
      </c>
      <c r="F1712" s="94">
        <v>46.5</v>
      </c>
      <c r="G1712" s="94">
        <v>2.4536532188841202</v>
      </c>
      <c r="H1712" s="94">
        <v>79.866549165370103</v>
      </c>
      <c r="I1712" s="94">
        <v>13.915269617920721</v>
      </c>
      <c r="J1712" s="94">
        <v>3874.9322916878459</v>
      </c>
      <c r="K1712" s="94">
        <v>2.6411547641082831</v>
      </c>
      <c r="L1712" s="94">
        <v>0</v>
      </c>
      <c r="M1712" s="94">
        <v>0</v>
      </c>
      <c r="N1712" s="94">
        <v>0</v>
      </c>
      <c r="O1712" s="94">
        <v>0</v>
      </c>
    </row>
    <row r="1713" spans="1:15" x14ac:dyDescent="0.25">
      <c r="A1713" s="89">
        <v>45417.333333333336</v>
      </c>
      <c r="B1713" s="94">
        <v>354.94</v>
      </c>
      <c r="C1713" s="94">
        <v>300.79001900147927</v>
      </c>
      <c r="D1713" s="94">
        <v>44.7</v>
      </c>
      <c r="E1713" s="94">
        <v>2.4643091163195638</v>
      </c>
      <c r="F1713" s="94">
        <v>46.301466878255205</v>
      </c>
      <c r="G1713" s="94">
        <v>2.4795983086680762</v>
      </c>
      <c r="H1713" s="94">
        <v>80.416809274074424</v>
      </c>
      <c r="I1713" s="94">
        <v>13.914010648898373</v>
      </c>
      <c r="J1713" s="94">
        <v>3908.9791175598953</v>
      </c>
      <c r="K1713" s="94">
        <v>2.6479870774553089</v>
      </c>
      <c r="L1713" s="94">
        <v>0</v>
      </c>
      <c r="M1713" s="94">
        <v>0</v>
      </c>
      <c r="N1713" s="94">
        <v>0</v>
      </c>
      <c r="O1713" s="94">
        <v>0</v>
      </c>
    </row>
    <row r="1714" spans="1:15" x14ac:dyDescent="0.25">
      <c r="A1714" s="89">
        <v>45417.833333333336</v>
      </c>
      <c r="B1714" s="94">
        <v>354.94</v>
      </c>
      <c r="C1714" s="94">
        <v>300.8</v>
      </c>
      <c r="D1714" s="94">
        <v>46</v>
      </c>
      <c r="E1714" s="94">
        <v>2.4551869658663787</v>
      </c>
      <c r="F1714" s="94">
        <v>46.255332801178923</v>
      </c>
      <c r="G1714" s="94">
        <v>2.4669383115872079</v>
      </c>
      <c r="H1714" s="94">
        <v>80.7</v>
      </c>
      <c r="I1714" s="94">
        <v>14.01</v>
      </c>
      <c r="J1714" s="94">
        <v>3891.9146530360144</v>
      </c>
      <c r="K1714" s="94">
        <v>2.6459999999999999</v>
      </c>
      <c r="L1714" s="94">
        <v>0</v>
      </c>
      <c r="M1714" s="94">
        <v>0</v>
      </c>
      <c r="N1714" s="94">
        <v>0</v>
      </c>
      <c r="O1714" s="94">
        <v>0</v>
      </c>
    </row>
    <row r="1715" spans="1:15" x14ac:dyDescent="0.25">
      <c r="A1715" s="89">
        <v>45418.333333333336</v>
      </c>
      <c r="B1715" s="94">
        <v>354.65</v>
      </c>
      <c r="C1715" s="94">
        <v>300.79840784538698</v>
      </c>
      <c r="D1715" s="94">
        <v>46.5</v>
      </c>
      <c r="E1715" s="94">
        <v>2.4347220708446868</v>
      </c>
      <c r="F1715" s="94">
        <v>46.476200866699216</v>
      </c>
      <c r="G1715" s="94">
        <v>2.5016082071919636</v>
      </c>
      <c r="H1715" s="94">
        <v>80.551000976562491</v>
      </c>
      <c r="I1715" s="94">
        <v>13.995551563336138</v>
      </c>
      <c r="J1715" s="94">
        <v>3892</v>
      </c>
      <c r="K1715" s="94">
        <v>2.645</v>
      </c>
      <c r="L1715" s="94">
        <v>0</v>
      </c>
      <c r="M1715" s="94">
        <v>0</v>
      </c>
      <c r="N1715" s="94">
        <v>0</v>
      </c>
      <c r="O1715" s="94">
        <v>0</v>
      </c>
    </row>
    <row r="1716" spans="1:15" x14ac:dyDescent="0.25">
      <c r="A1716" s="89">
        <v>45418.833333333336</v>
      </c>
      <c r="B1716" s="94">
        <v>354.65</v>
      </c>
      <c r="C1716" s="94">
        <v>300.78532548830771</v>
      </c>
      <c r="D1716" s="94">
        <v>77.971611858753008</v>
      </c>
      <c r="E1716" s="94">
        <v>5.9325665510387031</v>
      </c>
      <c r="F1716" s="94">
        <v>2.8862114680625406</v>
      </c>
      <c r="G1716" s="94">
        <v>0</v>
      </c>
      <c r="H1716" s="94">
        <v>80.3</v>
      </c>
      <c r="I1716" s="94">
        <v>13.964287956227599</v>
      </c>
      <c r="J1716" s="94">
        <v>3880.7972379712037</v>
      </c>
      <c r="K1716" s="94">
        <v>2.6429999999999998</v>
      </c>
      <c r="L1716" s="94">
        <v>0</v>
      </c>
      <c r="M1716" s="94">
        <v>0</v>
      </c>
      <c r="N1716" s="94">
        <v>0</v>
      </c>
      <c r="O1716" s="94">
        <v>0</v>
      </c>
    </row>
    <row r="1717" spans="1:15" x14ac:dyDescent="0.25">
      <c r="A1717" s="89">
        <v>45419.333333333336</v>
      </c>
      <c r="B1717" s="94">
        <v>354.58656386750471</v>
      </c>
      <c r="C1717" s="94">
        <v>300.78233200403525</v>
      </c>
      <c r="D1717" s="94">
        <v>77.099999999999994</v>
      </c>
      <c r="E1717" s="94">
        <v>5.9452343571721968</v>
      </c>
      <c r="F1717" s="94">
        <v>2.6550627405576246</v>
      </c>
      <c r="G1717" s="94">
        <v>0</v>
      </c>
      <c r="H1717" s="94">
        <v>80.496730550914251</v>
      </c>
      <c r="I1717" s="94">
        <v>14.00494592386865</v>
      </c>
      <c r="J1717" s="94">
        <v>3886</v>
      </c>
      <c r="K1717" s="94">
        <v>2.6440000000000001</v>
      </c>
      <c r="L1717" s="94">
        <v>0</v>
      </c>
      <c r="M1717" s="94">
        <v>0</v>
      </c>
      <c r="N1717" s="94">
        <v>0</v>
      </c>
      <c r="O1717" s="94">
        <v>0</v>
      </c>
    </row>
    <row r="1718" spans="1:15" x14ac:dyDescent="0.25">
      <c r="A1718" s="89">
        <v>45419.833333333336</v>
      </c>
      <c r="B1718" s="94">
        <v>354.57</v>
      </c>
      <c r="C1718" s="94">
        <v>300.4437813125283</v>
      </c>
      <c r="D1718" s="94">
        <v>1.326048091126441</v>
      </c>
      <c r="E1718" s="94">
        <v>0</v>
      </c>
      <c r="F1718" s="94">
        <v>2.9</v>
      </c>
      <c r="G1718" s="94">
        <v>0</v>
      </c>
      <c r="H1718" s="94">
        <v>75.427368645576408</v>
      </c>
      <c r="I1718" s="94">
        <v>12.911059977213542</v>
      </c>
      <c r="J1718" s="94">
        <v>2443.0963702937047</v>
      </c>
      <c r="K1718" s="94">
        <v>2.3450000000000002</v>
      </c>
      <c r="L1718" s="94">
        <v>0.64379586526538324</v>
      </c>
      <c r="M1718" s="94">
        <v>0</v>
      </c>
      <c r="N1718" s="94">
        <v>0</v>
      </c>
      <c r="O1718" s="94">
        <v>0</v>
      </c>
    </row>
    <row r="1719" spans="1:15" x14ac:dyDescent="0.25">
      <c r="A1719" s="89">
        <v>45420.333333333336</v>
      </c>
      <c r="B1719" s="94">
        <v>354.5381005569833</v>
      </c>
      <c r="C1719" s="94">
        <v>300.44</v>
      </c>
      <c r="D1719" s="94">
        <v>1.4307845982972556</v>
      </c>
      <c r="E1719" s="94">
        <v>0</v>
      </c>
      <c r="F1719" s="94">
        <v>2.9</v>
      </c>
      <c r="G1719" s="94">
        <v>0</v>
      </c>
      <c r="H1719" s="94">
        <v>75.334397515655652</v>
      </c>
      <c r="I1719" s="94">
        <v>12.861820068359375</v>
      </c>
      <c r="J1719" s="94">
        <v>2470.780254823203</v>
      </c>
      <c r="K1719" s="94">
        <v>2.3519999999999999</v>
      </c>
      <c r="L1719" s="94">
        <v>0</v>
      </c>
      <c r="M1719" s="94">
        <v>0</v>
      </c>
      <c r="N1719" s="94">
        <v>0</v>
      </c>
      <c r="O1719" s="94">
        <v>0</v>
      </c>
    </row>
    <row r="1720" spans="1:15" x14ac:dyDescent="0.25">
      <c r="A1720" s="89">
        <v>45420.833333333336</v>
      </c>
      <c r="B1720" s="94">
        <v>354.53</v>
      </c>
      <c r="C1720" s="94">
        <v>300.45903925927877</v>
      </c>
      <c r="D1720" s="94">
        <v>2.6</v>
      </c>
      <c r="E1720" s="94">
        <v>0</v>
      </c>
      <c r="F1720" s="94">
        <v>3.0565533007904189</v>
      </c>
      <c r="G1720" s="94">
        <v>0</v>
      </c>
      <c r="H1720" s="94">
        <v>75.467787012822896</v>
      </c>
      <c r="I1720" s="94">
        <v>13.008744851506611</v>
      </c>
      <c r="J1720" s="94">
        <v>2467.0951214930988</v>
      </c>
      <c r="K1720" s="94">
        <v>2.3528681021442908</v>
      </c>
      <c r="L1720" s="94">
        <v>0</v>
      </c>
      <c r="M1720" s="94">
        <v>0</v>
      </c>
      <c r="N1720" s="94">
        <v>0</v>
      </c>
      <c r="O1720" s="94">
        <v>0</v>
      </c>
    </row>
    <row r="1721" spans="1:15" x14ac:dyDescent="0.25">
      <c r="A1721" s="89">
        <v>45421.333333333336</v>
      </c>
      <c r="B1721" s="94">
        <v>354.53</v>
      </c>
      <c r="C1721" s="94">
        <v>300.44565956598808</v>
      </c>
      <c r="D1721" s="94">
        <v>2.5716231637361506</v>
      </c>
      <c r="E1721" s="94">
        <v>0</v>
      </c>
      <c r="F1721" s="94">
        <v>3.0973640880592637</v>
      </c>
      <c r="G1721" s="94">
        <v>0</v>
      </c>
      <c r="H1721" s="94">
        <v>75.8</v>
      </c>
      <c r="I1721" s="94">
        <v>12.974930051219326</v>
      </c>
      <c r="J1721" s="94">
        <v>2467</v>
      </c>
      <c r="K1721" s="94">
        <v>2.3512080184471271</v>
      </c>
      <c r="L1721" s="94">
        <v>0</v>
      </c>
      <c r="M1721" s="94">
        <v>0</v>
      </c>
      <c r="N1721" s="94">
        <v>0</v>
      </c>
      <c r="O1721" s="94">
        <v>0</v>
      </c>
    </row>
    <row r="1722" spans="1:15" x14ac:dyDescent="0.25">
      <c r="A1722" s="89">
        <v>45421.833333333336</v>
      </c>
      <c r="B1722" s="94">
        <v>354.53</v>
      </c>
      <c r="C1722" s="94">
        <v>300.03534949593399</v>
      </c>
      <c r="D1722" s="94">
        <v>2.5</v>
      </c>
      <c r="E1722" s="94">
        <v>0</v>
      </c>
      <c r="F1722" s="94">
        <v>3</v>
      </c>
      <c r="G1722" s="94">
        <v>0</v>
      </c>
      <c r="H1722" s="94">
        <v>39.914261429864212</v>
      </c>
      <c r="I1722" s="94">
        <v>3.9183956228956229</v>
      </c>
      <c r="J1722" s="94">
        <v>1065</v>
      </c>
      <c r="K1722" s="94">
        <v>1.9071494786579186</v>
      </c>
      <c r="L1722" s="94">
        <v>0</v>
      </c>
      <c r="M1722" s="94">
        <v>0</v>
      </c>
      <c r="N1722" s="94">
        <v>0</v>
      </c>
      <c r="O1722" s="94">
        <v>0</v>
      </c>
    </row>
    <row r="1723" spans="1:15" x14ac:dyDescent="0.25">
      <c r="A1723" s="89">
        <v>45422.333333333336</v>
      </c>
      <c r="B1723" s="94">
        <v>354.47</v>
      </c>
      <c r="C1723" s="94">
        <v>300.05</v>
      </c>
      <c r="D1723" s="94">
        <v>2.5503590508795244</v>
      </c>
      <c r="E1723" s="94">
        <v>0</v>
      </c>
      <c r="F1723" s="94">
        <v>2.9923973639279802</v>
      </c>
      <c r="G1723" s="94">
        <v>0</v>
      </c>
      <c r="H1723" s="94">
        <v>39.9</v>
      </c>
      <c r="I1723" s="94">
        <v>3.8860598754882814</v>
      </c>
      <c r="J1723" s="94">
        <v>1070.0349761485143</v>
      </c>
      <c r="K1723" s="94">
        <v>1.9079999999999999</v>
      </c>
      <c r="L1723" s="94">
        <v>0</v>
      </c>
      <c r="M1723" s="94">
        <v>0</v>
      </c>
      <c r="N1723" s="94">
        <v>0</v>
      </c>
      <c r="O1723" s="94">
        <v>0</v>
      </c>
    </row>
    <row r="1724" spans="1:15" x14ac:dyDescent="0.25">
      <c r="A1724" s="89">
        <v>45422.833333333336</v>
      </c>
      <c r="B1724" s="94">
        <v>354.47</v>
      </c>
      <c r="C1724" s="94">
        <v>299.74</v>
      </c>
      <c r="D1724" s="94">
        <v>40.020947730905661</v>
      </c>
      <c r="E1724" s="94">
        <v>1.9541675404274181</v>
      </c>
      <c r="F1724" s="94">
        <v>2.9</v>
      </c>
      <c r="G1724" s="94">
        <v>0</v>
      </c>
      <c r="H1724" s="94">
        <v>-0.2</v>
      </c>
      <c r="I1724" s="94">
        <v>0</v>
      </c>
      <c r="J1724" s="94">
        <v>475</v>
      </c>
      <c r="K1724" s="94">
        <v>1.5660000000000001</v>
      </c>
      <c r="L1724" s="94">
        <v>1</v>
      </c>
      <c r="M1724" s="94">
        <v>0</v>
      </c>
      <c r="N1724" s="94">
        <v>0</v>
      </c>
      <c r="O1724" s="94">
        <v>0</v>
      </c>
    </row>
    <row r="1725" spans="1:15" x14ac:dyDescent="0.25">
      <c r="A1725" s="89">
        <v>45423.333333333336</v>
      </c>
      <c r="B1725" s="94">
        <v>354.47</v>
      </c>
      <c r="C1725" s="94">
        <v>299.74</v>
      </c>
      <c r="D1725" s="94">
        <v>38.812500885407793</v>
      </c>
      <c r="E1725" s="94">
        <v>1.9330636464999771</v>
      </c>
      <c r="F1725" s="94">
        <v>2.7699654870761501</v>
      </c>
      <c r="G1725" s="94">
        <v>0</v>
      </c>
      <c r="H1725" s="94">
        <v>0.7</v>
      </c>
      <c r="I1725" s="94">
        <v>0</v>
      </c>
      <c r="J1725" s="94">
        <v>474.99249026854295</v>
      </c>
      <c r="K1725" s="94">
        <v>1.5652217292489827</v>
      </c>
      <c r="L1725" s="94">
        <v>0</v>
      </c>
      <c r="M1725" s="94">
        <v>0</v>
      </c>
      <c r="N1725" s="94">
        <v>0</v>
      </c>
      <c r="O1725" s="94">
        <v>0</v>
      </c>
    </row>
    <row r="1726" spans="1:15" x14ac:dyDescent="0.25">
      <c r="A1726" s="89">
        <v>45423.833333333336</v>
      </c>
      <c r="B1726" s="94">
        <v>354.47</v>
      </c>
      <c r="C1726" s="94">
        <v>299.74</v>
      </c>
      <c r="D1726" s="94">
        <v>40.046232444244971</v>
      </c>
      <c r="E1726" s="94">
        <v>1.9496381407604866</v>
      </c>
      <c r="F1726" s="94">
        <v>2.6555013913512746</v>
      </c>
      <c r="G1726" s="94">
        <v>0</v>
      </c>
      <c r="H1726" s="94">
        <v>0.7</v>
      </c>
      <c r="I1726" s="94">
        <v>0</v>
      </c>
      <c r="J1726" s="94">
        <v>475.06612731043737</v>
      </c>
      <c r="K1726" s="94">
        <v>1.5679655264063426</v>
      </c>
      <c r="L1726" s="94">
        <v>0</v>
      </c>
      <c r="M1726" s="94">
        <v>0</v>
      </c>
      <c r="N1726" s="94">
        <v>0</v>
      </c>
      <c r="O1726" s="94">
        <v>0</v>
      </c>
    </row>
    <row r="1727" spans="1:15" x14ac:dyDescent="0.25">
      <c r="A1727" s="89">
        <v>45424.333333333336</v>
      </c>
      <c r="B1727" s="94">
        <v>354.47</v>
      </c>
      <c r="C1727" s="94">
        <v>299.74</v>
      </c>
      <c r="D1727" s="94">
        <v>38.696499633789067</v>
      </c>
      <c r="E1727" s="94">
        <v>1.9578997802734375</v>
      </c>
      <c r="F1727" s="94">
        <v>2.6</v>
      </c>
      <c r="G1727" s="94">
        <v>0</v>
      </c>
      <c r="H1727" s="94">
        <v>0.7</v>
      </c>
      <c r="I1727" s="94">
        <v>0</v>
      </c>
      <c r="J1727" s="94">
        <v>473.9092088566336</v>
      </c>
      <c r="K1727" s="94">
        <v>1.5657470399432611</v>
      </c>
      <c r="L1727" s="94">
        <v>0</v>
      </c>
      <c r="M1727" s="94">
        <v>0</v>
      </c>
      <c r="N1727" s="94">
        <v>0</v>
      </c>
      <c r="O1727" s="94">
        <v>0</v>
      </c>
    </row>
    <row r="1728" spans="1:15" x14ac:dyDescent="0.25">
      <c r="A1728" s="89">
        <v>45424.833333333336</v>
      </c>
      <c r="B1728" s="94">
        <v>354.47</v>
      </c>
      <c r="C1728" s="94">
        <v>299.73515278065338</v>
      </c>
      <c r="D1728" s="94">
        <v>38.584034941085335</v>
      </c>
      <c r="E1728" s="94">
        <v>1.9278316021693169</v>
      </c>
      <c r="F1728" s="94">
        <v>2.6</v>
      </c>
      <c r="G1728" s="94">
        <v>0</v>
      </c>
      <c r="H1728" s="94">
        <v>0.7</v>
      </c>
      <c r="I1728" s="94">
        <v>0</v>
      </c>
      <c r="J1728" s="94">
        <v>472.05277887687106</v>
      </c>
      <c r="K1728" s="94">
        <v>1.5652785489300638</v>
      </c>
      <c r="L1728" s="94">
        <v>0</v>
      </c>
      <c r="M1728" s="94">
        <v>0</v>
      </c>
      <c r="N1728" s="94">
        <v>0</v>
      </c>
      <c r="O1728" s="94">
        <v>0</v>
      </c>
    </row>
    <row r="1729" spans="1:15" x14ac:dyDescent="0.25">
      <c r="A1729" s="89">
        <v>45425.333333333336</v>
      </c>
      <c r="B1729" s="94">
        <v>354.47555848737863</v>
      </c>
      <c r="C1729" s="94">
        <v>299.74</v>
      </c>
      <c r="D1729" s="94">
        <v>37.701333618164064</v>
      </c>
      <c r="E1729" s="94">
        <v>1.9495999145507812</v>
      </c>
      <c r="F1729" s="94">
        <v>2.2999999999999998</v>
      </c>
      <c r="G1729" s="94">
        <v>0</v>
      </c>
      <c r="H1729" s="94">
        <v>0.88270539064645048</v>
      </c>
      <c r="I1729" s="94">
        <v>0</v>
      </c>
      <c r="J1729" s="94">
        <v>472.01018084863364</v>
      </c>
      <c r="K1729" s="94">
        <v>1.5643510828295002</v>
      </c>
      <c r="L1729" s="94">
        <v>0</v>
      </c>
      <c r="M1729" s="94">
        <v>0</v>
      </c>
      <c r="N1729" s="94">
        <v>0</v>
      </c>
      <c r="O1729" s="94">
        <v>0</v>
      </c>
    </row>
    <row r="1730" spans="1:15" x14ac:dyDescent="0.25">
      <c r="A1730" s="89">
        <v>45425.833333333336</v>
      </c>
      <c r="B1730" s="94">
        <v>354.56</v>
      </c>
      <c r="C1730" s="94">
        <v>299.74</v>
      </c>
      <c r="D1730" s="94">
        <v>38.269082575554123</v>
      </c>
      <c r="E1730" s="94">
        <v>1.9449867336824294</v>
      </c>
      <c r="F1730" s="94">
        <v>2.6</v>
      </c>
      <c r="G1730" s="94">
        <v>0</v>
      </c>
      <c r="H1730" s="94">
        <v>0.72130272866552403</v>
      </c>
      <c r="I1730" s="94">
        <v>0</v>
      </c>
      <c r="J1730" s="94">
        <v>474.04172700633092</v>
      </c>
      <c r="K1730" s="94">
        <v>1.5648595513033727</v>
      </c>
      <c r="L1730" s="94">
        <v>0</v>
      </c>
      <c r="M1730" s="94">
        <v>0</v>
      </c>
      <c r="N1730" s="94">
        <v>0</v>
      </c>
      <c r="O1730" s="94">
        <v>0</v>
      </c>
    </row>
    <row r="1731" spans="1:15" x14ac:dyDescent="0.25">
      <c r="A1731" s="89">
        <v>45426.333333333336</v>
      </c>
      <c r="B1731" s="94">
        <v>354.56273192467972</v>
      </c>
      <c r="C1731" s="94">
        <v>299.73517412777261</v>
      </c>
      <c r="D1731" s="94">
        <v>38.872694565365229</v>
      </c>
      <c r="E1731" s="94">
        <v>1.94679931640625</v>
      </c>
      <c r="F1731" s="94">
        <v>2.2000000000000002</v>
      </c>
      <c r="G1731" s="94">
        <v>0</v>
      </c>
      <c r="H1731" s="94">
        <v>0.99685689882491701</v>
      </c>
      <c r="I1731" s="94">
        <v>0</v>
      </c>
      <c r="J1731" s="94">
        <v>474</v>
      </c>
      <c r="K1731" s="94">
        <v>1.5660000000000001</v>
      </c>
      <c r="L1731" s="94">
        <v>0</v>
      </c>
      <c r="M1731" s="94">
        <v>0</v>
      </c>
      <c r="N1731" s="94">
        <v>0</v>
      </c>
      <c r="O1731" s="94">
        <v>0</v>
      </c>
    </row>
    <row r="1732" spans="1:15" x14ac:dyDescent="0.25">
      <c r="A1732" s="89">
        <v>45426.833333333336</v>
      </c>
      <c r="B1732" s="94">
        <v>354.6</v>
      </c>
      <c r="C1732" s="94">
        <v>299.73266803544709</v>
      </c>
      <c r="D1732" s="94">
        <v>37.756748224242443</v>
      </c>
      <c r="E1732" s="94">
        <v>1.9779995727539061</v>
      </c>
      <c r="F1732" s="94">
        <v>2.435786315015922</v>
      </c>
      <c r="G1732" s="94">
        <v>0</v>
      </c>
      <c r="H1732" s="94">
        <v>0.86871903370642944</v>
      </c>
      <c r="I1732" s="94">
        <v>0</v>
      </c>
      <c r="J1732" s="94">
        <v>474.9745099913269</v>
      </c>
      <c r="K1732" s="94">
        <v>1.5650755048760603</v>
      </c>
      <c r="L1732" s="94">
        <v>0</v>
      </c>
      <c r="M1732" s="94">
        <v>0</v>
      </c>
      <c r="N1732" s="94">
        <v>0</v>
      </c>
      <c r="O1732" s="94">
        <v>0</v>
      </c>
    </row>
    <row r="1733" spans="1:15" x14ac:dyDescent="0.25">
      <c r="A1733" s="89">
        <v>45427.333333333336</v>
      </c>
      <c r="B1733" s="94">
        <v>354.60759719129567</v>
      </c>
      <c r="C1733" s="94">
        <v>299.73251405404289</v>
      </c>
      <c r="D1733" s="94">
        <v>38.452895579115548</v>
      </c>
      <c r="E1733" s="94">
        <v>1.97</v>
      </c>
      <c r="F1733" s="94">
        <v>2.2819149640295096</v>
      </c>
      <c r="G1733" s="94">
        <v>0</v>
      </c>
      <c r="H1733" s="94">
        <v>0.95199804882510308</v>
      </c>
      <c r="I1733" s="94">
        <v>0</v>
      </c>
      <c r="J1733" s="94">
        <v>474</v>
      </c>
      <c r="K1733" s="94">
        <v>1.5640000000000001</v>
      </c>
      <c r="L1733" s="94">
        <v>0</v>
      </c>
      <c r="M1733" s="94">
        <v>0</v>
      </c>
      <c r="N1733" s="94">
        <v>0</v>
      </c>
      <c r="O1733" s="94">
        <v>0</v>
      </c>
    </row>
    <row r="1734" spans="1:15" x14ac:dyDescent="0.25">
      <c r="A1734" s="89">
        <v>45427.833333333336</v>
      </c>
      <c r="B1734" s="94">
        <v>354.69</v>
      </c>
      <c r="C1734" s="94">
        <v>299.73745009422345</v>
      </c>
      <c r="D1734" s="94">
        <v>37.9</v>
      </c>
      <c r="E1734" s="94">
        <v>1.9552499389648437</v>
      </c>
      <c r="F1734" s="94">
        <v>2.4</v>
      </c>
      <c r="G1734" s="94">
        <v>0</v>
      </c>
      <c r="H1734" s="94">
        <v>0.80321758619630967</v>
      </c>
      <c r="I1734" s="94">
        <v>0</v>
      </c>
      <c r="J1734" s="94">
        <v>471.99512809681892</v>
      </c>
      <c r="K1734" s="94">
        <v>1.5640618409916922</v>
      </c>
      <c r="L1734" s="94">
        <v>0</v>
      </c>
      <c r="M1734" s="94">
        <v>0</v>
      </c>
      <c r="N1734" s="94">
        <v>0</v>
      </c>
      <c r="O1734" s="94">
        <v>0</v>
      </c>
    </row>
    <row r="1735" spans="1:15" x14ac:dyDescent="0.25">
      <c r="A1735" s="89">
        <v>45428.333333333336</v>
      </c>
      <c r="B1735" s="94">
        <v>354.70169478234487</v>
      </c>
      <c r="C1735" s="94">
        <v>299.74</v>
      </c>
      <c r="D1735" s="94">
        <v>37.299999999999997</v>
      </c>
      <c r="E1735" s="94">
        <v>1.9633669705191914</v>
      </c>
      <c r="F1735" s="94">
        <v>2.2000000000000002</v>
      </c>
      <c r="G1735" s="94">
        <v>0</v>
      </c>
      <c r="H1735" s="94">
        <v>0.97395201361191996</v>
      </c>
      <c r="I1735" s="94">
        <v>0</v>
      </c>
      <c r="J1735" s="94">
        <v>470.99802659106888</v>
      </c>
      <c r="K1735" s="94">
        <v>1.5637622245720004</v>
      </c>
      <c r="L1735" s="94">
        <v>0</v>
      </c>
      <c r="M1735" s="94">
        <v>0</v>
      </c>
      <c r="N1735" s="94">
        <v>0</v>
      </c>
      <c r="O1735" s="94">
        <v>0</v>
      </c>
    </row>
    <row r="1736" spans="1:15" x14ac:dyDescent="0.25">
      <c r="A1736" s="89">
        <v>45428.833333333336</v>
      </c>
      <c r="B1736" s="94">
        <v>354.78</v>
      </c>
      <c r="C1736" s="94">
        <v>299.74</v>
      </c>
      <c r="D1736" s="94">
        <v>38.799999999999997</v>
      </c>
      <c r="E1736" s="94">
        <v>1.9619030655148688</v>
      </c>
      <c r="F1736" s="94">
        <v>101.44952261012185</v>
      </c>
      <c r="G1736" s="94">
        <v>0</v>
      </c>
      <c r="H1736" s="94">
        <v>0.85630639719279311</v>
      </c>
      <c r="I1736" s="94">
        <v>0</v>
      </c>
      <c r="J1736" s="94">
        <v>472</v>
      </c>
      <c r="K1736" s="94">
        <v>1.5646601971074312</v>
      </c>
      <c r="L1736" s="94">
        <v>0</v>
      </c>
      <c r="M1736" s="94">
        <v>0</v>
      </c>
      <c r="N1736" s="94">
        <v>0</v>
      </c>
      <c r="O1736" s="94">
        <v>0</v>
      </c>
    </row>
    <row r="1737" spans="1:15" x14ac:dyDescent="0.25">
      <c r="A1737" s="89">
        <v>45429.333333333336</v>
      </c>
      <c r="B1737" s="94">
        <v>354.79013591691216</v>
      </c>
      <c r="C1737" s="94">
        <v>299.73078000386556</v>
      </c>
      <c r="D1737" s="94">
        <v>37.800446300637503</v>
      </c>
      <c r="E1737" s="94">
        <v>1.9705804185122957</v>
      </c>
      <c r="F1737" s="94">
        <v>101.29179224020056</v>
      </c>
      <c r="G1737" s="94">
        <v>0</v>
      </c>
      <c r="H1737" s="94">
        <v>1</v>
      </c>
      <c r="I1737" s="94">
        <v>0</v>
      </c>
      <c r="J1737" s="94">
        <v>471.98488359414375</v>
      </c>
      <c r="K1737" s="94">
        <v>1.5640000000000001</v>
      </c>
      <c r="L1737" s="94">
        <v>0</v>
      </c>
      <c r="M1737" s="94">
        <v>0</v>
      </c>
      <c r="N1737" s="94">
        <v>0</v>
      </c>
      <c r="O1737" s="94">
        <v>0</v>
      </c>
    </row>
    <row r="1738" spans="1:15" x14ac:dyDescent="0.25">
      <c r="A1738" s="89">
        <v>45429.833333333336</v>
      </c>
      <c r="B1738" s="94">
        <v>354.85</v>
      </c>
      <c r="C1738" s="94">
        <v>299.73792710656829</v>
      </c>
      <c r="D1738" s="94">
        <v>38.346700387278489</v>
      </c>
      <c r="E1738" s="94">
        <v>1.9696404073046554</v>
      </c>
      <c r="F1738" s="94">
        <v>101.50035995483398</v>
      </c>
      <c r="G1738" s="94">
        <v>0</v>
      </c>
      <c r="H1738" s="94">
        <v>0.93000595210841996</v>
      </c>
      <c r="I1738" s="94">
        <v>0</v>
      </c>
      <c r="J1738" s="94">
        <v>472.02368349690687</v>
      </c>
      <c r="K1738" s="94">
        <v>1.5647490804862976</v>
      </c>
      <c r="L1738" s="94">
        <v>0</v>
      </c>
      <c r="M1738" s="94">
        <v>0</v>
      </c>
      <c r="N1738" s="94">
        <v>0</v>
      </c>
      <c r="O1738" s="94">
        <v>0</v>
      </c>
    </row>
    <row r="1739" spans="1:15" x14ac:dyDescent="0.25">
      <c r="A1739" s="89">
        <v>45430.333333333336</v>
      </c>
      <c r="B1739" s="94">
        <v>354.85</v>
      </c>
      <c r="C1739" s="94">
        <v>299.74</v>
      </c>
      <c r="D1739" s="94">
        <v>37.713719618655006</v>
      </c>
      <c r="E1739" s="94">
        <v>1.9734277099970823</v>
      </c>
      <c r="F1739" s="94">
        <v>101.26063138817953</v>
      </c>
      <c r="G1739" s="94">
        <v>0</v>
      </c>
      <c r="H1739" s="94">
        <v>1</v>
      </c>
      <c r="I1739" s="94">
        <v>0</v>
      </c>
      <c r="J1739" s="94">
        <v>471</v>
      </c>
      <c r="K1739" s="94">
        <v>1.5640000000000001</v>
      </c>
      <c r="L1739" s="94">
        <v>0</v>
      </c>
      <c r="M1739" s="94">
        <v>0</v>
      </c>
      <c r="N1739" s="94">
        <v>0</v>
      </c>
      <c r="O1739" s="94">
        <v>0</v>
      </c>
    </row>
    <row r="1740" spans="1:15" x14ac:dyDescent="0.25">
      <c r="A1740" s="89">
        <v>45430.833333333336</v>
      </c>
      <c r="B1740" s="94">
        <v>354.85</v>
      </c>
      <c r="C1740" s="94">
        <v>299.73724819138573</v>
      </c>
      <c r="D1740" s="94">
        <v>38.002141731943098</v>
      </c>
      <c r="E1740" s="94">
        <v>1.9567668692037095</v>
      </c>
      <c r="F1740" s="94">
        <v>101.40090501716109</v>
      </c>
      <c r="G1740" s="94">
        <v>0</v>
      </c>
      <c r="H1740" s="94">
        <v>1</v>
      </c>
      <c r="I1740" s="94">
        <v>0</v>
      </c>
      <c r="J1740" s="94">
        <v>471</v>
      </c>
      <c r="K1740" s="94">
        <v>1.562570154103103</v>
      </c>
      <c r="L1740" s="94">
        <v>0</v>
      </c>
      <c r="M1740" s="94">
        <v>0</v>
      </c>
      <c r="N1740" s="94">
        <v>0</v>
      </c>
      <c r="O1740" s="94">
        <v>0</v>
      </c>
    </row>
    <row r="1741" spans="1:15" x14ac:dyDescent="0.25">
      <c r="A1741" s="89">
        <v>45431.333333333336</v>
      </c>
      <c r="B1741" s="94">
        <v>354.85</v>
      </c>
      <c r="C1741" s="94">
        <v>299.73473080104401</v>
      </c>
      <c r="D1741" s="94">
        <v>37.26742218865833</v>
      </c>
      <c r="E1741" s="94">
        <v>1.9530902173473104</v>
      </c>
      <c r="F1741" s="94">
        <v>101.1883440453109</v>
      </c>
      <c r="G1741" s="94">
        <v>0</v>
      </c>
      <c r="H1741" s="94">
        <v>1</v>
      </c>
      <c r="I1741" s="94">
        <v>0</v>
      </c>
      <c r="J1741" s="94">
        <v>471</v>
      </c>
      <c r="K1741" s="94">
        <v>1.5633335803451394</v>
      </c>
      <c r="L1741" s="94">
        <v>0</v>
      </c>
      <c r="M1741" s="94">
        <v>0</v>
      </c>
      <c r="N1741" s="94">
        <v>0</v>
      </c>
      <c r="O1741" s="94">
        <v>0</v>
      </c>
    </row>
    <row r="1742" spans="1:15" x14ac:dyDescent="0.25">
      <c r="A1742" s="89">
        <v>45431.833333333336</v>
      </c>
      <c r="B1742" s="94">
        <v>354.85</v>
      </c>
      <c r="C1742" s="94">
        <v>299.74</v>
      </c>
      <c r="D1742" s="94">
        <v>37.877740000999971</v>
      </c>
      <c r="E1742" s="94">
        <v>1.9675621512709238</v>
      </c>
      <c r="F1742" s="94">
        <v>101.3</v>
      </c>
      <c r="G1742" s="94">
        <v>0</v>
      </c>
      <c r="H1742" s="94">
        <v>1</v>
      </c>
      <c r="I1742" s="94">
        <v>0</v>
      </c>
      <c r="J1742" s="94">
        <v>471</v>
      </c>
      <c r="K1742" s="94">
        <v>1.5646161414547932</v>
      </c>
      <c r="L1742" s="94">
        <v>0</v>
      </c>
      <c r="M1742" s="94">
        <v>0</v>
      </c>
      <c r="N1742" s="94">
        <v>0</v>
      </c>
      <c r="O1742" s="94">
        <v>0</v>
      </c>
    </row>
    <row r="1743" spans="1:15" x14ac:dyDescent="0.25">
      <c r="A1743" s="89">
        <v>45432.333333333336</v>
      </c>
      <c r="B1743" s="94">
        <v>354.86703516114579</v>
      </c>
      <c r="C1743" s="94">
        <v>299.73486779106992</v>
      </c>
      <c r="D1743" s="94">
        <v>36.843406984745265</v>
      </c>
      <c r="E1743" s="94">
        <v>1.98</v>
      </c>
      <c r="F1743" s="94">
        <v>101.05333846928062</v>
      </c>
      <c r="G1743" s="94">
        <v>0</v>
      </c>
      <c r="H1743" s="94">
        <v>1.0189589845894051</v>
      </c>
      <c r="I1743" s="94">
        <v>0</v>
      </c>
      <c r="J1743" s="94">
        <v>470</v>
      </c>
      <c r="K1743" s="94">
        <v>1.5620853731127016</v>
      </c>
      <c r="L1743" s="94">
        <v>0</v>
      </c>
      <c r="M1743" s="94">
        <v>0</v>
      </c>
      <c r="N1743" s="94">
        <v>0</v>
      </c>
      <c r="O1743" s="94">
        <v>0</v>
      </c>
    </row>
    <row r="1744" spans="1:15" x14ac:dyDescent="0.25">
      <c r="A1744" s="89">
        <v>45432.833333333336</v>
      </c>
      <c r="B1744" s="94">
        <v>354.96</v>
      </c>
      <c r="C1744" s="94">
        <v>299.73073015836081</v>
      </c>
      <c r="D1744" s="94">
        <v>37.528781518868719</v>
      </c>
      <c r="E1744" s="94">
        <v>1.9523023346392649</v>
      </c>
      <c r="F1744" s="94">
        <v>101.2</v>
      </c>
      <c r="G1744" s="94">
        <v>0</v>
      </c>
      <c r="H1744" s="94">
        <v>1</v>
      </c>
      <c r="I1744" s="94">
        <v>0</v>
      </c>
      <c r="J1744" s="94">
        <v>470</v>
      </c>
      <c r="K1744" s="94">
        <v>1.5619984089579131</v>
      </c>
      <c r="L1744" s="94">
        <v>0</v>
      </c>
      <c r="M1744" s="94">
        <v>0</v>
      </c>
      <c r="N1744" s="94">
        <v>0</v>
      </c>
      <c r="O1744" s="94">
        <v>0</v>
      </c>
    </row>
    <row r="1745" spans="1:15" x14ac:dyDescent="0.25">
      <c r="A1745" s="89">
        <v>45433.333333333336</v>
      </c>
      <c r="B1745" s="94">
        <v>354.96492035177863</v>
      </c>
      <c r="C1745" s="94">
        <v>299.73904722009229</v>
      </c>
      <c r="D1745" s="94">
        <v>38.150236055336606</v>
      </c>
      <c r="E1745" s="94">
        <v>1.9593044137721827</v>
      </c>
      <c r="F1745" s="94">
        <v>100.99231657673835</v>
      </c>
      <c r="G1745" s="94">
        <v>0</v>
      </c>
      <c r="H1745" s="94">
        <v>1.0417400961915213</v>
      </c>
      <c r="I1745" s="94">
        <v>0</v>
      </c>
      <c r="J1745" s="94">
        <v>468.01479421744904</v>
      </c>
      <c r="K1745" s="94">
        <v>1.5610950552755143</v>
      </c>
      <c r="L1745" s="94">
        <v>0</v>
      </c>
      <c r="M1745" s="94">
        <v>0</v>
      </c>
      <c r="N1745" s="94">
        <v>0</v>
      </c>
      <c r="O1745" s="94">
        <v>0</v>
      </c>
    </row>
    <row r="1746" spans="1:15" x14ac:dyDescent="0.25">
      <c r="A1746" s="89">
        <v>45433.833333333336</v>
      </c>
      <c r="B1746" s="94">
        <v>354.99</v>
      </c>
      <c r="C1746" s="94">
        <v>299.73292747713168</v>
      </c>
      <c r="D1746" s="94">
        <v>37.299999999999997</v>
      </c>
      <c r="E1746" s="94">
        <v>1.9700399995939126</v>
      </c>
      <c r="F1746" s="94">
        <v>101.2</v>
      </c>
      <c r="G1746" s="94">
        <v>0</v>
      </c>
      <c r="H1746" s="94">
        <v>1</v>
      </c>
      <c r="I1746" s="94">
        <v>0</v>
      </c>
      <c r="J1746" s="94">
        <v>470.98858771912211</v>
      </c>
      <c r="K1746" s="94">
        <v>1.5627774306503635</v>
      </c>
      <c r="L1746" s="94">
        <v>0</v>
      </c>
      <c r="M1746" s="94">
        <v>0</v>
      </c>
      <c r="N1746" s="94">
        <v>0</v>
      </c>
      <c r="O1746" s="94">
        <v>0</v>
      </c>
    </row>
    <row r="1747" spans="1:15" x14ac:dyDescent="0.25">
      <c r="A1747" s="89">
        <v>45434.333333333336</v>
      </c>
      <c r="B1747" s="94">
        <v>354.99767975560246</v>
      </c>
      <c r="C1747" s="94">
        <v>299.73357879016527</v>
      </c>
      <c r="D1747" s="94">
        <v>37.700000000000003</v>
      </c>
      <c r="E1747" s="94">
        <v>1.9754812023163895</v>
      </c>
      <c r="F1747" s="94">
        <v>100.98199645205142</v>
      </c>
      <c r="G1747" s="94">
        <v>0</v>
      </c>
      <c r="H1747" s="94">
        <v>1</v>
      </c>
      <c r="I1747" s="94">
        <v>0</v>
      </c>
      <c r="J1747" s="94">
        <v>467</v>
      </c>
      <c r="K1747" s="94">
        <v>1.5607267441471613</v>
      </c>
      <c r="L1747" s="94">
        <v>0</v>
      </c>
      <c r="M1747" s="94">
        <v>0</v>
      </c>
      <c r="N1747" s="94">
        <v>0</v>
      </c>
      <c r="O1747" s="94">
        <v>0</v>
      </c>
    </row>
    <row r="1748" spans="1:15" x14ac:dyDescent="0.25">
      <c r="A1748" s="89">
        <v>45434.833333333336</v>
      </c>
      <c r="B1748" s="94">
        <v>355.01</v>
      </c>
      <c r="C1748" s="94">
        <v>299.73221817301282</v>
      </c>
      <c r="D1748" s="94">
        <v>37.342888895670569</v>
      </c>
      <c r="E1748" s="94">
        <v>1.9943659395436044</v>
      </c>
      <c r="F1748" s="94">
        <v>101.2</v>
      </c>
      <c r="G1748" s="94">
        <v>0</v>
      </c>
      <c r="H1748" s="94">
        <v>1</v>
      </c>
      <c r="I1748" s="94">
        <v>0</v>
      </c>
      <c r="J1748" s="94">
        <v>470</v>
      </c>
      <c r="K1748" s="94">
        <v>1.5620000000000001</v>
      </c>
      <c r="L1748" s="94">
        <v>0</v>
      </c>
      <c r="M1748" s="94">
        <v>0</v>
      </c>
      <c r="N1748" s="94">
        <v>0</v>
      </c>
      <c r="O1748" s="94">
        <v>0</v>
      </c>
    </row>
    <row r="1749" spans="1:15" x14ac:dyDescent="0.25">
      <c r="A1749" s="89">
        <v>45435.333333333336</v>
      </c>
      <c r="B1749" s="94">
        <v>355.03005277373353</v>
      </c>
      <c r="C1749" s="94">
        <v>299.74</v>
      </c>
      <c r="D1749" s="94">
        <v>38.4562192532279</v>
      </c>
      <c r="E1749" s="94">
        <v>1.9550902836174604</v>
      </c>
      <c r="F1749" s="94">
        <v>100.9</v>
      </c>
      <c r="G1749" s="94">
        <v>0</v>
      </c>
      <c r="H1749" s="94">
        <v>1</v>
      </c>
      <c r="I1749" s="94">
        <v>0</v>
      </c>
      <c r="J1749" s="94">
        <v>471</v>
      </c>
      <c r="K1749" s="94">
        <v>1.5629640703374363</v>
      </c>
      <c r="L1749" s="94">
        <v>0</v>
      </c>
      <c r="M1749" s="94">
        <v>0</v>
      </c>
      <c r="N1749" s="94">
        <v>0</v>
      </c>
      <c r="O1749" s="94">
        <v>0</v>
      </c>
    </row>
    <row r="1750" spans="1:15" x14ac:dyDescent="0.25">
      <c r="A1750" s="89">
        <v>45435.833333333336</v>
      </c>
      <c r="B1750" s="94">
        <v>355.04</v>
      </c>
      <c r="C1750" s="94">
        <v>299.74</v>
      </c>
      <c r="D1750" s="94">
        <v>36.881017482443958</v>
      </c>
      <c r="E1750" s="94">
        <v>1.9775712608092237</v>
      </c>
      <c r="F1750" s="94">
        <v>101.0585613426926</v>
      </c>
      <c r="G1750" s="94">
        <v>0</v>
      </c>
      <c r="H1750" s="94">
        <v>1</v>
      </c>
      <c r="I1750" s="94">
        <v>0</v>
      </c>
      <c r="J1750" s="94">
        <v>472</v>
      </c>
      <c r="K1750" s="94">
        <v>1.5645451754710133</v>
      </c>
      <c r="L1750" s="94">
        <v>0</v>
      </c>
      <c r="M1750" s="94">
        <v>0</v>
      </c>
      <c r="N1750" s="94">
        <v>0</v>
      </c>
      <c r="O1750" s="94">
        <v>0</v>
      </c>
    </row>
    <row r="1751" spans="1:15" x14ac:dyDescent="0.25">
      <c r="A1751" s="89">
        <v>45436.333333333336</v>
      </c>
      <c r="B1751" s="94">
        <v>355.05343448474156</v>
      </c>
      <c r="C1751" s="94">
        <v>299.74</v>
      </c>
      <c r="D1751" s="94">
        <v>36.751800537109375</v>
      </c>
      <c r="E1751" s="94">
        <v>1.9496350409492289</v>
      </c>
      <c r="F1751" s="94">
        <v>100.9</v>
      </c>
      <c r="G1751" s="94">
        <v>0</v>
      </c>
      <c r="H1751" s="94">
        <v>1.0686547421032864</v>
      </c>
      <c r="I1751" s="94">
        <v>2.6789408576249001E-2</v>
      </c>
      <c r="J1751" s="94">
        <v>470</v>
      </c>
      <c r="K1751" s="94">
        <v>1.5623477006159836</v>
      </c>
      <c r="L1751" s="94">
        <v>0</v>
      </c>
      <c r="M1751" s="94">
        <v>0</v>
      </c>
      <c r="N1751" s="94">
        <v>0</v>
      </c>
      <c r="O1751" s="94">
        <v>0</v>
      </c>
    </row>
    <row r="1752" spans="1:15" x14ac:dyDescent="0.25">
      <c r="A1752" s="89">
        <v>45436.833333333336</v>
      </c>
      <c r="B1752" s="94">
        <v>355.06</v>
      </c>
      <c r="C1752" s="94">
        <v>299.74</v>
      </c>
      <c r="D1752" s="94">
        <v>36.77306077237845</v>
      </c>
      <c r="E1752" s="94">
        <v>1.9604800415039063</v>
      </c>
      <c r="F1752" s="94">
        <v>101.1</v>
      </c>
      <c r="G1752" s="94">
        <v>0</v>
      </c>
      <c r="H1752" s="94">
        <v>1</v>
      </c>
      <c r="I1752" s="94">
        <v>0</v>
      </c>
      <c r="J1752" s="94">
        <v>474</v>
      </c>
      <c r="K1752" s="94">
        <v>1.5643638936529609</v>
      </c>
      <c r="L1752" s="94">
        <v>0</v>
      </c>
      <c r="M1752" s="94">
        <v>0</v>
      </c>
      <c r="N1752" s="94">
        <v>0</v>
      </c>
      <c r="O1752" s="94">
        <v>0</v>
      </c>
    </row>
    <row r="1753" spans="1:15" x14ac:dyDescent="0.25">
      <c r="A1753" s="89">
        <v>45437.333333333336</v>
      </c>
      <c r="B1753" s="94">
        <v>355.06</v>
      </c>
      <c r="C1753" s="94">
        <v>299.74</v>
      </c>
      <c r="D1753" s="94">
        <v>37.633311952455657</v>
      </c>
      <c r="E1753" s="94">
        <v>1.96927978515625</v>
      </c>
      <c r="F1753" s="94">
        <v>101</v>
      </c>
      <c r="G1753" s="94">
        <v>0</v>
      </c>
      <c r="H1753" s="94">
        <v>1</v>
      </c>
      <c r="I1753" s="94">
        <v>0</v>
      </c>
      <c r="J1753" s="94">
        <v>472</v>
      </c>
      <c r="K1753" s="94">
        <v>1.5637710758348875</v>
      </c>
      <c r="L1753" s="94">
        <v>0</v>
      </c>
      <c r="M1753" s="94">
        <v>0</v>
      </c>
      <c r="N1753" s="94">
        <v>0</v>
      </c>
      <c r="O1753" s="94">
        <v>0</v>
      </c>
    </row>
    <row r="1754" spans="1:15" x14ac:dyDescent="0.25">
      <c r="A1754" s="89">
        <v>45437.833333333336</v>
      </c>
      <c r="B1754" s="94">
        <v>355.06</v>
      </c>
      <c r="C1754" s="94">
        <v>299.74</v>
      </c>
      <c r="D1754" s="94">
        <v>36.92601889280234</v>
      </c>
      <c r="E1754" s="94">
        <v>1.9416485777872625</v>
      </c>
      <c r="F1754" s="94">
        <v>101.17422592117492</v>
      </c>
      <c r="G1754" s="94">
        <v>0</v>
      </c>
      <c r="H1754" s="94">
        <v>1</v>
      </c>
      <c r="I1754" s="94">
        <v>0</v>
      </c>
      <c r="J1754" s="94">
        <v>472</v>
      </c>
      <c r="K1754" s="94">
        <v>1.5638306442934977</v>
      </c>
      <c r="L1754" s="94">
        <v>0</v>
      </c>
      <c r="M1754" s="94">
        <v>0</v>
      </c>
      <c r="N1754" s="94">
        <v>0</v>
      </c>
      <c r="O1754" s="94">
        <v>0</v>
      </c>
    </row>
    <row r="1755" spans="1:15" x14ac:dyDescent="0.25">
      <c r="A1755" s="89">
        <v>45438.333333333336</v>
      </c>
      <c r="B1755" s="94">
        <v>355.06</v>
      </c>
      <c r="C1755" s="94">
        <v>299.74</v>
      </c>
      <c r="D1755" s="94">
        <v>37.616788841060767</v>
      </c>
      <c r="E1755" s="94">
        <v>1.9808948885181252</v>
      </c>
      <c r="F1755" s="94">
        <v>100.9</v>
      </c>
      <c r="G1755" s="94">
        <v>0</v>
      </c>
      <c r="H1755" s="94">
        <v>1</v>
      </c>
      <c r="I1755" s="94">
        <v>0</v>
      </c>
      <c r="J1755" s="94">
        <v>475</v>
      </c>
      <c r="K1755" s="94">
        <v>1.5640000000000001</v>
      </c>
      <c r="L1755" s="94">
        <v>0</v>
      </c>
      <c r="M1755" s="94">
        <v>0</v>
      </c>
      <c r="N1755" s="94">
        <v>0</v>
      </c>
      <c r="O1755" s="94">
        <v>0</v>
      </c>
    </row>
    <row r="1756" spans="1:15" x14ac:dyDescent="0.25">
      <c r="A1756" s="89">
        <v>45438.833333333336</v>
      </c>
      <c r="B1756" s="94">
        <v>355.06</v>
      </c>
      <c r="C1756" s="94">
        <v>299.74</v>
      </c>
      <c r="D1756" s="94">
        <v>38.123745192637031</v>
      </c>
      <c r="E1756" s="94">
        <v>1.9502105343628162</v>
      </c>
      <c r="F1756" s="94">
        <v>101.09929915460842</v>
      </c>
      <c r="G1756" s="94">
        <v>0</v>
      </c>
      <c r="H1756" s="94">
        <v>1</v>
      </c>
      <c r="I1756" s="94">
        <v>0</v>
      </c>
      <c r="J1756" s="94">
        <v>474</v>
      </c>
      <c r="K1756" s="94">
        <v>1.5640000000000001</v>
      </c>
      <c r="L1756" s="94">
        <v>0</v>
      </c>
      <c r="M1756" s="94">
        <v>0</v>
      </c>
      <c r="N1756" s="94">
        <v>0</v>
      </c>
      <c r="O1756" s="94">
        <v>0</v>
      </c>
    </row>
    <row r="1757" spans="1:15" x14ac:dyDescent="0.25">
      <c r="A1757" s="89">
        <v>45439.333333333336</v>
      </c>
      <c r="B1757" s="94">
        <v>355.10057962828017</v>
      </c>
      <c r="C1757" s="94">
        <v>299.74</v>
      </c>
      <c r="D1757" s="94">
        <v>37.368862944162437</v>
      </c>
      <c r="E1757" s="94">
        <v>2.0075546317023769</v>
      </c>
      <c r="F1757" s="94">
        <v>100.9</v>
      </c>
      <c r="G1757" s="94">
        <v>0</v>
      </c>
      <c r="H1757" s="94">
        <v>1</v>
      </c>
      <c r="I1757" s="94">
        <v>0</v>
      </c>
      <c r="J1757" s="94">
        <v>474</v>
      </c>
      <c r="K1757" s="94">
        <v>1.5640000000000001</v>
      </c>
      <c r="L1757" s="94">
        <v>0</v>
      </c>
      <c r="M1757" s="94">
        <v>0</v>
      </c>
      <c r="N1757" s="94">
        <v>0</v>
      </c>
      <c r="O1757" s="94">
        <v>0</v>
      </c>
    </row>
    <row r="1758" spans="1:15" x14ac:dyDescent="0.25">
      <c r="A1758" s="89">
        <v>45439.833333333336</v>
      </c>
      <c r="B1758" s="94">
        <v>355.12</v>
      </c>
      <c r="C1758" s="94">
        <v>299.75</v>
      </c>
      <c r="D1758" s="94">
        <v>1.5</v>
      </c>
      <c r="E1758" s="94">
        <v>0</v>
      </c>
      <c r="F1758" s="94">
        <v>101.2</v>
      </c>
      <c r="G1758" s="94">
        <v>0</v>
      </c>
      <c r="H1758" s="94">
        <v>1</v>
      </c>
      <c r="I1758" s="94">
        <v>0</v>
      </c>
      <c r="J1758" s="94">
        <v>491</v>
      </c>
      <c r="K1758" s="94">
        <v>1.5781589073157325</v>
      </c>
      <c r="L1758" s="94">
        <v>16</v>
      </c>
      <c r="M1758" s="94">
        <v>0</v>
      </c>
      <c r="N1758" s="94">
        <v>0</v>
      </c>
      <c r="O1758" s="94">
        <v>0</v>
      </c>
    </row>
    <row r="1759" spans="1:15" x14ac:dyDescent="0.25">
      <c r="A1759" s="89">
        <v>45440.333333333336</v>
      </c>
      <c r="B1759" s="94">
        <v>355.13381162380642</v>
      </c>
      <c r="C1759" s="94">
        <v>299.75</v>
      </c>
      <c r="D1759" s="94">
        <v>1.5</v>
      </c>
      <c r="E1759" s="94">
        <v>0</v>
      </c>
      <c r="F1759" s="94">
        <v>101.2</v>
      </c>
      <c r="G1759" s="94">
        <v>0</v>
      </c>
      <c r="H1759" s="94">
        <v>1</v>
      </c>
      <c r="I1759" s="94">
        <v>0</v>
      </c>
      <c r="J1759" s="94">
        <v>491</v>
      </c>
      <c r="K1759" s="94">
        <v>1.5789085918316037</v>
      </c>
      <c r="L1759" s="94">
        <v>16</v>
      </c>
      <c r="M1759" s="94">
        <v>0</v>
      </c>
      <c r="N1759" s="94">
        <v>0</v>
      </c>
      <c r="O1759" s="94">
        <v>0</v>
      </c>
    </row>
    <row r="1760" spans="1:15" x14ac:dyDescent="0.25">
      <c r="A1760" s="89">
        <v>45440.833333333336</v>
      </c>
      <c r="B1760" s="94">
        <v>355.14</v>
      </c>
      <c r="C1760" s="94">
        <v>299.74034783532829</v>
      </c>
      <c r="D1760" s="94">
        <v>100.99874015031206</v>
      </c>
      <c r="E1760" s="94">
        <v>0</v>
      </c>
      <c r="F1760" s="94">
        <v>101.2</v>
      </c>
      <c r="G1760" s="94">
        <v>0</v>
      </c>
      <c r="H1760" s="94">
        <v>1</v>
      </c>
      <c r="I1760" s="94">
        <v>0</v>
      </c>
      <c r="J1760" s="94">
        <v>491</v>
      </c>
      <c r="K1760" s="94">
        <v>1.579</v>
      </c>
      <c r="L1760" s="94">
        <v>16</v>
      </c>
      <c r="M1760" s="94">
        <v>0</v>
      </c>
      <c r="N1760" s="94">
        <v>0</v>
      </c>
      <c r="O1760" s="94">
        <v>0</v>
      </c>
    </row>
    <row r="1761" spans="1:15" x14ac:dyDescent="0.25">
      <c r="A1761" s="89">
        <v>45441.333333333336</v>
      </c>
      <c r="B1761" s="94">
        <v>355.1427243704502</v>
      </c>
      <c r="C1761" s="94">
        <v>299.74992339475733</v>
      </c>
      <c r="D1761" s="94">
        <v>100.81270695459021</v>
      </c>
      <c r="E1761" s="94">
        <v>0</v>
      </c>
      <c r="F1761" s="94">
        <v>101.2</v>
      </c>
      <c r="G1761" s="94">
        <v>0</v>
      </c>
      <c r="H1761" s="94">
        <v>1</v>
      </c>
      <c r="I1761" s="94">
        <v>0</v>
      </c>
      <c r="J1761" s="94">
        <v>491</v>
      </c>
      <c r="K1761" s="94">
        <v>1.579</v>
      </c>
      <c r="L1761" s="94">
        <v>16</v>
      </c>
      <c r="M1761" s="94">
        <v>0</v>
      </c>
      <c r="N1761" s="94">
        <v>0</v>
      </c>
      <c r="O1761" s="94">
        <v>0</v>
      </c>
    </row>
    <row r="1762" spans="1:15" x14ac:dyDescent="0.25">
      <c r="A1762" s="89">
        <v>45441.833333333336</v>
      </c>
      <c r="B1762" s="94">
        <v>355.16</v>
      </c>
      <c r="C1762" s="94">
        <v>299.74262500720977</v>
      </c>
      <c r="D1762" s="94">
        <v>100.88380025227865</v>
      </c>
      <c r="E1762" s="94">
        <v>0</v>
      </c>
      <c r="F1762" s="94">
        <v>101.2</v>
      </c>
      <c r="G1762" s="94">
        <v>0</v>
      </c>
      <c r="H1762" s="94">
        <v>1</v>
      </c>
      <c r="I1762" s="94">
        <v>0</v>
      </c>
      <c r="J1762" s="94">
        <v>491</v>
      </c>
      <c r="K1762" s="94">
        <v>1.579</v>
      </c>
      <c r="L1762" s="94">
        <v>16</v>
      </c>
      <c r="M1762" s="94">
        <v>0</v>
      </c>
      <c r="N1762" s="94">
        <v>0</v>
      </c>
      <c r="O1762" s="94">
        <v>0</v>
      </c>
    </row>
    <row r="1763" spans="1:15" x14ac:dyDescent="0.25">
      <c r="A1763" s="89">
        <v>45442.333333333336</v>
      </c>
      <c r="B1763" s="94">
        <v>355.16151944761765</v>
      </c>
      <c r="C1763" s="94">
        <v>299.7417995513361</v>
      </c>
      <c r="D1763" s="94">
        <v>100.86786565381978</v>
      </c>
      <c r="E1763" s="94">
        <v>0</v>
      </c>
      <c r="F1763" s="94">
        <v>101.2</v>
      </c>
      <c r="G1763" s="94">
        <v>0</v>
      </c>
      <c r="H1763" s="94">
        <v>1</v>
      </c>
      <c r="I1763" s="94">
        <v>0</v>
      </c>
      <c r="J1763" s="94">
        <v>491</v>
      </c>
      <c r="K1763" s="94">
        <v>1.581</v>
      </c>
      <c r="L1763" s="94">
        <v>16</v>
      </c>
      <c r="M1763" s="94">
        <v>0</v>
      </c>
      <c r="N1763" s="94">
        <v>0</v>
      </c>
      <c r="O1763" s="94">
        <v>0</v>
      </c>
    </row>
    <row r="1764" spans="1:15" x14ac:dyDescent="0.25">
      <c r="A1764" s="89">
        <v>45442.833333333336</v>
      </c>
      <c r="B1764" s="94">
        <v>355.17</v>
      </c>
      <c r="C1764" s="94">
        <v>299.75</v>
      </c>
      <c r="D1764" s="94">
        <v>100.9</v>
      </c>
      <c r="E1764" s="94">
        <v>0</v>
      </c>
      <c r="F1764" s="94">
        <v>101.2</v>
      </c>
      <c r="G1764" s="94">
        <v>0</v>
      </c>
      <c r="H1764" s="94">
        <v>1</v>
      </c>
      <c r="I1764" s="94">
        <v>0</v>
      </c>
      <c r="J1764" s="94">
        <v>491</v>
      </c>
      <c r="K1764" s="94">
        <v>1.5791983578340278</v>
      </c>
      <c r="L1764" s="94">
        <v>16</v>
      </c>
      <c r="M1764" s="94">
        <v>0</v>
      </c>
      <c r="N1764" s="94">
        <v>0</v>
      </c>
      <c r="O1764" s="94">
        <v>0</v>
      </c>
    </row>
    <row r="1765" spans="1:15" x14ac:dyDescent="0.25">
      <c r="A1765" s="89">
        <v>45443.333333333336</v>
      </c>
      <c r="B1765" s="94">
        <v>355.17</v>
      </c>
      <c r="C1765" s="94">
        <v>299.76</v>
      </c>
      <c r="D1765" s="94">
        <v>100.9</v>
      </c>
      <c r="E1765" s="94">
        <v>0</v>
      </c>
      <c r="F1765" s="94">
        <v>101.2</v>
      </c>
      <c r="G1765" s="94">
        <v>0</v>
      </c>
      <c r="H1765" s="94">
        <v>1</v>
      </c>
      <c r="I1765" s="94">
        <v>0</v>
      </c>
      <c r="J1765" s="94">
        <v>511</v>
      </c>
      <c r="K1765" s="94">
        <v>1.5960000000000001</v>
      </c>
      <c r="L1765" s="94">
        <v>16</v>
      </c>
      <c r="M1765" s="94">
        <v>0</v>
      </c>
      <c r="N1765" s="94">
        <v>0</v>
      </c>
      <c r="O1765" s="94">
        <v>0</v>
      </c>
    </row>
    <row r="1766" spans="1:15" x14ac:dyDescent="0.25">
      <c r="A1766" s="89">
        <v>45443.833333333336</v>
      </c>
      <c r="B1766" s="94">
        <v>355.17</v>
      </c>
      <c r="C1766" s="94">
        <v>299.75761205080983</v>
      </c>
      <c r="D1766" s="94">
        <v>100.98051997599015</v>
      </c>
      <c r="E1766" s="94">
        <v>0</v>
      </c>
      <c r="F1766" s="94">
        <v>101.27014849731948</v>
      </c>
      <c r="G1766" s="94">
        <v>0</v>
      </c>
      <c r="H1766" s="94">
        <v>1</v>
      </c>
      <c r="I1766" s="94">
        <v>0</v>
      </c>
      <c r="J1766" s="94">
        <v>493</v>
      </c>
      <c r="K1766" s="94">
        <v>1.5790140898749128</v>
      </c>
      <c r="L1766" s="94">
        <v>16</v>
      </c>
      <c r="M1766" s="94">
        <v>0</v>
      </c>
      <c r="N1766" s="94">
        <v>0</v>
      </c>
      <c r="O1766" s="94">
        <v>0</v>
      </c>
    </row>
    <row r="1767" spans="1:15" x14ac:dyDescent="0.25">
      <c r="A1767" s="89">
        <v>45444.333333333336</v>
      </c>
      <c r="B1767" s="94">
        <v>355.17</v>
      </c>
      <c r="C1767" s="94">
        <v>299.75680893252206</v>
      </c>
      <c r="D1767" s="94">
        <v>100.9</v>
      </c>
      <c r="E1767" s="94">
        <v>0</v>
      </c>
      <c r="F1767" s="94">
        <v>101.3</v>
      </c>
      <c r="G1767" s="94">
        <v>0</v>
      </c>
      <c r="H1767" s="94">
        <v>1</v>
      </c>
      <c r="I1767" s="94">
        <v>0</v>
      </c>
      <c r="J1767" s="94">
        <v>491</v>
      </c>
      <c r="K1767" s="94">
        <v>1.5795044699361616</v>
      </c>
      <c r="L1767" s="94">
        <v>16</v>
      </c>
      <c r="M1767" s="94">
        <v>0</v>
      </c>
      <c r="N1767" s="94">
        <v>0</v>
      </c>
      <c r="O1767" s="94">
        <v>0</v>
      </c>
    </row>
    <row r="1768" spans="1:15" x14ac:dyDescent="0.25">
      <c r="A1768" s="89">
        <v>45444.833333333336</v>
      </c>
      <c r="B1768" s="94">
        <v>355.17</v>
      </c>
      <c r="C1768" s="94">
        <v>299.7537708131174</v>
      </c>
      <c r="D1768" s="94">
        <v>101</v>
      </c>
      <c r="E1768" s="94">
        <v>0</v>
      </c>
      <c r="F1768" s="94">
        <v>101.38158757303691</v>
      </c>
      <c r="G1768" s="94">
        <v>0</v>
      </c>
      <c r="H1768" s="94">
        <v>1</v>
      </c>
      <c r="I1768" s="94">
        <v>0</v>
      </c>
      <c r="J1768" s="94">
        <v>491</v>
      </c>
      <c r="K1768" s="94">
        <v>1.579</v>
      </c>
      <c r="L1768" s="94">
        <v>16</v>
      </c>
      <c r="M1768" s="94">
        <v>0</v>
      </c>
      <c r="N1768" s="94">
        <v>0</v>
      </c>
      <c r="O1768" s="94">
        <v>0</v>
      </c>
    </row>
    <row r="1769" spans="1:15" x14ac:dyDescent="0.25">
      <c r="A1769" s="89">
        <v>45445.333333333336</v>
      </c>
      <c r="B1769" s="94">
        <v>355.17</v>
      </c>
      <c r="C1769" s="94">
        <v>299.75</v>
      </c>
      <c r="D1769" s="94">
        <v>100.92116121176625</v>
      </c>
      <c r="E1769" s="94">
        <v>0</v>
      </c>
      <c r="F1769" s="94">
        <v>101.4</v>
      </c>
      <c r="G1769" s="94">
        <v>0</v>
      </c>
      <c r="H1769" s="94">
        <v>1</v>
      </c>
      <c r="I1769" s="94">
        <v>0</v>
      </c>
      <c r="J1769" s="94">
        <v>491</v>
      </c>
      <c r="K1769" s="94">
        <v>1.5802086760184009</v>
      </c>
      <c r="L1769" s="94">
        <v>16</v>
      </c>
      <c r="M1769" s="94">
        <v>0</v>
      </c>
      <c r="N1769" s="94">
        <v>0</v>
      </c>
      <c r="O1769" s="94">
        <v>0</v>
      </c>
    </row>
    <row r="1770" spans="1:15" x14ac:dyDescent="0.25">
      <c r="A1770" s="89">
        <v>45445.833333333336</v>
      </c>
      <c r="B1770" s="94">
        <v>355.17</v>
      </c>
      <c r="C1770" s="94">
        <v>299.93</v>
      </c>
      <c r="D1770" s="94">
        <v>101</v>
      </c>
      <c r="E1770" s="94">
        <v>0</v>
      </c>
      <c r="F1770" s="94">
        <v>101.4</v>
      </c>
      <c r="G1770" s="94">
        <v>0</v>
      </c>
      <c r="H1770" s="94">
        <v>1</v>
      </c>
      <c r="I1770" s="94">
        <v>0</v>
      </c>
      <c r="J1770" s="94">
        <v>736</v>
      </c>
      <c r="K1770" s="94">
        <v>1.7450000000000001</v>
      </c>
      <c r="L1770" s="94">
        <v>25</v>
      </c>
      <c r="M1770" s="94">
        <v>0</v>
      </c>
      <c r="N1770" s="94">
        <v>0</v>
      </c>
      <c r="O1770" s="94">
        <v>0</v>
      </c>
    </row>
    <row r="1771" spans="1:15" x14ac:dyDescent="0.25">
      <c r="A1771" s="89">
        <v>45446.333333333336</v>
      </c>
      <c r="B1771" s="94">
        <v>355.1931646404646</v>
      </c>
      <c r="C1771" s="94">
        <v>299.92696172175044</v>
      </c>
      <c r="D1771" s="94">
        <v>100.9</v>
      </c>
      <c r="E1771" s="94">
        <v>0</v>
      </c>
      <c r="F1771" s="94">
        <v>101.37237207881473</v>
      </c>
      <c r="G1771" s="94">
        <v>0</v>
      </c>
      <c r="H1771" s="94">
        <v>1</v>
      </c>
      <c r="I1771" s="94">
        <v>0</v>
      </c>
      <c r="J1771" s="94">
        <v>736</v>
      </c>
      <c r="K1771" s="94">
        <v>1.7436268796674927</v>
      </c>
      <c r="L1771" s="94">
        <v>25</v>
      </c>
      <c r="M1771" s="94">
        <v>0</v>
      </c>
      <c r="N1771" s="94">
        <v>0</v>
      </c>
      <c r="O1771" s="94">
        <v>0</v>
      </c>
    </row>
    <row r="1772" spans="1:15" x14ac:dyDescent="0.25">
      <c r="A1772" s="89">
        <v>45446.833333333336</v>
      </c>
      <c r="B1772" s="94">
        <v>355.32</v>
      </c>
      <c r="C1772" s="94">
        <v>299.71735000610352</v>
      </c>
      <c r="D1772" s="94">
        <v>100.99862857360242</v>
      </c>
      <c r="E1772" s="94">
        <v>0</v>
      </c>
      <c r="F1772" s="94">
        <v>101.34762815287692</v>
      </c>
      <c r="G1772" s="94">
        <v>0</v>
      </c>
      <c r="H1772" s="94">
        <v>1</v>
      </c>
      <c r="I1772" s="94">
        <v>0</v>
      </c>
      <c r="J1772" s="94">
        <v>449</v>
      </c>
      <c r="K1772" s="94">
        <v>1.546</v>
      </c>
      <c r="L1772" s="94">
        <v>15</v>
      </c>
      <c r="M1772" s="94">
        <v>0</v>
      </c>
      <c r="N1772" s="94">
        <v>0</v>
      </c>
      <c r="O1772" s="94">
        <v>0</v>
      </c>
    </row>
    <row r="1773" spans="1:15" x14ac:dyDescent="0.25">
      <c r="A1773" s="89">
        <v>45447.333333333336</v>
      </c>
      <c r="B1773" s="94">
        <v>355.32321475670108</v>
      </c>
      <c r="C1773" s="94">
        <v>299.72000000000003</v>
      </c>
      <c r="D1773" s="94">
        <v>100.9</v>
      </c>
      <c r="E1773" s="94">
        <v>0</v>
      </c>
      <c r="F1773" s="94">
        <v>101.3</v>
      </c>
      <c r="G1773" s="94">
        <v>0</v>
      </c>
      <c r="H1773" s="94">
        <v>1</v>
      </c>
      <c r="I1773" s="94">
        <v>0</v>
      </c>
      <c r="J1773" s="94">
        <v>449</v>
      </c>
      <c r="K1773" s="94">
        <v>1.546</v>
      </c>
      <c r="L1773" s="94">
        <v>15</v>
      </c>
      <c r="M1773" s="94">
        <v>0</v>
      </c>
      <c r="N1773" s="94">
        <v>0</v>
      </c>
      <c r="O1773" s="94">
        <v>0</v>
      </c>
    </row>
    <row r="1774" spans="1:15" x14ac:dyDescent="0.25">
      <c r="A1774" s="89">
        <v>45447.833333333336</v>
      </c>
      <c r="B1774" s="94">
        <v>355.34</v>
      </c>
      <c r="C1774" s="94">
        <v>299.70999999999998</v>
      </c>
      <c r="D1774" s="94">
        <v>1.6</v>
      </c>
      <c r="E1774" s="94">
        <v>0</v>
      </c>
      <c r="F1774" s="94">
        <v>101.24715295868999</v>
      </c>
      <c r="G1774" s="94">
        <v>0</v>
      </c>
      <c r="H1774" s="94">
        <v>1</v>
      </c>
      <c r="I1774" s="94">
        <v>0</v>
      </c>
      <c r="J1774" s="94">
        <v>449</v>
      </c>
      <c r="K1774" s="94">
        <v>1.546</v>
      </c>
      <c r="L1774" s="94">
        <v>15</v>
      </c>
      <c r="M1774" s="94">
        <v>0</v>
      </c>
      <c r="N1774" s="94">
        <v>0</v>
      </c>
      <c r="O1774" s="94">
        <v>0</v>
      </c>
    </row>
    <row r="1775" spans="1:15" x14ac:dyDescent="0.25">
      <c r="A1775" s="89">
        <v>45448.333333333336</v>
      </c>
      <c r="B1775" s="94">
        <v>355.34497460854971</v>
      </c>
      <c r="C1775" s="94">
        <v>299.71809413482481</v>
      </c>
      <c r="D1775" s="94">
        <v>1.5695592920312431</v>
      </c>
      <c r="E1775" s="94">
        <v>0</v>
      </c>
      <c r="F1775" s="94">
        <v>101.2</v>
      </c>
      <c r="G1775" s="94">
        <v>0</v>
      </c>
      <c r="H1775" s="94">
        <v>1</v>
      </c>
      <c r="I1775" s="94">
        <v>0</v>
      </c>
      <c r="J1775" s="94">
        <v>449</v>
      </c>
      <c r="K1775" s="94">
        <v>1.546</v>
      </c>
      <c r="L1775" s="94">
        <v>15</v>
      </c>
      <c r="M1775" s="94">
        <v>0</v>
      </c>
      <c r="N1775" s="94">
        <v>0</v>
      </c>
      <c r="O1775" s="94">
        <v>0</v>
      </c>
    </row>
    <row r="1776" spans="1:15" x14ac:dyDescent="0.25">
      <c r="A1776" s="89">
        <v>45448.833333333336</v>
      </c>
      <c r="B1776" s="94">
        <v>355.37</v>
      </c>
      <c r="C1776" s="94">
        <v>299.72000000000003</v>
      </c>
      <c r="D1776" s="94">
        <v>1.6</v>
      </c>
      <c r="E1776" s="94">
        <v>0</v>
      </c>
      <c r="F1776" s="94">
        <v>101.2</v>
      </c>
      <c r="G1776" s="94">
        <v>0</v>
      </c>
      <c r="H1776" s="94">
        <v>1</v>
      </c>
      <c r="I1776" s="94">
        <v>0</v>
      </c>
      <c r="J1776" s="94">
        <v>457</v>
      </c>
      <c r="K1776" s="94">
        <v>1.5516018019324183</v>
      </c>
      <c r="L1776" s="94">
        <v>15</v>
      </c>
      <c r="M1776" s="94">
        <v>0</v>
      </c>
      <c r="N1776" s="94">
        <v>0</v>
      </c>
      <c r="O1776" s="94">
        <v>0</v>
      </c>
    </row>
    <row r="1777" spans="1:15" x14ac:dyDescent="0.25">
      <c r="A1777" s="89">
        <v>45449.333333333336</v>
      </c>
      <c r="B1777" s="94">
        <v>355.3752065176281</v>
      </c>
      <c r="C1777" s="94">
        <v>299.71685572723453</v>
      </c>
      <c r="D1777" s="94">
        <v>1.6</v>
      </c>
      <c r="E1777" s="94">
        <v>0</v>
      </c>
      <c r="F1777" s="94">
        <v>101.2</v>
      </c>
      <c r="G1777" s="94">
        <v>0</v>
      </c>
      <c r="H1777" s="94">
        <v>1</v>
      </c>
      <c r="I1777" s="94">
        <v>0</v>
      </c>
      <c r="J1777" s="94">
        <v>451</v>
      </c>
      <c r="K1777" s="94">
        <v>1.546</v>
      </c>
      <c r="L1777" s="94">
        <v>15</v>
      </c>
      <c r="M1777" s="94">
        <v>0</v>
      </c>
      <c r="N1777" s="94">
        <v>0</v>
      </c>
      <c r="O1777" s="94">
        <v>0</v>
      </c>
    </row>
    <row r="1778" spans="1:15" x14ac:dyDescent="0.25">
      <c r="A1778" s="89">
        <v>45449.833333333336</v>
      </c>
      <c r="B1778" s="94">
        <v>355.4</v>
      </c>
      <c r="C1778" s="94">
        <v>299.74474524210575</v>
      </c>
      <c r="D1778" s="94">
        <v>39.014000902452274</v>
      </c>
      <c r="E1778" s="94">
        <v>2.0092577174428747</v>
      </c>
      <c r="F1778" s="94">
        <v>1.5088530718482331</v>
      </c>
      <c r="G1778" s="94">
        <v>0</v>
      </c>
      <c r="H1778" s="94">
        <v>1</v>
      </c>
      <c r="I1778" s="94">
        <v>0</v>
      </c>
      <c r="J1778" s="94">
        <v>479</v>
      </c>
      <c r="K1778" s="94">
        <v>1.5701020191759238</v>
      </c>
      <c r="L1778" s="94">
        <v>0</v>
      </c>
      <c r="M1778" s="94">
        <v>0</v>
      </c>
      <c r="N1778" s="94">
        <v>0</v>
      </c>
      <c r="O1778" s="94">
        <v>0</v>
      </c>
    </row>
    <row r="1779" spans="1:15" x14ac:dyDescent="0.25">
      <c r="A1779" s="89">
        <v>45450.333333333336</v>
      </c>
      <c r="B1779" s="94">
        <v>355.4</v>
      </c>
      <c r="C1779" s="94">
        <v>299.74086783319183</v>
      </c>
      <c r="D1779" s="94">
        <v>38.496487295057598</v>
      </c>
      <c r="E1779" s="94">
        <v>2.0004016913319238</v>
      </c>
      <c r="F1779" s="94">
        <v>1.2212679575265459</v>
      </c>
      <c r="G1779" s="94">
        <v>0</v>
      </c>
      <c r="H1779" s="94">
        <v>1</v>
      </c>
      <c r="I1779" s="94">
        <v>0</v>
      </c>
      <c r="J1779" s="94">
        <v>479</v>
      </c>
      <c r="K1779" s="94">
        <v>1.5694609469984473</v>
      </c>
      <c r="L1779" s="94">
        <v>0</v>
      </c>
      <c r="M1779" s="94">
        <v>0</v>
      </c>
      <c r="N1779" s="94">
        <v>0</v>
      </c>
      <c r="O1779" s="94">
        <v>0</v>
      </c>
    </row>
    <row r="1780" spans="1:15" x14ac:dyDescent="0.25">
      <c r="A1780" s="89">
        <v>45450.833333333336</v>
      </c>
      <c r="B1780" s="94">
        <v>355.4</v>
      </c>
      <c r="C1780" s="94">
        <v>299.74935187262628</v>
      </c>
      <c r="D1780" s="94">
        <v>39.016817638097528</v>
      </c>
      <c r="E1780" s="94">
        <v>2.0014474545814487</v>
      </c>
      <c r="F1780" s="94">
        <v>1.6</v>
      </c>
      <c r="G1780" s="94">
        <v>0</v>
      </c>
      <c r="H1780" s="94">
        <v>1</v>
      </c>
      <c r="I1780" s="94">
        <v>0</v>
      </c>
      <c r="J1780" s="94">
        <v>481</v>
      </c>
      <c r="K1780" s="94">
        <v>1.5710303737729039</v>
      </c>
      <c r="L1780" s="94">
        <v>0</v>
      </c>
      <c r="M1780" s="94">
        <v>0</v>
      </c>
      <c r="N1780" s="94">
        <v>0</v>
      </c>
      <c r="O1780" s="94">
        <v>0</v>
      </c>
    </row>
    <row r="1781" spans="1:15" x14ac:dyDescent="0.25">
      <c r="A1781" s="89">
        <v>45451.333333333336</v>
      </c>
      <c r="B1781" s="94">
        <v>355.4</v>
      </c>
      <c r="C1781" s="94">
        <v>299.74</v>
      </c>
      <c r="D1781" s="94">
        <v>38.6</v>
      </c>
      <c r="E1781" s="94">
        <v>2.0234537956315868</v>
      </c>
      <c r="F1781" s="94">
        <v>1.3855635146354057</v>
      </c>
      <c r="G1781" s="94">
        <v>0</v>
      </c>
      <c r="H1781" s="94">
        <v>1</v>
      </c>
      <c r="I1781" s="94">
        <v>0</v>
      </c>
      <c r="J1781" s="94">
        <v>481</v>
      </c>
      <c r="K1781" s="94">
        <v>1.5704197821396342</v>
      </c>
      <c r="L1781" s="94">
        <v>0</v>
      </c>
      <c r="M1781" s="94">
        <v>0</v>
      </c>
      <c r="N1781" s="94">
        <v>0</v>
      </c>
      <c r="O1781" s="94">
        <v>0</v>
      </c>
    </row>
    <row r="1782" spans="1:15" x14ac:dyDescent="0.25">
      <c r="A1782" s="89">
        <v>45451.833333333336</v>
      </c>
      <c r="B1782" s="94">
        <v>355.4</v>
      </c>
      <c r="C1782" s="94">
        <v>299.74522480431091</v>
      </c>
      <c r="D1782" s="94">
        <v>38.964571707589286</v>
      </c>
      <c r="E1782" s="94">
        <v>2</v>
      </c>
      <c r="F1782" s="94">
        <v>1.6</v>
      </c>
      <c r="G1782" s="94">
        <v>0</v>
      </c>
      <c r="H1782" s="94">
        <v>1</v>
      </c>
      <c r="I1782" s="94">
        <v>0</v>
      </c>
      <c r="J1782" s="94">
        <v>479</v>
      </c>
      <c r="K1782" s="94">
        <v>1.5706117122609926</v>
      </c>
      <c r="L1782" s="94">
        <v>0</v>
      </c>
      <c r="M1782" s="94">
        <v>0</v>
      </c>
      <c r="N1782" s="94">
        <v>0</v>
      </c>
      <c r="O1782" s="94">
        <v>0</v>
      </c>
    </row>
    <row r="1783" spans="1:15" x14ac:dyDescent="0.25">
      <c r="A1783" s="89">
        <v>45452.333333333336</v>
      </c>
      <c r="B1783" s="94">
        <v>355.4</v>
      </c>
      <c r="C1783" s="94">
        <v>299.74</v>
      </c>
      <c r="D1783" s="94">
        <v>35.794833125407294</v>
      </c>
      <c r="E1783" s="94">
        <v>1.9785942335386217</v>
      </c>
      <c r="F1783" s="94">
        <v>1.5548665364583334</v>
      </c>
      <c r="G1783" s="94">
        <v>0</v>
      </c>
      <c r="H1783" s="94">
        <v>1</v>
      </c>
      <c r="I1783" s="94">
        <v>0</v>
      </c>
      <c r="J1783" s="94">
        <v>471</v>
      </c>
      <c r="K1783" s="94">
        <v>1.5641496094078426</v>
      </c>
      <c r="L1783" s="94">
        <v>0</v>
      </c>
      <c r="M1783" s="94">
        <v>0</v>
      </c>
      <c r="N1783" s="94">
        <v>0</v>
      </c>
      <c r="O1783" s="94">
        <v>0</v>
      </c>
    </row>
    <row r="1784" spans="1:15" x14ac:dyDescent="0.25">
      <c r="A1784" s="89">
        <v>45452.833333333336</v>
      </c>
      <c r="B1784" s="94">
        <v>355.4</v>
      </c>
      <c r="C1784" s="94">
        <v>299.74</v>
      </c>
      <c r="D1784" s="94">
        <v>34.1</v>
      </c>
      <c r="E1784" s="94">
        <v>1.939546138566183</v>
      </c>
      <c r="F1784" s="94">
        <v>1.5497708564295505</v>
      </c>
      <c r="G1784" s="94">
        <v>0</v>
      </c>
      <c r="H1784" s="94">
        <v>1</v>
      </c>
      <c r="I1784" s="94">
        <v>0</v>
      </c>
      <c r="J1784" s="94">
        <v>471</v>
      </c>
      <c r="K1784" s="94">
        <v>1.5620000000000001</v>
      </c>
      <c r="L1784" s="94">
        <v>0</v>
      </c>
      <c r="M1784" s="94">
        <v>0</v>
      </c>
      <c r="N1784" s="94">
        <v>0</v>
      </c>
      <c r="O1784" s="94">
        <v>0</v>
      </c>
    </row>
    <row r="1785" spans="1:15" x14ac:dyDescent="0.25">
      <c r="A1785" s="89">
        <v>45453.333333333336</v>
      </c>
      <c r="B1785" s="94">
        <v>355.4</v>
      </c>
      <c r="C1785" s="94">
        <v>299.74</v>
      </c>
      <c r="D1785" s="94">
        <v>36.200000000000003</v>
      </c>
      <c r="E1785" s="94">
        <v>1.9808801269531249</v>
      </c>
      <c r="F1785" s="94">
        <v>1.3</v>
      </c>
      <c r="G1785" s="94">
        <v>0</v>
      </c>
      <c r="H1785" s="94">
        <v>1.0281593551930233</v>
      </c>
      <c r="I1785" s="94">
        <v>0</v>
      </c>
      <c r="J1785" s="94">
        <v>472</v>
      </c>
      <c r="K1785" s="94">
        <v>1.5623927255743713</v>
      </c>
      <c r="L1785" s="94">
        <v>0</v>
      </c>
      <c r="M1785" s="94">
        <v>0</v>
      </c>
      <c r="N1785" s="94">
        <v>0</v>
      </c>
      <c r="O1785" s="94">
        <v>0</v>
      </c>
    </row>
    <row r="1786" spans="1:15" x14ac:dyDescent="0.25">
      <c r="A1786" s="89">
        <v>45453.833333333336</v>
      </c>
      <c r="B1786" s="94">
        <v>355.4</v>
      </c>
      <c r="C1786" s="94">
        <v>299.74</v>
      </c>
      <c r="D1786" s="94">
        <v>36.539831252261635</v>
      </c>
      <c r="E1786" s="94">
        <v>1.9855860699557049</v>
      </c>
      <c r="F1786" s="94">
        <v>1.3696276576257524</v>
      </c>
      <c r="G1786" s="94">
        <v>0</v>
      </c>
      <c r="H1786" s="94">
        <v>1.0527748955452478</v>
      </c>
      <c r="I1786" s="94">
        <v>0</v>
      </c>
      <c r="J1786" s="94">
        <v>474</v>
      </c>
      <c r="K1786" s="94">
        <v>1.5637736398972586</v>
      </c>
      <c r="L1786" s="94">
        <v>0</v>
      </c>
      <c r="M1786" s="94">
        <v>0</v>
      </c>
      <c r="N1786" s="94">
        <v>0</v>
      </c>
      <c r="O1786" s="94">
        <v>0</v>
      </c>
    </row>
    <row r="1787" spans="1:15" x14ac:dyDescent="0.25">
      <c r="A1787" s="89">
        <v>45454.333333333336</v>
      </c>
      <c r="B1787" s="94">
        <v>355.4</v>
      </c>
      <c r="C1787" s="94">
        <v>299.74</v>
      </c>
      <c r="D1787" s="94">
        <v>34.299999999999997</v>
      </c>
      <c r="E1787" s="94">
        <v>1.95</v>
      </c>
      <c r="F1787" s="94">
        <v>1.1000000000000001</v>
      </c>
      <c r="G1787" s="94">
        <v>0</v>
      </c>
      <c r="H1787" s="94">
        <v>1.1635064667808206</v>
      </c>
      <c r="I1787" s="94">
        <v>0</v>
      </c>
      <c r="J1787" s="94">
        <v>470</v>
      </c>
      <c r="K1787" s="94">
        <v>1.5626271203477895</v>
      </c>
      <c r="L1787" s="94">
        <v>0</v>
      </c>
      <c r="M1787" s="94">
        <v>0</v>
      </c>
      <c r="N1787" s="94">
        <v>0</v>
      </c>
      <c r="O1787" s="94">
        <v>0</v>
      </c>
    </row>
    <row r="1788" spans="1:15" x14ac:dyDescent="0.25">
      <c r="A1788" s="89">
        <v>45454.833333333336</v>
      </c>
      <c r="B1788" s="94">
        <v>355.4</v>
      </c>
      <c r="C1788" s="94">
        <v>299.99</v>
      </c>
      <c r="D1788" s="94">
        <v>58.924125202111107</v>
      </c>
      <c r="E1788" s="94">
        <v>4.4736909626918777</v>
      </c>
      <c r="F1788" s="94">
        <v>1.3812789170693764</v>
      </c>
      <c r="G1788" s="94">
        <v>0</v>
      </c>
      <c r="H1788" s="94">
        <v>1</v>
      </c>
      <c r="I1788" s="94">
        <v>0</v>
      </c>
      <c r="J1788" s="94">
        <v>845</v>
      </c>
      <c r="K1788" s="94">
        <v>1.8022553543632933</v>
      </c>
      <c r="L1788" s="94">
        <v>0</v>
      </c>
      <c r="M1788" s="94">
        <v>0</v>
      </c>
      <c r="N1788" s="94">
        <v>0</v>
      </c>
      <c r="O1788" s="94">
        <v>0</v>
      </c>
    </row>
    <row r="1789" spans="1:15" x14ac:dyDescent="0.25">
      <c r="A1789" s="89">
        <v>45455.333333333336</v>
      </c>
      <c r="B1789" s="94">
        <v>355.4</v>
      </c>
      <c r="C1789" s="94">
        <v>299.99</v>
      </c>
      <c r="D1789" s="94">
        <v>60.531447978945664</v>
      </c>
      <c r="E1789" s="94">
        <v>4.4311188853828449</v>
      </c>
      <c r="F1789" s="94">
        <v>1.3013992999687349</v>
      </c>
      <c r="G1789" s="94">
        <v>0</v>
      </c>
      <c r="H1789" s="94">
        <v>1</v>
      </c>
      <c r="I1789" s="94">
        <v>0</v>
      </c>
      <c r="J1789" s="94">
        <v>849</v>
      </c>
      <c r="K1789" s="94">
        <v>1.8049999999999999</v>
      </c>
      <c r="L1789" s="94">
        <v>0</v>
      </c>
      <c r="M1789" s="94">
        <v>0</v>
      </c>
      <c r="N1789" s="94">
        <v>0</v>
      </c>
      <c r="O1789" s="94">
        <v>0</v>
      </c>
    </row>
    <row r="1790" spans="1:15" x14ac:dyDescent="0.25">
      <c r="A1790" s="89">
        <v>45455.833333333336</v>
      </c>
      <c r="B1790" s="94">
        <v>355.4</v>
      </c>
      <c r="C1790" s="94">
        <v>300.13</v>
      </c>
      <c r="D1790" s="94">
        <v>83.2</v>
      </c>
      <c r="E1790" s="94">
        <v>6.6951546407436142</v>
      </c>
      <c r="F1790" s="94">
        <v>1.3</v>
      </c>
      <c r="G1790" s="94">
        <v>0</v>
      </c>
      <c r="H1790" s="94">
        <v>1.0203296077311712</v>
      </c>
      <c r="I1790" s="94">
        <v>0</v>
      </c>
      <c r="J1790" s="94">
        <v>1184</v>
      </c>
      <c r="K1790" s="94">
        <v>1.9581900342155696</v>
      </c>
      <c r="L1790" s="94">
        <v>0</v>
      </c>
      <c r="M1790" s="94">
        <v>0</v>
      </c>
      <c r="N1790" s="94">
        <v>0</v>
      </c>
      <c r="O1790" s="94">
        <v>0</v>
      </c>
    </row>
    <row r="1791" spans="1:15" x14ac:dyDescent="0.25">
      <c r="A1791" s="89">
        <v>45456.333333333336</v>
      </c>
      <c r="B1791" s="94">
        <v>355.4</v>
      </c>
      <c r="C1791" s="94">
        <v>300.12511031266723</v>
      </c>
      <c r="D1791" s="94">
        <v>80.225206624485622</v>
      </c>
      <c r="E1791" s="94">
        <v>6.6694018168545703</v>
      </c>
      <c r="F1791" s="94">
        <v>0.9955031858784793</v>
      </c>
      <c r="G1791" s="94">
        <v>0</v>
      </c>
      <c r="H1791" s="94">
        <v>1.1235348199319348</v>
      </c>
      <c r="I1791" s="94">
        <v>0</v>
      </c>
      <c r="J1791" s="94">
        <v>1182</v>
      </c>
      <c r="K1791" s="94">
        <v>1.9564693311360775</v>
      </c>
      <c r="L1791" s="94">
        <v>0</v>
      </c>
      <c r="M1791" s="94">
        <v>0</v>
      </c>
      <c r="N1791" s="94">
        <v>0</v>
      </c>
      <c r="O1791" s="94">
        <v>0</v>
      </c>
    </row>
    <row r="1792" spans="1:15" x14ac:dyDescent="0.25">
      <c r="A1792" s="89">
        <v>45456.833333333336</v>
      </c>
      <c r="B1792" s="94">
        <v>355.4</v>
      </c>
      <c r="C1792" s="94">
        <v>300.3</v>
      </c>
      <c r="D1792" s="94">
        <v>88.4</v>
      </c>
      <c r="E1792" s="94">
        <v>7.0047707338821885</v>
      </c>
      <c r="F1792" s="94">
        <v>1.2</v>
      </c>
      <c r="G1792" s="94">
        <v>0</v>
      </c>
      <c r="H1792" s="94">
        <v>0.1</v>
      </c>
      <c r="I1792" s="94">
        <v>0</v>
      </c>
      <c r="J1792" s="94">
        <v>1690</v>
      </c>
      <c r="K1792" s="94">
        <v>2.1349999999999998</v>
      </c>
      <c r="L1792" s="94">
        <v>13</v>
      </c>
      <c r="M1792" s="94">
        <v>0</v>
      </c>
      <c r="N1792" s="94">
        <v>0</v>
      </c>
      <c r="O1792" s="94">
        <v>0</v>
      </c>
    </row>
    <row r="1793" spans="1:15" x14ac:dyDescent="0.25">
      <c r="A1793" s="89">
        <v>45457.333333333336</v>
      </c>
      <c r="B1793" s="94">
        <v>355.4</v>
      </c>
      <c r="C1793" s="94">
        <v>300.30046664573973</v>
      </c>
      <c r="D1793" s="94">
        <v>87.9</v>
      </c>
      <c r="E1793" s="94">
        <v>6.9845030091126166</v>
      </c>
      <c r="F1793" s="94">
        <v>1.1953856043098303</v>
      </c>
      <c r="G1793" s="94">
        <v>0</v>
      </c>
      <c r="H1793" s="94">
        <v>0.19793852395272477</v>
      </c>
      <c r="I1793" s="94">
        <v>0</v>
      </c>
      <c r="J1793" s="94">
        <v>1687</v>
      </c>
      <c r="K1793" s="94">
        <v>2.1341039346525097</v>
      </c>
      <c r="L1793" s="94">
        <v>13</v>
      </c>
      <c r="M1793" s="94">
        <v>0</v>
      </c>
      <c r="N1793" s="94">
        <v>0</v>
      </c>
      <c r="O1793" s="94">
        <v>0</v>
      </c>
    </row>
    <row r="1794" spans="1:15" x14ac:dyDescent="0.25">
      <c r="A1794" s="89">
        <v>45457.833333333336</v>
      </c>
      <c r="B1794" s="94">
        <v>355.4</v>
      </c>
      <c r="C1794" s="94">
        <v>300.27</v>
      </c>
      <c r="D1794" s="94">
        <v>40.213127060294852</v>
      </c>
      <c r="E1794" s="94">
        <v>2.4990396118164062</v>
      </c>
      <c r="F1794" s="94">
        <v>1.4990861294664442</v>
      </c>
      <c r="G1794" s="94">
        <v>0</v>
      </c>
      <c r="H1794" s="94">
        <v>41.694396211523284</v>
      </c>
      <c r="I1794" s="94">
        <v>4.5355936262319245</v>
      </c>
      <c r="J1794" s="94">
        <v>1687</v>
      </c>
      <c r="K1794" s="94">
        <v>2.1349999999999998</v>
      </c>
      <c r="L1794" s="94">
        <v>0</v>
      </c>
      <c r="M1794" s="94">
        <v>0</v>
      </c>
      <c r="N1794" s="94">
        <v>0</v>
      </c>
      <c r="O1794" s="94">
        <v>0</v>
      </c>
    </row>
    <row r="1795" spans="1:15" x14ac:dyDescent="0.25">
      <c r="A1795" s="89">
        <v>45458.333333333336</v>
      </c>
      <c r="B1795" s="94">
        <v>355.4</v>
      </c>
      <c r="C1795" s="94">
        <v>300.2764202369313</v>
      </c>
      <c r="D1795" s="94">
        <v>40.6</v>
      </c>
      <c r="E1795" s="94">
        <v>2.4727627921185276</v>
      </c>
      <c r="F1795" s="94">
        <v>1.3712760291782029</v>
      </c>
      <c r="G1795" s="94">
        <v>0</v>
      </c>
      <c r="H1795" s="94">
        <v>41.424934787950541</v>
      </c>
      <c r="I1795" s="94">
        <v>4.5235764153531903</v>
      </c>
      <c r="J1795" s="94">
        <v>1693</v>
      </c>
      <c r="K1795" s="94">
        <v>2.1385762890700075</v>
      </c>
      <c r="L1795" s="94">
        <v>0</v>
      </c>
      <c r="M1795" s="94">
        <v>0</v>
      </c>
      <c r="N1795" s="94">
        <v>0</v>
      </c>
      <c r="O1795" s="94">
        <v>0</v>
      </c>
    </row>
    <row r="1796" spans="1:15" x14ac:dyDescent="0.25">
      <c r="A1796" s="89">
        <v>45458.833333333336</v>
      </c>
      <c r="B1796" s="94">
        <v>355.4</v>
      </c>
      <c r="C1796" s="94">
        <v>300.27650832857023</v>
      </c>
      <c r="D1796" s="94">
        <v>39.402200317382814</v>
      </c>
      <c r="E1796" s="94">
        <v>2.4973753981495528</v>
      </c>
      <c r="F1796" s="94">
        <v>1.3273222181532118</v>
      </c>
      <c r="G1796" s="94">
        <v>0</v>
      </c>
      <c r="H1796" s="94">
        <v>41.43791413152011</v>
      </c>
      <c r="I1796" s="94">
        <v>4.5308086253369275</v>
      </c>
      <c r="J1796" s="94">
        <v>1684</v>
      </c>
      <c r="K1796" s="94">
        <v>2.1350355209383824</v>
      </c>
      <c r="L1796" s="94">
        <v>0</v>
      </c>
      <c r="M1796" s="94">
        <v>0</v>
      </c>
      <c r="N1796" s="94">
        <v>0</v>
      </c>
      <c r="O1796" s="94">
        <v>0</v>
      </c>
    </row>
    <row r="1797" spans="1:15" x14ac:dyDescent="0.25">
      <c r="A1797" s="89">
        <v>45459.333333333336</v>
      </c>
      <c r="B1797" s="94">
        <v>355.4</v>
      </c>
      <c r="C1797" s="94">
        <v>300.27889923527044</v>
      </c>
      <c r="D1797" s="94">
        <v>40.523699951171878</v>
      </c>
      <c r="E1797" s="94">
        <v>2.4623699951171876</v>
      </c>
      <c r="F1797" s="94">
        <v>1.1000000000000001</v>
      </c>
      <c r="G1797" s="94">
        <v>0</v>
      </c>
      <c r="H1797" s="94">
        <v>41.647402688603535</v>
      </c>
      <c r="I1797" s="94">
        <v>4.4432167192573289</v>
      </c>
      <c r="J1797" s="94">
        <v>1684</v>
      </c>
      <c r="K1797" s="94">
        <v>2.1350631958970978</v>
      </c>
      <c r="L1797" s="94">
        <v>0</v>
      </c>
      <c r="M1797" s="94">
        <v>0</v>
      </c>
      <c r="N1797" s="94">
        <v>0</v>
      </c>
      <c r="O1797" s="94">
        <v>0</v>
      </c>
    </row>
    <row r="1798" spans="1:15" x14ac:dyDescent="0.25">
      <c r="A1798" s="89">
        <v>45459.833333333336</v>
      </c>
      <c r="B1798" s="94">
        <v>355.4</v>
      </c>
      <c r="C1798" s="94">
        <v>300.03819820039507</v>
      </c>
      <c r="D1798" s="94">
        <v>70.230224514092896</v>
      </c>
      <c r="E1798" s="94">
        <v>5.3403601074218745</v>
      </c>
      <c r="F1798" s="94">
        <v>1.3</v>
      </c>
      <c r="G1798" s="94">
        <v>0</v>
      </c>
      <c r="H1798" s="94">
        <v>1.7803355834028881E-2</v>
      </c>
      <c r="I1798" s="94">
        <v>0</v>
      </c>
      <c r="J1798" s="94">
        <v>950</v>
      </c>
      <c r="K1798" s="94">
        <v>1.8554707005527262</v>
      </c>
      <c r="L1798" s="94">
        <v>0</v>
      </c>
      <c r="M1798" s="94">
        <v>0</v>
      </c>
      <c r="N1798" s="94">
        <v>0</v>
      </c>
      <c r="O1798" s="94">
        <v>0</v>
      </c>
    </row>
    <row r="1799" spans="1:15" x14ac:dyDescent="0.25">
      <c r="A1799" s="89">
        <v>45460.333333333336</v>
      </c>
      <c r="B1799" s="94">
        <v>355.4</v>
      </c>
      <c r="C1799" s="94">
        <v>300.03235992431638</v>
      </c>
      <c r="D1799" s="94">
        <v>69.649976121840467</v>
      </c>
      <c r="E1799" s="94">
        <v>5.3528062804068997</v>
      </c>
      <c r="F1799" s="94">
        <v>0.93027761521826136</v>
      </c>
      <c r="G1799" s="94">
        <v>0</v>
      </c>
      <c r="H1799" s="94">
        <v>1</v>
      </c>
      <c r="I1799" s="94">
        <v>0</v>
      </c>
      <c r="J1799" s="94">
        <v>950</v>
      </c>
      <c r="K1799" s="94">
        <v>1.8544281914254064</v>
      </c>
      <c r="L1799" s="94">
        <v>0</v>
      </c>
      <c r="M1799" s="94">
        <v>0</v>
      </c>
      <c r="N1799" s="94">
        <v>0</v>
      </c>
      <c r="O1799" s="94">
        <v>0</v>
      </c>
    </row>
    <row r="1800" spans="1:15" x14ac:dyDescent="0.25">
      <c r="A1800" s="89">
        <v>45460.833333333336</v>
      </c>
      <c r="B1800" s="94">
        <v>355.99</v>
      </c>
      <c r="C1800" s="94">
        <v>299.75841334025063</v>
      </c>
      <c r="D1800" s="94">
        <v>36.897847121986239</v>
      </c>
      <c r="E1800" s="94">
        <v>2.17</v>
      </c>
      <c r="F1800" s="94">
        <v>1.3</v>
      </c>
      <c r="G1800" s="94">
        <v>0</v>
      </c>
      <c r="H1800" s="94">
        <v>1</v>
      </c>
      <c r="I1800" s="94">
        <v>0</v>
      </c>
      <c r="J1800" s="94">
        <v>488</v>
      </c>
      <c r="K1800" s="94">
        <v>1.5780000000000001</v>
      </c>
      <c r="L1800" s="94">
        <v>0</v>
      </c>
      <c r="M1800" s="94">
        <v>0</v>
      </c>
      <c r="N1800" s="94">
        <v>0</v>
      </c>
      <c r="O1800" s="94">
        <v>0</v>
      </c>
    </row>
    <row r="1801" spans="1:15" x14ac:dyDescent="0.25">
      <c r="A1801" s="89">
        <v>45461.333333333336</v>
      </c>
      <c r="B1801" s="94">
        <v>356.03</v>
      </c>
      <c r="C1801" s="94">
        <v>299.75031501770019</v>
      </c>
      <c r="D1801" s="94">
        <v>35.732463315171074</v>
      </c>
      <c r="E1801" s="94">
        <v>2.1780621017651902</v>
      </c>
      <c r="F1801" s="94">
        <v>0.98402419371289851</v>
      </c>
      <c r="G1801" s="94">
        <v>0</v>
      </c>
      <c r="H1801" s="94">
        <v>1.0726765897017831</v>
      </c>
      <c r="I1801" s="94">
        <v>0</v>
      </c>
      <c r="J1801" s="94">
        <v>488</v>
      </c>
      <c r="K1801" s="94">
        <v>1.577</v>
      </c>
      <c r="L1801" s="94">
        <v>0</v>
      </c>
      <c r="M1801" s="94">
        <v>0</v>
      </c>
      <c r="N1801" s="94">
        <v>0</v>
      </c>
      <c r="O1801" s="94">
        <v>0</v>
      </c>
    </row>
    <row r="1802" spans="1:15" x14ac:dyDescent="0.25">
      <c r="A1802" s="89">
        <v>45461.833333333336</v>
      </c>
      <c r="B1802" s="94">
        <v>356.03</v>
      </c>
      <c r="C1802" s="94">
        <v>299.75309331417969</v>
      </c>
      <c r="D1802" s="94">
        <v>36.331396866442262</v>
      </c>
      <c r="E1802" s="94">
        <v>2.1703892366028597</v>
      </c>
      <c r="F1802" s="94">
        <v>1.134621935903759</v>
      </c>
      <c r="G1802" s="94">
        <v>0</v>
      </c>
      <c r="H1802" s="94">
        <v>1</v>
      </c>
      <c r="I1802" s="94">
        <v>0</v>
      </c>
      <c r="J1802" s="94">
        <v>490</v>
      </c>
      <c r="K1802" s="94">
        <v>1.577</v>
      </c>
      <c r="L1802" s="94">
        <v>0</v>
      </c>
      <c r="M1802" s="94">
        <v>0</v>
      </c>
      <c r="N1802" s="94">
        <v>0</v>
      </c>
      <c r="O1802" s="94">
        <v>0</v>
      </c>
    </row>
    <row r="1803" spans="1:15" x14ac:dyDescent="0.25">
      <c r="A1803" s="89">
        <v>45462.333333333336</v>
      </c>
      <c r="B1803" s="94">
        <v>356.07</v>
      </c>
      <c r="C1803" s="94">
        <v>299.75852298335639</v>
      </c>
      <c r="D1803" s="94">
        <v>35.408569411921881</v>
      </c>
      <c r="E1803" s="94">
        <v>2.1610946965671167</v>
      </c>
      <c r="F1803" s="94">
        <v>0.82407548550349075</v>
      </c>
      <c r="G1803" s="94">
        <v>0</v>
      </c>
      <c r="H1803" s="94">
        <v>1.087053125357538</v>
      </c>
      <c r="I1803" s="94">
        <v>0</v>
      </c>
      <c r="J1803" s="94">
        <v>487</v>
      </c>
      <c r="K1803" s="94">
        <v>1.577</v>
      </c>
      <c r="L1803" s="94">
        <v>0</v>
      </c>
      <c r="M1803" s="94">
        <v>0</v>
      </c>
      <c r="N1803" s="94">
        <v>0</v>
      </c>
      <c r="O1803" s="94">
        <v>0</v>
      </c>
    </row>
    <row r="1804" spans="1:15" x14ac:dyDescent="0.25">
      <c r="A1804" s="89">
        <v>45462.833333333336</v>
      </c>
      <c r="B1804" s="94">
        <v>356.07</v>
      </c>
      <c r="C1804" s="94">
        <v>299.83999999999997</v>
      </c>
      <c r="D1804" s="94">
        <v>47.8</v>
      </c>
      <c r="E1804" s="94">
        <v>3.0171848873863585</v>
      </c>
      <c r="F1804" s="94">
        <v>0.90312788702652769</v>
      </c>
      <c r="G1804" s="94">
        <v>0</v>
      </c>
      <c r="H1804" s="94">
        <v>1</v>
      </c>
      <c r="I1804" s="94">
        <v>0</v>
      </c>
      <c r="J1804" s="94">
        <v>598</v>
      </c>
      <c r="K1804" s="94">
        <v>1.663</v>
      </c>
      <c r="L1804" s="94">
        <v>0</v>
      </c>
      <c r="M1804" s="94">
        <v>0</v>
      </c>
      <c r="N1804" s="94">
        <v>0</v>
      </c>
      <c r="O1804" s="94">
        <v>0</v>
      </c>
    </row>
    <row r="1805" spans="1:15" x14ac:dyDescent="0.25">
      <c r="A1805" s="89">
        <v>45463.333333333336</v>
      </c>
      <c r="B1805" s="94">
        <v>356.11</v>
      </c>
      <c r="C1805" s="94">
        <v>299.84377997209549</v>
      </c>
      <c r="D1805" s="94">
        <v>47.895803138255104</v>
      </c>
      <c r="E1805" s="94">
        <v>2.99</v>
      </c>
      <c r="F1805" s="94">
        <v>0.8</v>
      </c>
      <c r="G1805" s="94">
        <v>0</v>
      </c>
      <c r="H1805" s="94">
        <v>1.1246367856299189</v>
      </c>
      <c r="I1805" s="94">
        <v>0</v>
      </c>
      <c r="J1805" s="94">
        <v>599</v>
      </c>
      <c r="K1805" s="94">
        <v>1.6623759880031714</v>
      </c>
      <c r="L1805" s="94">
        <v>0</v>
      </c>
      <c r="M1805" s="94">
        <v>0</v>
      </c>
      <c r="N1805" s="94">
        <v>0</v>
      </c>
      <c r="O1805" s="94">
        <v>0</v>
      </c>
    </row>
    <row r="1806" spans="1:15" x14ac:dyDescent="0.25">
      <c r="A1806" s="89">
        <v>45463.833333333336</v>
      </c>
      <c r="B1806" s="94">
        <v>356.11</v>
      </c>
      <c r="C1806" s="94">
        <v>299.75943646744821</v>
      </c>
      <c r="D1806" s="94">
        <v>37.200000000000003</v>
      </c>
      <c r="E1806" s="94">
        <v>2.1607792564137744</v>
      </c>
      <c r="F1806" s="94">
        <v>1.1000000000000001</v>
      </c>
      <c r="G1806" s="94">
        <v>0</v>
      </c>
      <c r="H1806" s="94">
        <v>1.0659332275390625</v>
      </c>
      <c r="I1806" s="94">
        <v>0</v>
      </c>
      <c r="J1806" s="94">
        <v>487</v>
      </c>
      <c r="K1806" s="94">
        <v>1.575106799915295</v>
      </c>
      <c r="L1806" s="94">
        <v>0</v>
      </c>
      <c r="M1806" s="94">
        <v>0</v>
      </c>
      <c r="N1806" s="94">
        <v>0</v>
      </c>
      <c r="O1806" s="94">
        <v>0</v>
      </c>
    </row>
    <row r="1807" spans="1:15" x14ac:dyDescent="0.25">
      <c r="A1807" s="89">
        <v>45464.333333333336</v>
      </c>
      <c r="B1807" s="94">
        <v>356.11179091636296</v>
      </c>
      <c r="C1807" s="94">
        <v>299.75271011352538</v>
      </c>
      <c r="D1807" s="94">
        <v>35.4</v>
      </c>
      <c r="E1807" s="94">
        <v>2.1805410028867747</v>
      </c>
      <c r="F1807" s="94">
        <v>1.0914360385004551</v>
      </c>
      <c r="G1807" s="94">
        <v>0</v>
      </c>
      <c r="H1807" s="94">
        <v>1.1000000000000001</v>
      </c>
      <c r="I1807" s="94">
        <v>0</v>
      </c>
      <c r="J1807" s="94">
        <v>486</v>
      </c>
      <c r="K1807" s="94">
        <v>1.5763157987180347</v>
      </c>
      <c r="L1807" s="94">
        <v>0</v>
      </c>
      <c r="M1807" s="94">
        <v>0</v>
      </c>
      <c r="N1807" s="94">
        <v>0</v>
      </c>
      <c r="O1807" s="94">
        <v>0</v>
      </c>
    </row>
    <row r="1808" spans="1:15" x14ac:dyDescent="0.25">
      <c r="A1808" s="89">
        <v>45464.833333333336</v>
      </c>
      <c r="B1808" s="94">
        <v>356.14</v>
      </c>
      <c r="C1808" s="94">
        <v>299.75</v>
      </c>
      <c r="D1808" s="94">
        <v>36.700000000000003</v>
      </c>
      <c r="E1808" s="94">
        <v>2.1841374267224043</v>
      </c>
      <c r="F1808" s="94">
        <v>1.1000000000000001</v>
      </c>
      <c r="G1808" s="94">
        <v>0</v>
      </c>
      <c r="H1808" s="94">
        <v>1.0875862290586573</v>
      </c>
      <c r="I1808" s="94">
        <v>0</v>
      </c>
      <c r="J1808" s="94">
        <v>487</v>
      </c>
      <c r="K1808" s="94">
        <v>1.5760000000000001</v>
      </c>
      <c r="L1808" s="94">
        <v>0</v>
      </c>
      <c r="M1808" s="94">
        <v>0</v>
      </c>
      <c r="N1808" s="94">
        <v>0</v>
      </c>
      <c r="O1808" s="94">
        <v>0</v>
      </c>
    </row>
    <row r="1809" spans="1:15" x14ac:dyDescent="0.25">
      <c r="A1809" s="89">
        <v>45465.333333333336</v>
      </c>
      <c r="B1809" s="94">
        <v>356.14</v>
      </c>
      <c r="C1809" s="94">
        <v>299.75513821491364</v>
      </c>
      <c r="D1809" s="94">
        <v>35.4</v>
      </c>
      <c r="E1809" s="94">
        <v>2.157155302991796</v>
      </c>
      <c r="F1809" s="94">
        <v>0.80792240754169697</v>
      </c>
      <c r="G1809" s="94">
        <v>0</v>
      </c>
      <c r="H1809" s="94">
        <v>1.0484251710211736</v>
      </c>
      <c r="I1809" s="94">
        <v>0</v>
      </c>
      <c r="J1809" s="94">
        <v>486</v>
      </c>
      <c r="K1809" s="94">
        <v>1.5760000000000001</v>
      </c>
      <c r="L1809" s="94">
        <v>0</v>
      </c>
      <c r="M1809" s="94">
        <v>0</v>
      </c>
      <c r="N1809" s="94">
        <v>0</v>
      </c>
      <c r="O1809" s="94">
        <v>0</v>
      </c>
    </row>
    <row r="1810" spans="1:15" x14ac:dyDescent="0.25">
      <c r="A1810" s="89">
        <v>45465.833333333336</v>
      </c>
      <c r="B1810" s="94">
        <v>356.14</v>
      </c>
      <c r="C1810" s="94">
        <v>299.75522106811286</v>
      </c>
      <c r="D1810" s="94">
        <v>35.776476607963829</v>
      </c>
      <c r="E1810" s="94">
        <v>2.1588187136289352</v>
      </c>
      <c r="F1810" s="94">
        <v>1.0103706945894078</v>
      </c>
      <c r="G1810" s="94">
        <v>0</v>
      </c>
      <c r="H1810" s="94">
        <v>1.0021639564687592</v>
      </c>
      <c r="I1810" s="94">
        <v>0</v>
      </c>
      <c r="J1810" s="94">
        <v>486</v>
      </c>
      <c r="K1810" s="94">
        <v>1.5757773290533361</v>
      </c>
      <c r="L1810" s="94">
        <v>0</v>
      </c>
      <c r="M1810" s="94">
        <v>0</v>
      </c>
      <c r="N1810" s="94">
        <v>0</v>
      </c>
      <c r="O1810" s="94">
        <v>0</v>
      </c>
    </row>
    <row r="1811" spans="1:15" x14ac:dyDescent="0.25">
      <c r="A1811" s="89">
        <v>45466.333333333336</v>
      </c>
      <c r="B1811" s="94">
        <v>356.14</v>
      </c>
      <c r="C1811" s="94">
        <v>299.75409928458078</v>
      </c>
      <c r="D1811" s="94">
        <v>36.482619421044788</v>
      </c>
      <c r="E1811" s="94">
        <v>2.1705707870660294</v>
      </c>
      <c r="F1811" s="94">
        <v>0.78426717122395839</v>
      </c>
      <c r="G1811" s="94">
        <v>0</v>
      </c>
      <c r="H1811" s="94">
        <v>1.1000000000000001</v>
      </c>
      <c r="I1811" s="94">
        <v>0</v>
      </c>
      <c r="J1811" s="94">
        <v>487</v>
      </c>
      <c r="K1811" s="94">
        <v>1.5742646028968046</v>
      </c>
      <c r="L1811" s="94">
        <v>0</v>
      </c>
      <c r="M1811" s="94">
        <v>0</v>
      </c>
      <c r="N1811" s="94">
        <v>0</v>
      </c>
      <c r="O1811" s="94">
        <v>0</v>
      </c>
    </row>
    <row r="1812" spans="1:15" x14ac:dyDescent="0.25">
      <c r="A1812" s="89">
        <v>45466.833333333336</v>
      </c>
      <c r="B1812" s="94">
        <v>356.14</v>
      </c>
      <c r="C1812" s="94">
        <v>299.75</v>
      </c>
      <c r="D1812" s="94">
        <v>34.609633661913492</v>
      </c>
      <c r="E1812" s="94">
        <v>2.1879943046841688</v>
      </c>
      <c r="F1812" s="94">
        <v>0.9</v>
      </c>
      <c r="G1812" s="94">
        <v>0</v>
      </c>
      <c r="H1812" s="94">
        <v>1.1522504627409769</v>
      </c>
      <c r="I1812" s="94">
        <v>0</v>
      </c>
      <c r="J1812" s="94">
        <v>487</v>
      </c>
      <c r="K1812" s="94">
        <v>1.5755896737166066</v>
      </c>
      <c r="L1812" s="94">
        <v>0</v>
      </c>
      <c r="M1812" s="94">
        <v>0</v>
      </c>
      <c r="N1812" s="94">
        <v>0</v>
      </c>
      <c r="O1812" s="94">
        <v>0</v>
      </c>
    </row>
    <row r="1813" spans="1:15" x14ac:dyDescent="0.25">
      <c r="A1813" s="89">
        <v>45467.333333333336</v>
      </c>
      <c r="B1813" s="94">
        <v>356.14658891656205</v>
      </c>
      <c r="C1813" s="94">
        <v>299.75166804997082</v>
      </c>
      <c r="D1813" s="94">
        <v>36</v>
      </c>
      <c r="E1813" s="94">
        <v>2.1513604736328125</v>
      </c>
      <c r="F1813" s="94">
        <v>0.7</v>
      </c>
      <c r="G1813" s="94">
        <v>0</v>
      </c>
      <c r="H1813" s="94">
        <v>1.1897951551211219</v>
      </c>
      <c r="I1813" s="94">
        <v>0</v>
      </c>
      <c r="J1813" s="94">
        <v>486</v>
      </c>
      <c r="K1813" s="94">
        <v>1.5740000000000001</v>
      </c>
      <c r="L1813" s="94">
        <v>0</v>
      </c>
      <c r="M1813" s="94">
        <v>0</v>
      </c>
      <c r="N1813" s="94">
        <v>0</v>
      </c>
      <c r="O1813" s="94">
        <v>0</v>
      </c>
    </row>
    <row r="1814" spans="1:15" x14ac:dyDescent="0.25">
      <c r="A1814" s="89">
        <v>45467.833333333336</v>
      </c>
      <c r="B1814" s="94">
        <v>356.23</v>
      </c>
      <c r="C1814" s="94">
        <v>299.75059037130467</v>
      </c>
      <c r="D1814" s="94">
        <v>35.6</v>
      </c>
      <c r="E1814" s="94">
        <v>2.1788800048828123</v>
      </c>
      <c r="F1814" s="94">
        <v>0.88504051163938469</v>
      </c>
      <c r="G1814" s="94">
        <v>0</v>
      </c>
      <c r="H1814" s="94">
        <v>1.1860377817908812</v>
      </c>
      <c r="I1814" s="94">
        <v>0</v>
      </c>
      <c r="J1814" s="94">
        <v>484</v>
      </c>
      <c r="K1814" s="94">
        <v>1.573225989999907</v>
      </c>
      <c r="L1814" s="94">
        <v>-2</v>
      </c>
      <c r="M1814" s="94">
        <v>-2</v>
      </c>
      <c r="N1814" s="94">
        <v>0</v>
      </c>
      <c r="O1814" s="94">
        <v>-2</v>
      </c>
    </row>
    <row r="1815" spans="1:15" x14ac:dyDescent="0.25">
      <c r="A1815" s="89">
        <v>45468.333333333336</v>
      </c>
      <c r="B1815" s="94">
        <v>356.23242771730895</v>
      </c>
      <c r="C1815" s="94">
        <v>299.74045466983648</v>
      </c>
      <c r="D1815" s="94">
        <v>34.299999999999997</v>
      </c>
      <c r="E1815" s="94">
        <v>2.1658661669256789</v>
      </c>
      <c r="F1815" s="94">
        <v>0.7</v>
      </c>
      <c r="G1815" s="94">
        <v>0</v>
      </c>
      <c r="H1815" s="94">
        <v>1.2</v>
      </c>
      <c r="I1815" s="94">
        <v>0</v>
      </c>
      <c r="J1815" s="94">
        <v>485</v>
      </c>
      <c r="K1815" s="94">
        <v>1.5736931333912711</v>
      </c>
      <c r="L1815" s="94">
        <v>-2</v>
      </c>
      <c r="M1815" s="94">
        <v>-2</v>
      </c>
      <c r="N1815" s="94">
        <v>0</v>
      </c>
      <c r="O1815" s="94">
        <v>-2</v>
      </c>
    </row>
    <row r="1816" spans="1:15" x14ac:dyDescent="0.25">
      <c r="A1816" s="89">
        <v>45468.833333333336</v>
      </c>
      <c r="B1816" s="94">
        <v>356.26</v>
      </c>
      <c r="C1816" s="94">
        <v>299.76</v>
      </c>
      <c r="D1816" s="94">
        <v>1.8169556766991144E-2</v>
      </c>
      <c r="E1816" s="94">
        <v>0</v>
      </c>
      <c r="F1816" s="94">
        <v>42.677247318828407</v>
      </c>
      <c r="G1816" s="94">
        <v>2.2173693966970003</v>
      </c>
      <c r="H1816" s="94">
        <v>1.2</v>
      </c>
      <c r="I1816" s="94">
        <v>0</v>
      </c>
      <c r="J1816" s="94">
        <v>491</v>
      </c>
      <c r="K1816" s="94">
        <v>1.581</v>
      </c>
      <c r="L1816" s="94">
        <v>-2</v>
      </c>
      <c r="M1816" s="94">
        <v>-2</v>
      </c>
      <c r="N1816" s="94">
        <v>0</v>
      </c>
      <c r="O1816" s="94">
        <v>-2</v>
      </c>
    </row>
    <row r="1817" spans="1:15" x14ac:dyDescent="0.25">
      <c r="A1817" s="89">
        <v>45469.333333333336</v>
      </c>
      <c r="B1817" s="94">
        <v>356.26189199039936</v>
      </c>
      <c r="C1817" s="94">
        <v>299.76</v>
      </c>
      <c r="D1817" s="94">
        <v>4.5613862060382343E-2</v>
      </c>
      <c r="E1817" s="94">
        <v>0</v>
      </c>
      <c r="F1817" s="94">
        <v>42.7</v>
      </c>
      <c r="G1817" s="94">
        <v>2.1964066569010416</v>
      </c>
      <c r="H1817" s="94">
        <v>1.1925985750814581</v>
      </c>
      <c r="I1817" s="94">
        <v>0</v>
      </c>
      <c r="J1817" s="94">
        <v>491</v>
      </c>
      <c r="K1817" s="94">
        <v>1.581</v>
      </c>
      <c r="L1817" s="94">
        <v>-2</v>
      </c>
      <c r="M1817" s="94">
        <v>-2</v>
      </c>
      <c r="N1817" s="94">
        <v>0</v>
      </c>
      <c r="O1817" s="94">
        <v>-2</v>
      </c>
    </row>
    <row r="1818" spans="1:15" x14ac:dyDescent="0.25">
      <c r="A1818" s="89">
        <v>45469.833333333336</v>
      </c>
      <c r="B1818" s="94">
        <v>356.28</v>
      </c>
      <c r="C1818" s="94">
        <v>299.75373184200845</v>
      </c>
      <c r="D1818" s="94">
        <v>1.0005500793457032</v>
      </c>
      <c r="E1818" s="94">
        <v>0</v>
      </c>
      <c r="F1818" s="94">
        <v>40.799999999999997</v>
      </c>
      <c r="G1818" s="94">
        <v>2.1705001831054687</v>
      </c>
      <c r="H1818" s="94">
        <v>1.0559269244854268</v>
      </c>
      <c r="I1818" s="94">
        <v>0</v>
      </c>
      <c r="J1818" s="94">
        <v>496</v>
      </c>
      <c r="K1818" s="94">
        <v>1.583</v>
      </c>
      <c r="L1818" s="94">
        <v>0</v>
      </c>
      <c r="M1818" s="94">
        <v>0</v>
      </c>
      <c r="N1818" s="94">
        <v>0</v>
      </c>
      <c r="O1818" s="94">
        <v>0</v>
      </c>
    </row>
    <row r="1819" spans="1:15" x14ac:dyDescent="0.25">
      <c r="A1819" s="89">
        <v>45470.333333333336</v>
      </c>
      <c r="B1819" s="94">
        <v>356.28209186170631</v>
      </c>
      <c r="C1819" s="94">
        <v>299.75730277197221</v>
      </c>
      <c r="D1819" s="94">
        <v>0.8</v>
      </c>
      <c r="E1819" s="94">
        <v>0</v>
      </c>
      <c r="F1819" s="94">
        <v>38.122729964076342</v>
      </c>
      <c r="G1819" s="94">
        <v>2.1738574768730308</v>
      </c>
      <c r="H1819" s="94">
        <v>1.2</v>
      </c>
      <c r="I1819" s="94">
        <v>0</v>
      </c>
      <c r="J1819" s="94">
        <v>491</v>
      </c>
      <c r="K1819" s="94">
        <v>1.579</v>
      </c>
      <c r="L1819" s="94">
        <v>0</v>
      </c>
      <c r="M1819" s="94">
        <v>0</v>
      </c>
      <c r="N1819" s="94">
        <v>0</v>
      </c>
      <c r="O1819" s="94">
        <v>0</v>
      </c>
    </row>
    <row r="1820" spans="1:15" x14ac:dyDescent="0.25">
      <c r="A1820" s="89">
        <v>45470.833333333336</v>
      </c>
      <c r="B1820" s="94">
        <v>356.3</v>
      </c>
      <c r="C1820" s="94">
        <v>299.76</v>
      </c>
      <c r="D1820" s="94">
        <v>0.18398694135777435</v>
      </c>
      <c r="E1820" s="94">
        <v>0</v>
      </c>
      <c r="F1820" s="94">
        <v>38.460187684973462</v>
      </c>
      <c r="G1820" s="94">
        <v>2.175560068950011</v>
      </c>
      <c r="H1820" s="94">
        <v>1.1962086443532058</v>
      </c>
      <c r="I1820" s="94">
        <v>0</v>
      </c>
      <c r="J1820" s="94">
        <v>491</v>
      </c>
      <c r="K1820" s="94">
        <v>1.5799831453697717</v>
      </c>
      <c r="L1820" s="94">
        <v>0</v>
      </c>
      <c r="M1820" s="94">
        <v>0</v>
      </c>
      <c r="N1820" s="94">
        <v>0</v>
      </c>
      <c r="O1820" s="94">
        <v>0</v>
      </c>
    </row>
    <row r="1821" spans="1:15" x14ac:dyDescent="0.25">
      <c r="A1821" s="89">
        <v>45471.333333333336</v>
      </c>
      <c r="B1821" s="94">
        <v>356.30218831980034</v>
      </c>
      <c r="C1821" s="94">
        <v>299.76</v>
      </c>
      <c r="D1821" s="94">
        <v>0</v>
      </c>
      <c r="E1821" s="94">
        <v>0</v>
      </c>
      <c r="F1821" s="94">
        <v>38.134335196596524</v>
      </c>
      <c r="G1821" s="94">
        <v>2.2016867359132273</v>
      </c>
      <c r="H1821" s="94">
        <v>1.2</v>
      </c>
      <c r="I1821" s="94">
        <v>0</v>
      </c>
      <c r="J1821" s="94">
        <v>491</v>
      </c>
      <c r="K1821" s="94">
        <v>1.579</v>
      </c>
      <c r="L1821" s="94">
        <v>0</v>
      </c>
      <c r="M1821" s="94">
        <v>0</v>
      </c>
      <c r="N1821" s="94">
        <v>0</v>
      </c>
      <c r="O1821" s="94">
        <v>0</v>
      </c>
    </row>
    <row r="1822" spans="1:15" x14ac:dyDescent="0.25">
      <c r="A1822" s="89">
        <v>45471.833333333336</v>
      </c>
      <c r="B1822" s="94">
        <v>356.32</v>
      </c>
      <c r="C1822" s="94">
        <v>299.75571111819556</v>
      </c>
      <c r="D1822" s="94">
        <v>0.1</v>
      </c>
      <c r="E1822" s="94">
        <v>0</v>
      </c>
      <c r="F1822" s="94">
        <v>38.336524607150622</v>
      </c>
      <c r="G1822" s="94">
        <v>2.1812878418712311</v>
      </c>
      <c r="H1822" s="94">
        <v>1.2</v>
      </c>
      <c r="I1822" s="94">
        <v>0</v>
      </c>
      <c r="J1822" s="94">
        <v>491</v>
      </c>
      <c r="K1822" s="94">
        <v>1.579</v>
      </c>
      <c r="L1822" s="94">
        <v>0</v>
      </c>
      <c r="M1822" s="94">
        <v>0</v>
      </c>
      <c r="N1822" s="94">
        <v>0</v>
      </c>
      <c r="O1822" s="94">
        <v>0</v>
      </c>
    </row>
    <row r="1823" spans="1:15" x14ac:dyDescent="0.25">
      <c r="A1823" s="89">
        <v>45472.333333333336</v>
      </c>
      <c r="B1823" s="94">
        <v>356.32</v>
      </c>
      <c r="C1823" s="94">
        <v>299.75781442733791</v>
      </c>
      <c r="D1823" s="94">
        <v>0.86487163225816577</v>
      </c>
      <c r="E1823" s="94">
        <v>0</v>
      </c>
      <c r="F1823" s="94">
        <v>37.201466878255211</v>
      </c>
      <c r="G1823" s="94">
        <v>2.1420800781250002</v>
      </c>
      <c r="H1823" s="94">
        <v>1.2</v>
      </c>
      <c r="I1823" s="94">
        <v>0</v>
      </c>
      <c r="J1823" s="94">
        <v>486</v>
      </c>
      <c r="K1823" s="94">
        <v>1.575</v>
      </c>
      <c r="L1823" s="94">
        <v>0</v>
      </c>
      <c r="M1823" s="94">
        <v>0</v>
      </c>
      <c r="N1823" s="94">
        <v>0</v>
      </c>
      <c r="O1823" s="94">
        <v>0</v>
      </c>
    </row>
    <row r="1824" spans="1:15" x14ac:dyDescent="0.25">
      <c r="A1824" s="89">
        <v>45472.833333333336</v>
      </c>
      <c r="B1824" s="94">
        <v>356.32</v>
      </c>
      <c r="C1824" s="94">
        <v>299.75057413545517</v>
      </c>
      <c r="D1824" s="94">
        <v>1.3738487579678509</v>
      </c>
      <c r="E1824" s="94">
        <v>0</v>
      </c>
      <c r="F1824" s="94">
        <v>37.838605989868185</v>
      </c>
      <c r="G1824" s="94">
        <v>2.1476654690008408</v>
      </c>
      <c r="H1824" s="94">
        <v>1.1017092195866067</v>
      </c>
      <c r="I1824" s="94">
        <v>0</v>
      </c>
      <c r="J1824" s="94">
        <v>488</v>
      </c>
      <c r="K1824" s="94">
        <v>1.5776746805602484</v>
      </c>
      <c r="L1824" s="94">
        <v>0</v>
      </c>
      <c r="M1824" s="94">
        <v>0</v>
      </c>
      <c r="N1824" s="94">
        <v>0</v>
      </c>
      <c r="O1824" s="94">
        <v>0</v>
      </c>
    </row>
    <row r="1825" spans="1:15" x14ac:dyDescent="0.25">
      <c r="A1825" s="89">
        <v>45473.333333333336</v>
      </c>
      <c r="B1825" s="94">
        <v>356.32</v>
      </c>
      <c r="C1825" s="94">
        <v>299.75790195737278</v>
      </c>
      <c r="D1825" s="94">
        <v>1.3</v>
      </c>
      <c r="E1825" s="94">
        <v>0</v>
      </c>
      <c r="F1825" s="94">
        <v>37.850410311942952</v>
      </c>
      <c r="G1825" s="94">
        <v>2.1455906064862886</v>
      </c>
      <c r="H1825" s="94">
        <v>1.1000000000000001</v>
      </c>
      <c r="I1825" s="94">
        <v>0</v>
      </c>
      <c r="J1825" s="94">
        <v>488</v>
      </c>
      <c r="K1825" s="94">
        <v>1.577</v>
      </c>
      <c r="L1825" s="94">
        <v>0</v>
      </c>
      <c r="M1825" s="94">
        <v>0</v>
      </c>
      <c r="N1825" s="94">
        <v>0</v>
      </c>
      <c r="O1825" s="94">
        <v>0</v>
      </c>
    </row>
    <row r="1826" spans="1:15" x14ac:dyDescent="0.25">
      <c r="A1826" s="89">
        <v>45473.833333333336</v>
      </c>
      <c r="B1826" s="94">
        <v>356.32</v>
      </c>
      <c r="C1826" s="94">
        <v>299.75514522094807</v>
      </c>
      <c r="D1826" s="94">
        <v>1.1312965131443857</v>
      </c>
      <c r="E1826" s="94">
        <v>0</v>
      </c>
      <c r="F1826" s="94">
        <v>37.715748280901281</v>
      </c>
      <c r="G1826" s="94">
        <v>2.1444228302693458</v>
      </c>
      <c r="H1826" s="94">
        <v>1.1000000000000001</v>
      </c>
      <c r="I1826" s="94">
        <v>0</v>
      </c>
      <c r="J1826" s="94">
        <v>488</v>
      </c>
      <c r="K1826" s="94">
        <v>1.5763305187765093</v>
      </c>
      <c r="L1826" s="94">
        <v>0</v>
      </c>
      <c r="M1826" s="94">
        <v>0</v>
      </c>
      <c r="N1826" s="94">
        <v>0</v>
      </c>
      <c r="O1826" s="94">
        <v>0</v>
      </c>
    </row>
    <row r="1827" spans="1:15" x14ac:dyDescent="0.25">
      <c r="A1827" s="89">
        <v>45474.333333333336</v>
      </c>
      <c r="B1827" s="94">
        <v>356.32811998060356</v>
      </c>
      <c r="C1827" s="94">
        <v>299.75534894724393</v>
      </c>
      <c r="D1827" s="94">
        <v>0.88990930558465253</v>
      </c>
      <c r="E1827" s="94">
        <v>0</v>
      </c>
      <c r="F1827" s="94">
        <v>37.4</v>
      </c>
      <c r="G1827" s="94">
        <v>2.17</v>
      </c>
      <c r="H1827" s="94">
        <v>1.2</v>
      </c>
      <c r="I1827" s="94">
        <v>0</v>
      </c>
      <c r="J1827" s="94">
        <v>487</v>
      </c>
      <c r="K1827" s="94">
        <v>1.5760000000000001</v>
      </c>
      <c r="L1827" s="94">
        <v>0</v>
      </c>
      <c r="M1827" s="94">
        <v>0</v>
      </c>
      <c r="N1827" s="94">
        <v>0</v>
      </c>
      <c r="O1827" s="94">
        <v>0</v>
      </c>
    </row>
    <row r="1828" spans="1:15" x14ac:dyDescent="0.25">
      <c r="A1828" s="89">
        <v>45474.833333333336</v>
      </c>
      <c r="B1828" s="94">
        <v>356.39</v>
      </c>
      <c r="C1828" s="94">
        <v>299.80474626595623</v>
      </c>
      <c r="D1828" s="94">
        <v>0.94050736716035355</v>
      </c>
      <c r="E1828" s="94">
        <v>0</v>
      </c>
      <c r="F1828" s="94">
        <v>41.648094917742036</v>
      </c>
      <c r="G1828" s="94">
        <v>2.5657643938354595</v>
      </c>
      <c r="H1828" s="94">
        <v>1.1301378240847373</v>
      </c>
      <c r="I1828" s="94">
        <v>0</v>
      </c>
      <c r="J1828" s="94">
        <v>543</v>
      </c>
      <c r="K1828" s="94">
        <v>1.6200696720547061</v>
      </c>
      <c r="L1828" s="94">
        <v>0</v>
      </c>
      <c r="M1828" s="94">
        <v>0</v>
      </c>
      <c r="N1828" s="94">
        <v>0</v>
      </c>
      <c r="O1828" s="94">
        <v>0</v>
      </c>
    </row>
    <row r="1829" spans="1:15" x14ac:dyDescent="0.25">
      <c r="A1829" s="89">
        <v>45475.333333333336</v>
      </c>
      <c r="B1829" s="94">
        <v>356.39257473761319</v>
      </c>
      <c r="C1829" s="94">
        <v>299.80604084859158</v>
      </c>
      <c r="D1829" s="94">
        <v>0.82465986660475088</v>
      </c>
      <c r="E1829" s="94">
        <v>0</v>
      </c>
      <c r="F1829" s="94">
        <v>41.7</v>
      </c>
      <c r="G1829" s="94">
        <v>2.6062847564382587</v>
      </c>
      <c r="H1829" s="94">
        <v>1.2</v>
      </c>
      <c r="I1829" s="94">
        <v>0</v>
      </c>
      <c r="J1829" s="94">
        <v>540</v>
      </c>
      <c r="K1829" s="94">
        <v>1.6217248891157861</v>
      </c>
      <c r="L1829" s="94">
        <v>0</v>
      </c>
      <c r="M1829" s="94">
        <v>0</v>
      </c>
      <c r="N1829" s="94">
        <v>0</v>
      </c>
      <c r="O1829" s="94">
        <v>0</v>
      </c>
    </row>
    <row r="1830" spans="1:15" x14ac:dyDescent="0.25">
      <c r="A1830" s="89">
        <v>45475.833333333336</v>
      </c>
      <c r="B1830" s="94">
        <v>356.41</v>
      </c>
      <c r="C1830" s="94">
        <v>299.80914681796799</v>
      </c>
      <c r="D1830" s="94">
        <v>1.2128930401719293</v>
      </c>
      <c r="E1830" s="94">
        <v>0</v>
      </c>
      <c r="F1830" s="94">
        <v>43.635849715970892</v>
      </c>
      <c r="G1830" s="94">
        <v>2.608100813936884</v>
      </c>
      <c r="H1830" s="94">
        <v>1.1805027420152046</v>
      </c>
      <c r="I1830" s="94">
        <v>0</v>
      </c>
      <c r="J1830" s="94">
        <v>539</v>
      </c>
      <c r="K1830" s="94">
        <v>1.6171990849174123</v>
      </c>
      <c r="L1830" s="94">
        <v>0</v>
      </c>
      <c r="M1830" s="94">
        <v>0</v>
      </c>
      <c r="N1830" s="94">
        <v>0</v>
      </c>
      <c r="O1830" s="94">
        <v>0</v>
      </c>
    </row>
    <row r="1831" spans="1:15" x14ac:dyDescent="0.25">
      <c r="A1831" s="89">
        <v>45476.333333333336</v>
      </c>
      <c r="B1831" s="94">
        <v>356.41290662886848</v>
      </c>
      <c r="C1831" s="94">
        <v>299.76</v>
      </c>
      <c r="D1831" s="94">
        <v>1.0650430586941917</v>
      </c>
      <c r="E1831" s="94">
        <v>0</v>
      </c>
      <c r="F1831" s="94">
        <v>38.9</v>
      </c>
      <c r="G1831" s="94">
        <v>2.1601866658528648</v>
      </c>
      <c r="H1831" s="94">
        <v>1.1183190427865655</v>
      </c>
      <c r="I1831" s="94">
        <v>0</v>
      </c>
      <c r="J1831" s="94">
        <v>488</v>
      </c>
      <c r="K1831" s="94">
        <v>1.577</v>
      </c>
      <c r="L1831" s="94">
        <v>0</v>
      </c>
      <c r="M1831" s="94">
        <v>0</v>
      </c>
      <c r="N1831" s="94">
        <v>0</v>
      </c>
      <c r="O1831" s="94">
        <v>0</v>
      </c>
    </row>
    <row r="1832" spans="1:15" x14ac:dyDescent="0.25">
      <c r="A1832" s="89">
        <v>45476.833333333336</v>
      </c>
      <c r="B1832" s="94">
        <v>356.43</v>
      </c>
      <c r="C1832" s="94">
        <v>299.76</v>
      </c>
      <c r="D1832" s="94">
        <v>1.3</v>
      </c>
      <c r="E1832" s="94">
        <v>0</v>
      </c>
      <c r="F1832" s="94">
        <v>39.164740371560562</v>
      </c>
      <c r="G1832" s="94">
        <v>2.1800000000000002</v>
      </c>
      <c r="H1832" s="94">
        <v>1.0683214817600986</v>
      </c>
      <c r="I1832" s="94">
        <v>0</v>
      </c>
      <c r="J1832" s="94">
        <v>490</v>
      </c>
      <c r="K1832" s="94">
        <v>1.577</v>
      </c>
      <c r="L1832" s="94">
        <v>0</v>
      </c>
      <c r="M1832" s="94">
        <v>0</v>
      </c>
      <c r="N1832" s="94">
        <v>0</v>
      </c>
      <c r="O1832" s="94">
        <v>0</v>
      </c>
    </row>
    <row r="1833" spans="1:15" x14ac:dyDescent="0.25">
      <c r="A1833" s="89">
        <v>45477.333333333336</v>
      </c>
      <c r="B1833" s="94">
        <v>356.4333231031913</v>
      </c>
      <c r="C1833" s="94">
        <v>299.76</v>
      </c>
      <c r="D1833" s="94">
        <v>1.0028028104475333</v>
      </c>
      <c r="E1833" s="94">
        <v>0</v>
      </c>
      <c r="F1833" s="94">
        <v>38.700000000000003</v>
      </c>
      <c r="G1833" s="94">
        <v>2.15</v>
      </c>
      <c r="H1833" s="94">
        <v>1.1767619054020899</v>
      </c>
      <c r="I1833" s="94">
        <v>0</v>
      </c>
      <c r="J1833" s="94">
        <v>488</v>
      </c>
      <c r="K1833" s="94">
        <v>1.5773017992316309</v>
      </c>
      <c r="L1833" s="94">
        <v>0</v>
      </c>
      <c r="M1833" s="94">
        <v>0</v>
      </c>
      <c r="N1833" s="94">
        <v>0</v>
      </c>
      <c r="O1833" s="94">
        <v>0</v>
      </c>
    </row>
    <row r="1834" spans="1:15" x14ac:dyDescent="0.25">
      <c r="A1834" s="89">
        <v>45477.833333333336</v>
      </c>
      <c r="B1834" s="94">
        <v>356.45</v>
      </c>
      <c r="C1834" s="94">
        <v>299.76376796121997</v>
      </c>
      <c r="D1834" s="94">
        <v>1.3108483072909354</v>
      </c>
      <c r="E1834" s="94">
        <v>0</v>
      </c>
      <c r="F1834" s="94">
        <v>39.6</v>
      </c>
      <c r="G1834" s="94">
        <v>2.1608208339697574</v>
      </c>
      <c r="H1834" s="94">
        <v>0.12320349155945406</v>
      </c>
      <c r="I1834" s="94">
        <v>0</v>
      </c>
      <c r="J1834" s="94">
        <v>491</v>
      </c>
      <c r="K1834" s="94">
        <v>1.579</v>
      </c>
      <c r="L1834" s="94">
        <v>0</v>
      </c>
      <c r="M1834" s="94">
        <v>0</v>
      </c>
      <c r="N1834" s="94">
        <v>0</v>
      </c>
      <c r="O1834" s="94">
        <v>0</v>
      </c>
    </row>
    <row r="1835" spans="1:15" x14ac:dyDescent="0.25">
      <c r="A1835" s="89">
        <v>45478.333333333336</v>
      </c>
      <c r="B1835" s="94">
        <v>356.45</v>
      </c>
      <c r="C1835" s="94">
        <v>299.76</v>
      </c>
      <c r="D1835" s="94">
        <v>1.3928875830487837</v>
      </c>
      <c r="E1835" s="94">
        <v>0</v>
      </c>
      <c r="F1835" s="94">
        <v>39.6</v>
      </c>
      <c r="G1835" s="94">
        <v>2.19</v>
      </c>
      <c r="H1835" s="94">
        <v>0.17222102695498376</v>
      </c>
      <c r="I1835" s="94">
        <v>0</v>
      </c>
      <c r="J1835" s="94">
        <v>491</v>
      </c>
      <c r="K1835" s="94">
        <v>1.5789286339601418</v>
      </c>
      <c r="L1835" s="94">
        <v>0</v>
      </c>
      <c r="M1835" s="94">
        <v>0</v>
      </c>
      <c r="N1835" s="94">
        <v>0</v>
      </c>
      <c r="O1835" s="94">
        <v>0</v>
      </c>
    </row>
    <row r="1836" spans="1:15" x14ac:dyDescent="0.25">
      <c r="A1836" s="89">
        <v>45478.833333333336</v>
      </c>
      <c r="B1836" s="94">
        <v>356.45</v>
      </c>
      <c r="C1836" s="94">
        <v>299.76</v>
      </c>
      <c r="D1836" s="94">
        <v>1.343345784995841</v>
      </c>
      <c r="E1836" s="94">
        <v>0</v>
      </c>
      <c r="F1836" s="94">
        <v>39.6</v>
      </c>
      <c r="G1836" s="94">
        <v>2.1842090578901447</v>
      </c>
      <c r="H1836" s="94">
        <v>0.12105212566206704</v>
      </c>
      <c r="I1836" s="94">
        <v>0</v>
      </c>
      <c r="J1836" s="94">
        <v>491</v>
      </c>
      <c r="K1836" s="94">
        <v>1.579</v>
      </c>
      <c r="L1836" s="94">
        <v>0</v>
      </c>
      <c r="M1836" s="94">
        <v>0</v>
      </c>
      <c r="N1836" s="94">
        <v>0</v>
      </c>
      <c r="O1836" s="94">
        <v>0</v>
      </c>
    </row>
    <row r="1837" spans="1:15" x14ac:dyDescent="0.25">
      <c r="A1837" s="89">
        <v>45479.333333333336</v>
      </c>
      <c r="B1837" s="94">
        <v>356.45</v>
      </c>
      <c r="C1837" s="94">
        <v>299.76</v>
      </c>
      <c r="D1837" s="94">
        <v>1.2227398564681715</v>
      </c>
      <c r="E1837" s="94">
        <v>0</v>
      </c>
      <c r="F1837" s="94">
        <v>39.449732462565102</v>
      </c>
      <c r="G1837" s="94">
        <v>2.1772669925156558</v>
      </c>
      <c r="H1837" s="94">
        <v>1</v>
      </c>
      <c r="I1837" s="94">
        <v>0</v>
      </c>
      <c r="J1837" s="94">
        <v>491</v>
      </c>
      <c r="K1837" s="94">
        <v>1.579</v>
      </c>
      <c r="L1837" s="94">
        <v>0</v>
      </c>
      <c r="M1837" s="94">
        <v>0</v>
      </c>
      <c r="N1837" s="94">
        <v>0</v>
      </c>
      <c r="O1837" s="94">
        <v>0</v>
      </c>
    </row>
    <row r="1838" spans="1:15" x14ac:dyDescent="0.25">
      <c r="A1838" s="89">
        <v>45479.833333333336</v>
      </c>
      <c r="B1838" s="94">
        <v>356.45</v>
      </c>
      <c r="C1838" s="94">
        <v>299.76060542992991</v>
      </c>
      <c r="D1838" s="94">
        <v>1.4</v>
      </c>
      <c r="E1838" s="94">
        <v>0</v>
      </c>
      <c r="F1838" s="94">
        <v>39.412968269537643</v>
      </c>
      <c r="G1838" s="94">
        <v>2.1695292500381855</v>
      </c>
      <c r="H1838" s="94">
        <v>1</v>
      </c>
      <c r="I1838" s="94">
        <v>0</v>
      </c>
      <c r="J1838" s="94">
        <v>493</v>
      </c>
      <c r="K1838" s="94">
        <v>1.5808530179126616</v>
      </c>
      <c r="L1838" s="94">
        <v>0</v>
      </c>
      <c r="M1838" s="94">
        <v>0</v>
      </c>
      <c r="N1838" s="94">
        <v>0</v>
      </c>
      <c r="O1838" s="94">
        <v>0</v>
      </c>
    </row>
    <row r="1839" spans="1:15" x14ac:dyDescent="0.25">
      <c r="A1839" s="89">
        <v>45480.333333333336</v>
      </c>
      <c r="B1839" s="94">
        <v>356.45</v>
      </c>
      <c r="C1839" s="94">
        <v>299.76</v>
      </c>
      <c r="D1839" s="94">
        <v>1.3568849358078037</v>
      </c>
      <c r="E1839" s="94">
        <v>0</v>
      </c>
      <c r="F1839" s="94">
        <v>39.476210172769207</v>
      </c>
      <c r="G1839" s="94">
        <v>2.1618420650679702</v>
      </c>
      <c r="H1839" s="94">
        <v>1</v>
      </c>
      <c r="I1839" s="94">
        <v>0</v>
      </c>
      <c r="J1839" s="94">
        <v>491</v>
      </c>
      <c r="K1839" s="94">
        <v>1.579</v>
      </c>
      <c r="L1839" s="94">
        <v>0</v>
      </c>
      <c r="M1839" s="94">
        <v>0</v>
      </c>
      <c r="N1839" s="94">
        <v>0</v>
      </c>
      <c r="O1839" s="94">
        <v>0</v>
      </c>
    </row>
    <row r="1840" spans="1:15" x14ac:dyDescent="0.25">
      <c r="A1840" s="89">
        <v>45480.833333333336</v>
      </c>
      <c r="B1840" s="94">
        <v>356.45</v>
      </c>
      <c r="C1840" s="94">
        <v>299.76</v>
      </c>
      <c r="D1840" s="94">
        <v>1.4232608961022417</v>
      </c>
      <c r="E1840" s="94">
        <v>0</v>
      </c>
      <c r="F1840" s="94">
        <v>39.691739450280672</v>
      </c>
      <c r="G1840" s="94">
        <v>2.1976929552028652</v>
      </c>
      <c r="H1840" s="94">
        <v>1</v>
      </c>
      <c r="I1840" s="94">
        <v>0</v>
      </c>
      <c r="J1840" s="94">
        <v>491</v>
      </c>
      <c r="K1840" s="94">
        <v>1.579</v>
      </c>
      <c r="L1840" s="94">
        <v>0</v>
      </c>
      <c r="M1840" s="94">
        <v>0</v>
      </c>
      <c r="N1840" s="94">
        <v>0</v>
      </c>
      <c r="O1840" s="94">
        <v>0</v>
      </c>
    </row>
    <row r="1841" spans="1:15" x14ac:dyDescent="0.25">
      <c r="A1841" s="89">
        <v>45481.333333333336</v>
      </c>
      <c r="B1841" s="94">
        <v>356.46101349314006</v>
      </c>
      <c r="C1841" s="94">
        <v>299.7666958209212</v>
      </c>
      <c r="D1841" s="94">
        <v>1.5</v>
      </c>
      <c r="E1841" s="94">
        <v>0</v>
      </c>
      <c r="F1841" s="94">
        <v>39.56875859640887</v>
      </c>
      <c r="G1841" s="94">
        <v>2.1337563195146614</v>
      </c>
      <c r="H1841" s="94">
        <v>1</v>
      </c>
      <c r="I1841" s="94">
        <v>0</v>
      </c>
      <c r="J1841" s="94">
        <v>490</v>
      </c>
      <c r="K1841" s="94">
        <v>1.5793530218958562</v>
      </c>
      <c r="L1841" s="94">
        <v>0</v>
      </c>
      <c r="M1841" s="94">
        <v>0</v>
      </c>
      <c r="N1841" s="94">
        <v>0</v>
      </c>
      <c r="O1841" s="94">
        <v>0</v>
      </c>
    </row>
    <row r="1842" spans="1:15" x14ac:dyDescent="0.25">
      <c r="A1842" s="89">
        <v>45481.833333333336</v>
      </c>
      <c r="B1842" s="94">
        <v>356.51</v>
      </c>
      <c r="C1842" s="94">
        <v>299.76272547970336</v>
      </c>
      <c r="D1842" s="94">
        <v>1.4767970145730831</v>
      </c>
      <c r="E1842" s="94">
        <v>0</v>
      </c>
      <c r="F1842" s="94">
        <v>40.81540392036316</v>
      </c>
      <c r="G1842" s="94">
        <v>2.1881884832747827</v>
      </c>
      <c r="H1842" s="94">
        <v>0.17912172897757397</v>
      </c>
      <c r="I1842" s="94">
        <v>0</v>
      </c>
      <c r="J1842" s="94">
        <v>497</v>
      </c>
      <c r="K1842" s="94">
        <v>1.5840940963664081</v>
      </c>
      <c r="L1842" s="94">
        <v>0</v>
      </c>
      <c r="M1842" s="94">
        <v>0</v>
      </c>
      <c r="N1842" s="94">
        <v>0</v>
      </c>
      <c r="O1842" s="94">
        <v>0</v>
      </c>
    </row>
    <row r="1843" spans="1:15" x14ac:dyDescent="0.25">
      <c r="A1843" s="89">
        <v>45482.333333333336</v>
      </c>
      <c r="B1843" s="94">
        <v>356.51</v>
      </c>
      <c r="C1843" s="94">
        <v>299.76461769076548</v>
      </c>
      <c r="D1843" s="94">
        <v>1.4320663452148437</v>
      </c>
      <c r="E1843" s="94">
        <v>0</v>
      </c>
      <c r="F1843" s="94">
        <v>40.892812328683682</v>
      </c>
      <c r="G1843" s="94">
        <v>2.2046153259858845</v>
      </c>
      <c r="H1843" s="94">
        <v>0.11197662353515625</v>
      </c>
      <c r="I1843" s="94">
        <v>0</v>
      </c>
      <c r="J1843" s="94">
        <v>493</v>
      </c>
      <c r="K1843" s="94">
        <v>1.581</v>
      </c>
      <c r="L1843" s="94">
        <v>0</v>
      </c>
      <c r="M1843" s="94">
        <v>0</v>
      </c>
      <c r="N1843" s="94">
        <v>0</v>
      </c>
      <c r="O1843" s="94">
        <v>0</v>
      </c>
    </row>
    <row r="1844" spans="1:15" x14ac:dyDescent="0.25">
      <c r="A1844" s="89">
        <v>45482.833333333336</v>
      </c>
      <c r="B1844" s="94">
        <v>356.51</v>
      </c>
      <c r="C1844" s="94">
        <v>299.76</v>
      </c>
      <c r="D1844" s="94">
        <v>1.4458619850301222</v>
      </c>
      <c r="E1844" s="94">
        <v>0</v>
      </c>
      <c r="F1844" s="94">
        <v>39.168159409428547</v>
      </c>
      <c r="G1844" s="94">
        <v>2.1909449615850574</v>
      </c>
      <c r="H1844" s="94">
        <v>1</v>
      </c>
      <c r="I1844" s="94">
        <v>0</v>
      </c>
      <c r="J1844" s="94">
        <v>494</v>
      </c>
      <c r="K1844" s="94">
        <v>1.581</v>
      </c>
      <c r="L1844" s="94">
        <v>0</v>
      </c>
      <c r="M1844" s="94">
        <v>0</v>
      </c>
      <c r="N1844" s="94">
        <v>0</v>
      </c>
      <c r="O1844" s="94">
        <v>0</v>
      </c>
    </row>
    <row r="1845" spans="1:15" x14ac:dyDescent="0.25">
      <c r="A1845" s="89">
        <v>45483.333333333336</v>
      </c>
      <c r="B1845" s="94">
        <v>356.52759691771496</v>
      </c>
      <c r="C1845" s="94">
        <v>299.76</v>
      </c>
      <c r="D1845" s="94">
        <v>1.4155850740843088</v>
      </c>
      <c r="E1845" s="94">
        <v>0</v>
      </c>
      <c r="F1845" s="94">
        <v>37.4</v>
      </c>
      <c r="G1845" s="94">
        <v>2.1977426859944251</v>
      </c>
      <c r="H1845" s="94">
        <v>1</v>
      </c>
      <c r="I1845" s="94">
        <v>0</v>
      </c>
      <c r="J1845" s="94">
        <v>491</v>
      </c>
      <c r="K1845" s="94">
        <v>1.579</v>
      </c>
      <c r="L1845" s="94">
        <v>0</v>
      </c>
      <c r="M1845" s="94">
        <v>0</v>
      </c>
      <c r="N1845" s="94">
        <v>0</v>
      </c>
      <c r="O1845" s="94">
        <v>0</v>
      </c>
    </row>
    <row r="1846" spans="1:15" x14ac:dyDescent="0.25">
      <c r="A1846" s="89">
        <v>45483.833333333336</v>
      </c>
      <c r="B1846" s="94">
        <v>356.6</v>
      </c>
      <c r="C1846" s="94">
        <v>299.84502606283189</v>
      </c>
      <c r="D1846" s="94">
        <v>1.3101971504128602</v>
      </c>
      <c r="E1846" s="94">
        <v>0</v>
      </c>
      <c r="F1846" s="94">
        <v>49.932889723232826</v>
      </c>
      <c r="G1846" s="94">
        <v>3.0161432948481219</v>
      </c>
      <c r="H1846" s="94">
        <v>0.13896318022691645</v>
      </c>
      <c r="I1846" s="94">
        <v>0</v>
      </c>
      <c r="J1846" s="94">
        <v>598</v>
      </c>
      <c r="K1846" s="94">
        <v>1.6610720216862798</v>
      </c>
      <c r="L1846" s="94">
        <v>0</v>
      </c>
      <c r="M1846" s="94">
        <v>0</v>
      </c>
      <c r="N1846" s="94">
        <v>0</v>
      </c>
      <c r="O1846" s="94">
        <v>0</v>
      </c>
    </row>
    <row r="1847" spans="1:15" x14ac:dyDescent="0.25">
      <c r="A1847" s="89">
        <v>45484.333333333336</v>
      </c>
      <c r="B1847" s="94">
        <v>356.6</v>
      </c>
      <c r="C1847" s="94">
        <v>299.84278019920532</v>
      </c>
      <c r="D1847" s="94">
        <v>1.2411057218830017</v>
      </c>
      <c r="E1847" s="94">
        <v>0</v>
      </c>
      <c r="F1847" s="94">
        <v>47.987083677086197</v>
      </c>
      <c r="G1847" s="94">
        <v>3.0183691473239214</v>
      </c>
      <c r="H1847" s="94">
        <v>0.12168095943707447</v>
      </c>
      <c r="I1847" s="94">
        <v>0</v>
      </c>
      <c r="J1847" s="94">
        <v>596</v>
      </c>
      <c r="K1847" s="94">
        <v>1.6606478713953929</v>
      </c>
      <c r="L1847" s="94">
        <v>0</v>
      </c>
      <c r="M1847" s="94">
        <v>0</v>
      </c>
      <c r="N1847" s="94">
        <v>0</v>
      </c>
      <c r="O1847" s="94">
        <v>0</v>
      </c>
    </row>
    <row r="1848" spans="1:15" x14ac:dyDescent="0.25">
      <c r="A1848" s="89">
        <v>45484.833333333336</v>
      </c>
      <c r="B1848" s="94">
        <v>356.6</v>
      </c>
      <c r="C1848" s="94">
        <v>299.8455180053711</v>
      </c>
      <c r="D1848" s="94">
        <v>1.3</v>
      </c>
      <c r="E1848" s="94">
        <v>0</v>
      </c>
      <c r="F1848" s="94">
        <v>48.4</v>
      </c>
      <c r="G1848" s="94">
        <v>2.9374786376953126</v>
      </c>
      <c r="H1848" s="94">
        <v>0.18667696439302886</v>
      </c>
      <c r="I1848" s="94">
        <v>0</v>
      </c>
      <c r="J1848" s="94">
        <v>593</v>
      </c>
      <c r="K1848" s="94">
        <v>1.66</v>
      </c>
      <c r="L1848" s="94">
        <v>0</v>
      </c>
      <c r="M1848" s="94">
        <v>0</v>
      </c>
      <c r="N1848" s="94">
        <v>0</v>
      </c>
      <c r="O1848" s="94">
        <v>0</v>
      </c>
    </row>
    <row r="1849" spans="1:15" x14ac:dyDescent="0.25">
      <c r="A1849" s="89">
        <v>45485.333333333336</v>
      </c>
      <c r="B1849" s="94">
        <v>356.6</v>
      </c>
      <c r="C1849" s="94">
        <v>299.84989233643853</v>
      </c>
      <c r="D1849" s="94">
        <v>1</v>
      </c>
      <c r="E1849" s="94">
        <v>0</v>
      </c>
      <c r="F1849" s="94">
        <v>48.378337023010168</v>
      </c>
      <c r="G1849" s="94">
        <v>2.9935501734315095</v>
      </c>
      <c r="H1849" s="94">
        <v>1.0859074168833565</v>
      </c>
      <c r="I1849" s="94">
        <v>0</v>
      </c>
      <c r="J1849" s="94">
        <v>596</v>
      </c>
      <c r="K1849" s="94">
        <v>1.6584526143070699</v>
      </c>
      <c r="L1849" s="94">
        <v>0</v>
      </c>
      <c r="M1849" s="94">
        <v>0</v>
      </c>
      <c r="N1849" s="94">
        <v>0</v>
      </c>
      <c r="O1849" s="94">
        <v>0</v>
      </c>
    </row>
    <row r="1850" spans="1:15" x14ac:dyDescent="0.25">
      <c r="A1850" s="89">
        <v>45485.833333333336</v>
      </c>
      <c r="B1850" s="94">
        <v>356.6</v>
      </c>
      <c r="C1850" s="94">
        <v>299.95999999999998</v>
      </c>
      <c r="D1850" s="94">
        <v>1.3</v>
      </c>
      <c r="E1850" s="94">
        <v>0</v>
      </c>
      <c r="F1850" s="94">
        <v>61.885869769728195</v>
      </c>
      <c r="G1850" s="94">
        <v>4.1708067060943215</v>
      </c>
      <c r="H1850" s="94">
        <v>1</v>
      </c>
      <c r="I1850" s="94">
        <v>0</v>
      </c>
      <c r="J1850" s="94">
        <v>791</v>
      </c>
      <c r="K1850" s="94">
        <v>1.7757196296871378</v>
      </c>
      <c r="L1850" s="94">
        <v>0</v>
      </c>
      <c r="M1850" s="94">
        <v>0</v>
      </c>
      <c r="N1850" s="94">
        <v>0</v>
      </c>
      <c r="O1850" s="94">
        <v>0</v>
      </c>
    </row>
    <row r="1851" spans="1:15" x14ac:dyDescent="0.25">
      <c r="A1851" s="89">
        <v>45486.333333333336</v>
      </c>
      <c r="B1851" s="94">
        <v>356.6</v>
      </c>
      <c r="C1851" s="94">
        <v>299.95999999999998</v>
      </c>
      <c r="D1851" s="94">
        <v>1.1080998738606771</v>
      </c>
      <c r="E1851" s="94">
        <v>0</v>
      </c>
      <c r="F1851" s="94">
        <v>61.518610395441804</v>
      </c>
      <c r="G1851" s="94">
        <v>4.2932494687894556</v>
      </c>
      <c r="H1851" s="94">
        <v>1.1919934444240268</v>
      </c>
      <c r="I1851" s="94">
        <v>0</v>
      </c>
      <c r="J1851" s="94">
        <v>791</v>
      </c>
      <c r="K1851" s="94">
        <v>1.7729999999999999</v>
      </c>
      <c r="L1851" s="94">
        <v>0</v>
      </c>
      <c r="M1851" s="94">
        <v>0</v>
      </c>
      <c r="N1851" s="94">
        <v>0</v>
      </c>
      <c r="O1851" s="94">
        <v>0</v>
      </c>
    </row>
    <row r="1852" spans="1:15" x14ac:dyDescent="0.25">
      <c r="A1852" s="89">
        <v>45486.833333333336</v>
      </c>
      <c r="B1852" s="94">
        <v>356.6</v>
      </c>
      <c r="C1852" s="94">
        <v>299.74</v>
      </c>
      <c r="D1852" s="94">
        <v>1.3018604698320002</v>
      </c>
      <c r="E1852" s="94">
        <v>0</v>
      </c>
      <c r="F1852" s="94">
        <v>40.594501759083514</v>
      </c>
      <c r="G1852" s="94">
        <v>1.9996902486242587</v>
      </c>
      <c r="H1852" s="94">
        <v>1.0779792271269284</v>
      </c>
      <c r="I1852" s="94">
        <v>0</v>
      </c>
      <c r="J1852" s="94">
        <v>462</v>
      </c>
      <c r="K1852" s="94">
        <v>1.556</v>
      </c>
      <c r="L1852" s="94">
        <v>0</v>
      </c>
      <c r="M1852" s="94">
        <v>0</v>
      </c>
      <c r="N1852" s="94">
        <v>0</v>
      </c>
      <c r="O1852" s="94">
        <v>0</v>
      </c>
    </row>
    <row r="1853" spans="1:15" x14ac:dyDescent="0.25">
      <c r="A1853" s="89">
        <v>45487.333333333336</v>
      </c>
      <c r="B1853" s="94">
        <v>356.6</v>
      </c>
      <c r="C1853" s="94">
        <v>299.74</v>
      </c>
      <c r="D1853" s="94">
        <v>1.2159772865925196</v>
      </c>
      <c r="E1853" s="94">
        <v>0</v>
      </c>
      <c r="F1853" s="94">
        <v>40.4</v>
      </c>
      <c r="G1853" s="94">
        <v>2.0045002285772338</v>
      </c>
      <c r="H1853" s="94">
        <v>1.1000000000000001</v>
      </c>
      <c r="I1853" s="94">
        <v>0</v>
      </c>
      <c r="J1853" s="94">
        <v>462</v>
      </c>
      <c r="K1853" s="94">
        <v>1.556</v>
      </c>
      <c r="L1853" s="94">
        <v>0</v>
      </c>
      <c r="M1853" s="94">
        <v>0</v>
      </c>
      <c r="N1853" s="94">
        <v>0</v>
      </c>
      <c r="O1853" s="94">
        <v>0</v>
      </c>
    </row>
    <row r="1854" spans="1:15" x14ac:dyDescent="0.25">
      <c r="A1854" s="89">
        <v>45487.833333333336</v>
      </c>
      <c r="B1854" s="94">
        <v>356.6</v>
      </c>
      <c r="C1854" s="94">
        <v>299.74</v>
      </c>
      <c r="D1854" s="94">
        <v>1.1585648607385299</v>
      </c>
      <c r="E1854" s="94">
        <v>0</v>
      </c>
      <c r="F1854" s="94">
        <v>40.406592301189626</v>
      </c>
      <c r="G1854" s="94">
        <v>2.0045811551787938</v>
      </c>
      <c r="H1854" s="94">
        <v>1.1000000000000001</v>
      </c>
      <c r="I1854" s="94">
        <v>0</v>
      </c>
      <c r="J1854" s="94">
        <v>462</v>
      </c>
      <c r="K1854" s="94">
        <v>1.5568772331091325</v>
      </c>
      <c r="L1854" s="94">
        <v>0</v>
      </c>
      <c r="M1854" s="94">
        <v>0</v>
      </c>
      <c r="N1854" s="94">
        <v>0</v>
      </c>
      <c r="O1854" s="94">
        <v>0</v>
      </c>
    </row>
    <row r="1855" spans="1:15" x14ac:dyDescent="0.25">
      <c r="A1855" s="89">
        <v>45488.333333333336</v>
      </c>
      <c r="B1855" s="94">
        <v>356.6</v>
      </c>
      <c r="C1855" s="94">
        <v>299.73967788088288</v>
      </c>
      <c r="D1855" s="94">
        <v>1</v>
      </c>
      <c r="E1855" s="94">
        <v>0</v>
      </c>
      <c r="F1855" s="94">
        <v>40.4</v>
      </c>
      <c r="G1855" s="94">
        <v>1.9950776351987822</v>
      </c>
      <c r="H1855" s="94">
        <v>1.1506666192264878</v>
      </c>
      <c r="I1855" s="94">
        <v>0</v>
      </c>
      <c r="J1855" s="94">
        <v>462</v>
      </c>
      <c r="K1855" s="94">
        <v>1.555355741944799</v>
      </c>
      <c r="L1855" s="94">
        <v>0</v>
      </c>
      <c r="M1855" s="94">
        <v>0</v>
      </c>
      <c r="N1855" s="94">
        <v>0</v>
      </c>
      <c r="O1855" s="94">
        <v>0</v>
      </c>
    </row>
    <row r="1856" spans="1:15" x14ac:dyDescent="0.25">
      <c r="A1856" s="89">
        <v>45488.833333333336</v>
      </c>
      <c r="B1856" s="94">
        <v>356.6</v>
      </c>
      <c r="C1856" s="94">
        <v>299.73829077384147</v>
      </c>
      <c r="D1856" s="94">
        <v>1.096932888515227</v>
      </c>
      <c r="E1856" s="94">
        <v>0</v>
      </c>
      <c r="F1856" s="94">
        <v>40.439320177982232</v>
      </c>
      <c r="G1856" s="94">
        <v>1.9625773997347602</v>
      </c>
      <c r="H1856" s="94">
        <v>1.1877120110764969</v>
      </c>
      <c r="I1856" s="94">
        <v>0</v>
      </c>
      <c r="J1856" s="94">
        <v>462</v>
      </c>
      <c r="K1856" s="94">
        <v>1.5547950675627265</v>
      </c>
      <c r="L1856" s="94">
        <v>-2</v>
      </c>
      <c r="M1856" s="94">
        <v>-2</v>
      </c>
      <c r="N1856" s="94">
        <v>0</v>
      </c>
      <c r="O1856" s="94">
        <v>-2</v>
      </c>
    </row>
    <row r="1857" spans="1:15" x14ac:dyDescent="0.25">
      <c r="A1857" s="89">
        <v>45489.333333333336</v>
      </c>
      <c r="B1857" s="94">
        <v>356.6</v>
      </c>
      <c r="C1857" s="94">
        <v>299.73581382198108</v>
      </c>
      <c r="D1857" s="94">
        <v>0.96828699479627944</v>
      </c>
      <c r="E1857" s="94">
        <v>0</v>
      </c>
      <c r="F1857" s="94">
        <v>40.4</v>
      </c>
      <c r="G1857" s="94">
        <v>2.0130252636458454</v>
      </c>
      <c r="H1857" s="94">
        <v>1.1396614534870737</v>
      </c>
      <c r="I1857" s="94">
        <v>0</v>
      </c>
      <c r="J1857" s="94">
        <v>464</v>
      </c>
      <c r="K1857" s="94">
        <v>1.556</v>
      </c>
      <c r="L1857" s="94">
        <v>-2</v>
      </c>
      <c r="M1857" s="94">
        <v>-2</v>
      </c>
      <c r="N1857" s="94">
        <v>0</v>
      </c>
      <c r="O1857" s="94">
        <v>-2</v>
      </c>
    </row>
    <row r="1858" spans="1:15" x14ac:dyDescent="0.25">
      <c r="A1858" s="89">
        <v>45489.833333333336</v>
      </c>
      <c r="B1858" s="94">
        <v>356.6</v>
      </c>
      <c r="C1858" s="94">
        <v>299.73263118561209</v>
      </c>
      <c r="D1858" s="94">
        <v>1.1000000000000001</v>
      </c>
      <c r="E1858" s="94">
        <v>0</v>
      </c>
      <c r="F1858" s="94">
        <v>40.4</v>
      </c>
      <c r="G1858" s="94">
        <v>1.9716416679395143</v>
      </c>
      <c r="H1858" s="94">
        <v>1.1712248136832768</v>
      </c>
      <c r="I1858" s="94">
        <v>0</v>
      </c>
      <c r="J1858" s="94">
        <v>459</v>
      </c>
      <c r="K1858" s="94">
        <v>1.5540976985911561</v>
      </c>
      <c r="L1858" s="94">
        <v>-2</v>
      </c>
      <c r="M1858" s="94">
        <v>-2</v>
      </c>
      <c r="N1858" s="94">
        <v>0</v>
      </c>
      <c r="O1858" s="94">
        <v>-2</v>
      </c>
    </row>
    <row r="1859" spans="1:15" x14ac:dyDescent="0.25">
      <c r="A1859" s="89">
        <v>45490.333333333336</v>
      </c>
      <c r="B1859" s="94">
        <v>356.6</v>
      </c>
      <c r="C1859" s="94">
        <v>299.73254456280267</v>
      </c>
      <c r="D1859" s="94">
        <v>0.98143162096975411</v>
      </c>
      <c r="E1859" s="94">
        <v>0</v>
      </c>
      <c r="F1859" s="94">
        <v>38.516490209117137</v>
      </c>
      <c r="G1859" s="94">
        <v>2.0102899301850554</v>
      </c>
      <c r="H1859" s="94">
        <v>1.2</v>
      </c>
      <c r="I1859" s="94">
        <v>0</v>
      </c>
      <c r="J1859" s="94">
        <v>396.43808420425239</v>
      </c>
      <c r="K1859" s="94">
        <v>1.5543012652432813</v>
      </c>
      <c r="L1859" s="94">
        <v>-2</v>
      </c>
      <c r="M1859" s="94">
        <v>-2</v>
      </c>
      <c r="N1859" s="94">
        <v>0</v>
      </c>
      <c r="O1859" s="94">
        <v>-2</v>
      </c>
    </row>
    <row r="1860" spans="1:15" x14ac:dyDescent="0.25">
      <c r="A1860" s="89">
        <v>45490.833333333336</v>
      </c>
      <c r="B1860" s="94">
        <v>356.6</v>
      </c>
      <c r="C1860" s="94">
        <v>299.74</v>
      </c>
      <c r="D1860" s="94">
        <v>1</v>
      </c>
      <c r="E1860" s="94">
        <v>0</v>
      </c>
      <c r="F1860" s="94">
        <v>38</v>
      </c>
      <c r="G1860" s="94">
        <v>1.9913829217949699</v>
      </c>
      <c r="H1860" s="94">
        <v>1.1051205474575267</v>
      </c>
      <c r="I1860" s="94">
        <v>0</v>
      </c>
      <c r="J1860" s="94">
        <v>461</v>
      </c>
      <c r="K1860" s="94">
        <v>1.5544672174046559</v>
      </c>
      <c r="L1860" s="94">
        <v>-2</v>
      </c>
      <c r="M1860" s="94">
        <v>-2</v>
      </c>
      <c r="N1860" s="94">
        <v>0</v>
      </c>
      <c r="O1860" s="94">
        <v>-2</v>
      </c>
    </row>
    <row r="1861" spans="1:15" x14ac:dyDescent="0.25">
      <c r="A1861" s="89">
        <v>45491.333333333336</v>
      </c>
      <c r="B1861" s="94">
        <v>356.6</v>
      </c>
      <c r="C1861" s="94">
        <v>299.7326726745074</v>
      </c>
      <c r="D1861" s="94">
        <v>0.8548587232873901</v>
      </c>
      <c r="E1861" s="94">
        <v>0</v>
      </c>
      <c r="F1861" s="94">
        <v>38.478671217653599</v>
      </c>
      <c r="G1861" s="94">
        <v>1.9735935858193614</v>
      </c>
      <c r="H1861" s="94">
        <v>1.2</v>
      </c>
      <c r="I1861" s="94">
        <v>0</v>
      </c>
      <c r="J1861" s="94">
        <v>349.30855019983255</v>
      </c>
      <c r="K1861" s="94">
        <v>1.5549999999999999</v>
      </c>
      <c r="L1861" s="94">
        <v>-2</v>
      </c>
      <c r="M1861" s="94">
        <v>-2</v>
      </c>
      <c r="N1861" s="94">
        <v>0</v>
      </c>
      <c r="O1861" s="94">
        <v>-2</v>
      </c>
    </row>
    <row r="1862" spans="1:15" x14ac:dyDescent="0.25">
      <c r="A1862" s="89">
        <v>45491.833333333336</v>
      </c>
      <c r="B1862" s="94">
        <v>356.6</v>
      </c>
      <c r="C1862" s="94">
        <v>299.94</v>
      </c>
      <c r="D1862" s="94">
        <v>0.94641779629603562</v>
      </c>
      <c r="E1862" s="94">
        <v>0</v>
      </c>
      <c r="F1862" s="94">
        <v>55.9</v>
      </c>
      <c r="G1862" s="94">
        <v>4.0247831309357789</v>
      </c>
      <c r="H1862" s="94">
        <v>1.2</v>
      </c>
      <c r="I1862" s="94">
        <v>0</v>
      </c>
      <c r="J1862" s="94">
        <v>740</v>
      </c>
      <c r="K1862" s="94">
        <v>1.7466760903316556</v>
      </c>
      <c r="L1862" s="94">
        <v>0</v>
      </c>
      <c r="M1862" s="94">
        <v>92.682465190207481</v>
      </c>
      <c r="N1862" s="94">
        <v>0</v>
      </c>
      <c r="O1862" s="94">
        <v>0</v>
      </c>
    </row>
    <row r="1863" spans="1:15" x14ac:dyDescent="0.25">
      <c r="A1863" s="89">
        <v>45492.333333333336</v>
      </c>
      <c r="B1863" s="94">
        <v>356.6</v>
      </c>
      <c r="C1863" s="94">
        <v>299.94</v>
      </c>
      <c r="D1863" s="94">
        <v>1</v>
      </c>
      <c r="E1863" s="94">
        <v>0</v>
      </c>
      <c r="F1863" s="94">
        <v>59.8</v>
      </c>
      <c r="G1863" s="94">
        <v>4.05</v>
      </c>
      <c r="H1863" s="94">
        <v>1.2</v>
      </c>
      <c r="I1863" s="94">
        <v>0</v>
      </c>
      <c r="J1863" s="94">
        <v>634.67194797880654</v>
      </c>
      <c r="K1863" s="94">
        <v>1.7559594903114304</v>
      </c>
      <c r="L1863" s="94">
        <v>0</v>
      </c>
      <c r="M1863" s="94">
        <v>91.745150644907881</v>
      </c>
      <c r="N1863" s="94">
        <v>0</v>
      </c>
      <c r="O1863" s="94">
        <v>0</v>
      </c>
    </row>
    <row r="1864" spans="1:15" x14ac:dyDescent="0.25">
      <c r="A1864" s="89">
        <v>45492.833333333336</v>
      </c>
      <c r="B1864" s="94">
        <v>356.6</v>
      </c>
      <c r="C1864" s="94">
        <v>299.70453608564571</v>
      </c>
      <c r="D1864" s="94">
        <v>1.0760522895803073</v>
      </c>
      <c r="E1864" s="94">
        <v>0</v>
      </c>
      <c r="F1864" s="94">
        <v>29.8</v>
      </c>
      <c r="G1864" s="94">
        <v>1.7614447726472704</v>
      </c>
      <c r="H1864" s="94">
        <v>1.1319688700119535</v>
      </c>
      <c r="I1864" s="94">
        <v>0</v>
      </c>
      <c r="J1864" s="94">
        <v>398.93336247399282</v>
      </c>
      <c r="K1864" s="94">
        <v>1.528</v>
      </c>
      <c r="L1864" s="94">
        <v>0</v>
      </c>
      <c r="M1864" s="94">
        <v>92.492170399001935</v>
      </c>
      <c r="N1864" s="94">
        <v>0</v>
      </c>
      <c r="O1864" s="94">
        <v>0</v>
      </c>
    </row>
    <row r="1865" spans="1:15" x14ac:dyDescent="0.25">
      <c r="A1865" s="89">
        <v>45493.333333333336</v>
      </c>
      <c r="B1865" s="94">
        <v>356.6</v>
      </c>
      <c r="C1865" s="94">
        <v>299.70999999999998</v>
      </c>
      <c r="D1865" s="94">
        <v>1.051956718039762</v>
      </c>
      <c r="E1865" s="94">
        <v>0</v>
      </c>
      <c r="F1865" s="94">
        <v>29.900466711631861</v>
      </c>
      <c r="G1865" s="94">
        <v>1.7893030888115027</v>
      </c>
      <c r="H1865" s="94">
        <v>1.130170596924295</v>
      </c>
      <c r="I1865" s="94">
        <v>0</v>
      </c>
      <c r="J1865" s="94">
        <v>431</v>
      </c>
      <c r="K1865" s="94">
        <v>1.531961904441566</v>
      </c>
      <c r="L1865" s="94">
        <v>0</v>
      </c>
      <c r="M1865" s="94">
        <v>92.923376105887172</v>
      </c>
      <c r="N1865" s="94">
        <v>0</v>
      </c>
      <c r="O1865" s="94">
        <v>0</v>
      </c>
    </row>
    <row r="1866" spans="1:15" x14ac:dyDescent="0.25">
      <c r="A1866" s="89">
        <v>45493.833333333336</v>
      </c>
      <c r="B1866" s="94">
        <v>356.6</v>
      </c>
      <c r="C1866" s="94">
        <v>299.70999999999998</v>
      </c>
      <c r="D1866" s="94">
        <v>1.0891269026177643</v>
      </c>
      <c r="E1866" s="94">
        <v>0</v>
      </c>
      <c r="F1866" s="94">
        <v>29.648900071159908</v>
      </c>
      <c r="G1866" s="94">
        <v>1.771280517578125</v>
      </c>
      <c r="H1866" s="94">
        <v>1.1611780544408798</v>
      </c>
      <c r="I1866" s="94">
        <v>0</v>
      </c>
      <c r="J1866" s="94">
        <v>208.5442634336828</v>
      </c>
      <c r="K1866" s="94">
        <v>1.532</v>
      </c>
      <c r="L1866" s="94">
        <v>0</v>
      </c>
      <c r="M1866" s="94">
        <v>93</v>
      </c>
      <c r="N1866" s="94">
        <v>0</v>
      </c>
      <c r="O1866" s="94">
        <v>0</v>
      </c>
    </row>
    <row r="1867" spans="1:15" x14ac:dyDescent="0.25">
      <c r="A1867" s="89">
        <v>45494.333333333336</v>
      </c>
      <c r="B1867" s="94">
        <v>356.6</v>
      </c>
      <c r="C1867" s="94">
        <v>299.70119427832537</v>
      </c>
      <c r="D1867" s="94">
        <v>1</v>
      </c>
      <c r="E1867" s="94">
        <v>0</v>
      </c>
      <c r="F1867" s="94">
        <v>29.662701804421165</v>
      </c>
      <c r="G1867" s="94">
        <v>1.8048046433480984</v>
      </c>
      <c r="H1867" s="94">
        <v>1.2</v>
      </c>
      <c r="I1867" s="94">
        <v>0</v>
      </c>
      <c r="J1867" s="94">
        <v>335.2493596874462</v>
      </c>
      <c r="K1867" s="94">
        <v>1.5309999999999999</v>
      </c>
      <c r="L1867" s="94">
        <v>0</v>
      </c>
      <c r="M1867" s="94">
        <v>93</v>
      </c>
      <c r="N1867" s="94">
        <v>0</v>
      </c>
      <c r="O1867" s="94">
        <v>0</v>
      </c>
    </row>
    <row r="1868" spans="1:15" x14ac:dyDescent="0.25">
      <c r="A1868" s="89">
        <v>45494.833333333336</v>
      </c>
      <c r="B1868" s="94">
        <v>356.6</v>
      </c>
      <c r="C1868" s="94">
        <v>299.72077636482896</v>
      </c>
      <c r="D1868" s="94">
        <v>1.0871433369463994</v>
      </c>
      <c r="E1868" s="94">
        <v>0</v>
      </c>
      <c r="F1868" s="94">
        <v>39.14849550486209</v>
      </c>
      <c r="G1868" s="94">
        <v>1.9402200317382812</v>
      </c>
      <c r="H1868" s="94">
        <v>1.158884391760024</v>
      </c>
      <c r="I1868" s="94">
        <v>0</v>
      </c>
      <c r="J1868" s="94">
        <v>144.01779865176803</v>
      </c>
      <c r="K1868" s="94">
        <v>1.548</v>
      </c>
      <c r="L1868" s="94">
        <v>0</v>
      </c>
      <c r="M1868" s="94">
        <v>92.113538690361025</v>
      </c>
      <c r="N1868" s="94">
        <v>0</v>
      </c>
      <c r="O1868" s="94">
        <v>0</v>
      </c>
    </row>
    <row r="1869" spans="1:15" x14ac:dyDescent="0.25">
      <c r="A1869" s="89">
        <v>45495.333333333336</v>
      </c>
      <c r="B1869" s="94">
        <v>357.02</v>
      </c>
      <c r="C1869" s="94">
        <v>299.74</v>
      </c>
      <c r="D1869" s="94">
        <v>1.0589996982939527</v>
      </c>
      <c r="E1869" s="94">
        <v>0</v>
      </c>
      <c r="F1869" s="94">
        <v>40.768346680464163</v>
      </c>
      <c r="G1869" s="94">
        <v>2.1096183779146367</v>
      </c>
      <c r="H1869" s="94">
        <v>1.2</v>
      </c>
      <c r="I1869" s="94">
        <v>0</v>
      </c>
      <c r="J1869" s="94">
        <v>453</v>
      </c>
      <c r="K1869" s="94">
        <v>1.5487661810238642</v>
      </c>
      <c r="L1869" s="94">
        <v>0</v>
      </c>
      <c r="M1869" s="94">
        <v>90.87987685497302</v>
      </c>
      <c r="N1869" s="94">
        <v>0</v>
      </c>
      <c r="O1869" s="94">
        <v>0</v>
      </c>
    </row>
    <row r="1870" spans="1:15" x14ac:dyDescent="0.25">
      <c r="A1870" s="89">
        <v>45495.833333333336</v>
      </c>
      <c r="B1870" s="94">
        <v>357.02</v>
      </c>
      <c r="C1870" s="94">
        <v>300.79000000000002</v>
      </c>
      <c r="D1870" s="94">
        <v>60.5</v>
      </c>
      <c r="E1870" s="94">
        <v>4.4991581683357538</v>
      </c>
      <c r="F1870" s="94">
        <v>44.750368405151924</v>
      </c>
      <c r="G1870" s="94">
        <v>2.2647604580687406</v>
      </c>
      <c r="H1870" s="94">
        <v>73.087661856140542</v>
      </c>
      <c r="I1870" s="94">
        <v>12.927354330708662</v>
      </c>
      <c r="J1870" s="94">
        <v>3892</v>
      </c>
      <c r="K1870" s="94">
        <v>2.6444322227453467</v>
      </c>
      <c r="L1870" s="94">
        <v>0</v>
      </c>
      <c r="M1870" s="94">
        <v>92</v>
      </c>
      <c r="N1870" s="94">
        <v>0</v>
      </c>
      <c r="O1870" s="94">
        <v>0</v>
      </c>
    </row>
    <row r="1871" spans="1:15" x14ac:dyDescent="0.25">
      <c r="A1871" s="89">
        <v>45496.333333333336</v>
      </c>
      <c r="B1871" s="94">
        <v>357.05</v>
      </c>
      <c r="C1871" s="94">
        <v>300.79714026956003</v>
      </c>
      <c r="D1871" s="94">
        <v>62</v>
      </c>
      <c r="E1871" s="94">
        <v>4.5431243265223138</v>
      </c>
      <c r="F1871" s="94">
        <v>41.587877096902353</v>
      </c>
      <c r="G1871" s="94">
        <v>2.2815999348958331</v>
      </c>
      <c r="H1871" s="94">
        <v>73.78588508371385</v>
      </c>
      <c r="I1871" s="94">
        <v>13.100288321389529</v>
      </c>
      <c r="J1871" s="94">
        <v>3886</v>
      </c>
      <c r="K1871" s="94">
        <v>2.6438893444251725</v>
      </c>
      <c r="L1871" s="94">
        <v>0</v>
      </c>
      <c r="M1871" s="94">
        <v>91.104124792375515</v>
      </c>
      <c r="N1871" s="94">
        <v>0</v>
      </c>
      <c r="O1871" s="94">
        <v>0</v>
      </c>
    </row>
    <row r="1872" spans="1:15" x14ac:dyDescent="0.25">
      <c r="A1872" s="89">
        <v>45496.833333333336</v>
      </c>
      <c r="B1872" s="94">
        <v>357.05</v>
      </c>
      <c r="C1872" s="94">
        <v>300.56961899661314</v>
      </c>
      <c r="D1872" s="94">
        <v>86.696000469428469</v>
      </c>
      <c r="E1872" s="94">
        <v>6.7667691727868151</v>
      </c>
      <c r="F1872" s="94">
        <v>85.8</v>
      </c>
      <c r="G1872" s="94">
        <v>6.7888176744897182</v>
      </c>
      <c r="H1872" s="94">
        <v>0.1</v>
      </c>
      <c r="I1872" s="94">
        <v>0</v>
      </c>
      <c r="J1872" s="94">
        <v>2521</v>
      </c>
      <c r="K1872" s="94">
        <v>2.36389487656009</v>
      </c>
      <c r="L1872" s="94">
        <v>0</v>
      </c>
      <c r="M1872" s="94">
        <v>93.952910955961841</v>
      </c>
      <c r="N1872" s="94">
        <v>0</v>
      </c>
      <c r="O1872" s="94">
        <v>0</v>
      </c>
    </row>
    <row r="1873" spans="1:15" x14ac:dyDescent="0.25">
      <c r="A1873" s="89">
        <v>45497.333333333336</v>
      </c>
      <c r="B1873" s="94">
        <v>357.050593527714</v>
      </c>
      <c r="C1873" s="94">
        <v>300.56</v>
      </c>
      <c r="D1873" s="94">
        <v>86.553287036275677</v>
      </c>
      <c r="E1873" s="94">
        <v>6.7790409915172454</v>
      </c>
      <c r="F1873" s="94">
        <v>86.3</v>
      </c>
      <c r="G1873" s="94">
        <v>6.7311700439453128</v>
      </c>
      <c r="H1873" s="94">
        <v>0.1</v>
      </c>
      <c r="I1873" s="94">
        <v>0</v>
      </c>
      <c r="J1873" s="94">
        <v>2508</v>
      </c>
      <c r="K1873" s="94">
        <v>2.3608696193948426</v>
      </c>
      <c r="L1873" s="94">
        <v>0</v>
      </c>
      <c r="M1873" s="94">
        <v>65.769826597991027</v>
      </c>
      <c r="N1873" s="94">
        <v>0</v>
      </c>
      <c r="O1873" s="94">
        <v>0</v>
      </c>
    </row>
    <row r="1874" spans="1:15" x14ac:dyDescent="0.25">
      <c r="A1874" s="89">
        <v>45497.833333333336</v>
      </c>
      <c r="B1874" s="94">
        <v>357.06</v>
      </c>
      <c r="C1874" s="94">
        <v>300.5</v>
      </c>
      <c r="D1874" s="94">
        <v>75.400000000000006</v>
      </c>
      <c r="E1874" s="94">
        <v>6.2889473527662103</v>
      </c>
      <c r="F1874" s="94">
        <v>75.710526472337889</v>
      </c>
      <c r="G1874" s="94">
        <v>6.2793189151743123</v>
      </c>
      <c r="H1874" s="94">
        <v>1</v>
      </c>
      <c r="I1874" s="94">
        <v>0</v>
      </c>
      <c r="J1874" s="94">
        <v>2283</v>
      </c>
      <c r="K1874" s="94">
        <v>2.3046798090733938</v>
      </c>
      <c r="L1874" s="94">
        <v>0</v>
      </c>
      <c r="M1874" s="94">
        <v>65.369352846186601</v>
      </c>
      <c r="N1874" s="94">
        <v>0</v>
      </c>
      <c r="O1874" s="94">
        <v>0</v>
      </c>
    </row>
    <row r="1875" spans="1:15" x14ac:dyDescent="0.25">
      <c r="A1875" s="89">
        <v>45498.333333333336</v>
      </c>
      <c r="B1875" s="94">
        <v>357.0607124663178</v>
      </c>
      <c r="C1875" s="94">
        <v>300.49086627418001</v>
      </c>
      <c r="D1875" s="94">
        <v>75.002405014907112</v>
      </c>
      <c r="E1875" s="94">
        <v>6.2496803982323357</v>
      </c>
      <c r="F1875" s="94">
        <v>75.215749034884951</v>
      </c>
      <c r="G1875" s="94">
        <v>6.2568330270758672</v>
      </c>
      <c r="H1875" s="94">
        <v>1.1259025763054467</v>
      </c>
      <c r="I1875" s="94">
        <v>0</v>
      </c>
      <c r="J1875" s="94">
        <v>2294</v>
      </c>
      <c r="K1875" s="94">
        <v>2.3083398434286675</v>
      </c>
      <c r="L1875" s="94">
        <v>0</v>
      </c>
      <c r="M1875" s="94">
        <v>65</v>
      </c>
      <c r="N1875" s="94">
        <v>0</v>
      </c>
      <c r="O1875" s="94">
        <v>0</v>
      </c>
    </row>
    <row r="1876" spans="1:15" x14ac:dyDescent="0.25">
      <c r="A1876" s="89">
        <v>45498.833333333336</v>
      </c>
      <c r="B1876" s="94">
        <v>357.07</v>
      </c>
      <c r="C1876" s="94">
        <v>300.32</v>
      </c>
      <c r="D1876" s="94">
        <v>62.149533194493827</v>
      </c>
      <c r="E1876" s="94">
        <v>4.3251602172851564</v>
      </c>
      <c r="F1876" s="94">
        <v>60.62586784362793</v>
      </c>
      <c r="G1876" s="94">
        <v>4.2557800292968748</v>
      </c>
      <c r="H1876" s="94">
        <v>0.1</v>
      </c>
      <c r="I1876" s="94">
        <v>0</v>
      </c>
      <c r="J1876" s="94">
        <v>1674</v>
      </c>
      <c r="K1876" s="94">
        <v>2.130072520470232</v>
      </c>
      <c r="L1876" s="94">
        <v>0</v>
      </c>
      <c r="M1876" s="94">
        <v>64</v>
      </c>
      <c r="N1876" s="94">
        <v>0</v>
      </c>
      <c r="O1876" s="94">
        <v>0</v>
      </c>
    </row>
    <row r="1877" spans="1:15" x14ac:dyDescent="0.25">
      <c r="A1877" s="89">
        <v>45499.333333333336</v>
      </c>
      <c r="B1877" s="94">
        <v>357.07</v>
      </c>
      <c r="C1877" s="94">
        <v>300.31318520669384</v>
      </c>
      <c r="D1877" s="94">
        <v>58.4</v>
      </c>
      <c r="E1877" s="94">
        <v>4.349097775399434</v>
      </c>
      <c r="F1877" s="94">
        <v>60.145725575351975</v>
      </c>
      <c r="G1877" s="94">
        <v>4.3109824987003984</v>
      </c>
      <c r="H1877" s="94">
        <v>1</v>
      </c>
      <c r="I1877" s="94">
        <v>0</v>
      </c>
      <c r="J1877" s="94">
        <v>1658</v>
      </c>
      <c r="K1877" s="94">
        <v>2.1271106625851712</v>
      </c>
      <c r="L1877" s="94">
        <v>0</v>
      </c>
      <c r="M1877" s="94">
        <v>65</v>
      </c>
      <c r="N1877" s="94">
        <v>0</v>
      </c>
      <c r="O1877" s="94">
        <v>0</v>
      </c>
    </row>
    <row r="1878" spans="1:15" x14ac:dyDescent="0.25">
      <c r="A1878" s="89">
        <v>45499.833333333336</v>
      </c>
      <c r="B1878" s="94">
        <v>357.07</v>
      </c>
      <c r="C1878" s="94">
        <v>299.96319293703397</v>
      </c>
      <c r="D1878" s="94">
        <v>58.4</v>
      </c>
      <c r="E1878" s="94">
        <v>4.3395891688581738</v>
      </c>
      <c r="F1878" s="94">
        <v>0.30166908957741478</v>
      </c>
      <c r="G1878" s="94">
        <v>0</v>
      </c>
      <c r="H1878" s="94">
        <v>1</v>
      </c>
      <c r="I1878" s="94">
        <v>0</v>
      </c>
      <c r="J1878" s="94">
        <v>791</v>
      </c>
      <c r="K1878" s="94">
        <v>1.7749333173375592</v>
      </c>
      <c r="L1878" s="94">
        <v>0</v>
      </c>
      <c r="M1878" s="94">
        <v>65</v>
      </c>
      <c r="N1878" s="94">
        <v>0</v>
      </c>
      <c r="O1878" s="94">
        <v>0</v>
      </c>
    </row>
    <row r="1879" spans="1:15" x14ac:dyDescent="0.25">
      <c r="A1879" s="89">
        <v>45500.333333333336</v>
      </c>
      <c r="B1879" s="94">
        <v>357.07</v>
      </c>
      <c r="C1879" s="94">
        <v>299.96847322170947</v>
      </c>
      <c r="D1879" s="94">
        <v>56.625526195203911</v>
      </c>
      <c r="E1879" s="94">
        <v>4.2776578585611729</v>
      </c>
      <c r="F1879" s="94">
        <v>0</v>
      </c>
      <c r="G1879" s="94">
        <v>0</v>
      </c>
      <c r="H1879" s="94">
        <v>1.0976952834566895</v>
      </c>
      <c r="I1879" s="94">
        <v>0</v>
      </c>
      <c r="J1879" s="94">
        <v>787</v>
      </c>
      <c r="K1879" s="94">
        <v>1.7749023022263639</v>
      </c>
      <c r="L1879" s="94">
        <v>0</v>
      </c>
      <c r="M1879" s="94">
        <v>65</v>
      </c>
      <c r="N1879" s="94">
        <v>0</v>
      </c>
      <c r="O1879" s="94">
        <v>0</v>
      </c>
    </row>
    <row r="1880" spans="1:15" x14ac:dyDescent="0.25">
      <c r="A1880" s="89">
        <v>45500.833333333336</v>
      </c>
      <c r="B1880" s="94">
        <v>357.07</v>
      </c>
      <c r="C1880" s="94">
        <v>300.28052900695798</v>
      </c>
      <c r="D1880" s="94">
        <v>56.747317988134313</v>
      </c>
      <c r="E1880" s="94">
        <v>4.048404115009232</v>
      </c>
      <c r="F1880" s="94">
        <v>61.3</v>
      </c>
      <c r="G1880" s="94">
        <v>3.9917479916464687</v>
      </c>
      <c r="H1880" s="94">
        <v>1.015529596819454</v>
      </c>
      <c r="I1880" s="94">
        <v>0</v>
      </c>
      <c r="J1880" s="94">
        <v>1564</v>
      </c>
      <c r="K1880" s="94">
        <v>2.0961195491456093</v>
      </c>
      <c r="L1880" s="94">
        <v>0</v>
      </c>
      <c r="M1880" s="94">
        <v>66</v>
      </c>
      <c r="N1880" s="94">
        <v>0</v>
      </c>
      <c r="O1880" s="94">
        <v>0</v>
      </c>
    </row>
    <row r="1881" spans="1:15" x14ac:dyDescent="0.25">
      <c r="A1881" s="89">
        <v>45501.333333333336</v>
      </c>
      <c r="B1881" s="94">
        <v>357.07</v>
      </c>
      <c r="C1881" s="94">
        <v>300.24</v>
      </c>
      <c r="D1881" s="94">
        <v>79.92765816292399</v>
      </c>
      <c r="E1881" s="94">
        <v>6.5101466393455123</v>
      </c>
      <c r="F1881" s="94">
        <v>0</v>
      </c>
      <c r="G1881" s="94">
        <v>0</v>
      </c>
      <c r="H1881" s="94">
        <v>1.07552001953125</v>
      </c>
      <c r="I1881" s="94">
        <v>0</v>
      </c>
      <c r="J1881" s="94">
        <v>1467</v>
      </c>
      <c r="K1881" s="94">
        <v>2.0636173796883419</v>
      </c>
      <c r="L1881" s="94">
        <v>10</v>
      </c>
      <c r="M1881" s="94">
        <v>65</v>
      </c>
      <c r="N1881" s="94">
        <v>0</v>
      </c>
      <c r="O1881" s="94">
        <v>0</v>
      </c>
    </row>
    <row r="1882" spans="1:15" x14ac:dyDescent="0.25">
      <c r="A1882" s="89">
        <v>45501.833333333336</v>
      </c>
      <c r="B1882" s="94">
        <v>357.07</v>
      </c>
      <c r="C1882" s="94">
        <v>300.23743220079587</v>
      </c>
      <c r="D1882" s="94">
        <v>79.099999999999994</v>
      </c>
      <c r="E1882" s="94">
        <v>6.5108409958759736</v>
      </c>
      <c r="F1882" s="94">
        <v>0.2</v>
      </c>
      <c r="G1882" s="94">
        <v>0</v>
      </c>
      <c r="H1882" s="94">
        <v>1.064948698859788</v>
      </c>
      <c r="I1882" s="94">
        <v>0</v>
      </c>
      <c r="J1882" s="94">
        <v>1467</v>
      </c>
      <c r="K1882" s="94">
        <v>2.0630000000000002</v>
      </c>
      <c r="L1882" s="94">
        <v>10</v>
      </c>
      <c r="M1882" s="94">
        <v>65</v>
      </c>
      <c r="N1882" s="94">
        <v>0</v>
      </c>
      <c r="O1882" s="94">
        <v>0</v>
      </c>
    </row>
    <row r="1883" spans="1:15" x14ac:dyDescent="0.25">
      <c r="A1883" s="89">
        <v>45502.333333333336</v>
      </c>
      <c r="B1883" s="94">
        <v>357.07</v>
      </c>
      <c r="C1883" s="94">
        <v>300.23</v>
      </c>
      <c r="D1883" s="94">
        <v>78.235896228266412</v>
      </c>
      <c r="E1883" s="94">
        <v>6.510971208323423</v>
      </c>
      <c r="F1883" s="94">
        <v>-0.2</v>
      </c>
      <c r="G1883" s="94">
        <v>0</v>
      </c>
      <c r="H1883" s="94">
        <v>1.2</v>
      </c>
      <c r="I1883" s="94">
        <v>0</v>
      </c>
      <c r="J1883" s="94">
        <v>1452</v>
      </c>
      <c r="K1883" s="94">
        <v>2.0572471715526124</v>
      </c>
      <c r="L1883" s="94">
        <v>0</v>
      </c>
      <c r="M1883" s="94">
        <v>65</v>
      </c>
      <c r="N1883" s="94">
        <v>0</v>
      </c>
      <c r="O1883" s="94">
        <v>10</v>
      </c>
    </row>
    <row r="1884" spans="1:15" x14ac:dyDescent="0.25">
      <c r="A1884" s="89">
        <v>45502.833333333336</v>
      </c>
      <c r="B1884" s="94">
        <v>357.07</v>
      </c>
      <c r="C1884" s="94">
        <v>300.29000000000002</v>
      </c>
      <c r="D1884" s="94">
        <v>39.904752983834413</v>
      </c>
      <c r="E1884" s="94">
        <v>2.2804800415039059</v>
      </c>
      <c r="F1884" s="94">
        <v>-0.1</v>
      </c>
      <c r="G1884" s="94">
        <v>0</v>
      </c>
      <c r="H1884" s="94">
        <v>44.256991392990635</v>
      </c>
      <c r="I1884" s="94">
        <v>5.4105400085449222</v>
      </c>
      <c r="J1884" s="94">
        <v>1763</v>
      </c>
      <c r="K1884" s="94">
        <v>2.1593549433446464</v>
      </c>
      <c r="L1884" s="94">
        <v>101</v>
      </c>
      <c r="M1884" s="94">
        <v>65.528879493429372</v>
      </c>
      <c r="N1884" s="94">
        <v>0</v>
      </c>
      <c r="O1884" s="94">
        <v>0</v>
      </c>
    </row>
    <row r="1885" spans="1:15" x14ac:dyDescent="0.25">
      <c r="A1885" s="89">
        <v>45503.333333333336</v>
      </c>
      <c r="B1885" s="94">
        <v>357.07</v>
      </c>
      <c r="C1885" s="94">
        <v>300.29531875229009</v>
      </c>
      <c r="D1885" s="94">
        <v>39.4</v>
      </c>
      <c r="E1885" s="94">
        <v>2.2601717049154568</v>
      </c>
      <c r="F1885" s="94">
        <v>-0.4</v>
      </c>
      <c r="G1885" s="94">
        <v>0</v>
      </c>
      <c r="H1885" s="94">
        <v>44.891577835925794</v>
      </c>
      <c r="I1885" s="94">
        <v>5.5812389866162615</v>
      </c>
      <c r="J1885" s="94">
        <v>1760</v>
      </c>
      <c r="K1885" s="94">
        <v>2.1589999999999998</v>
      </c>
      <c r="L1885" s="94">
        <v>100.7854883132191</v>
      </c>
      <c r="M1885" s="94">
        <v>65</v>
      </c>
      <c r="N1885" s="94">
        <v>0</v>
      </c>
      <c r="O1885" s="94">
        <v>0</v>
      </c>
    </row>
    <row r="1886" spans="1:15" x14ac:dyDescent="0.25">
      <c r="A1886" s="89">
        <v>45503.833333333336</v>
      </c>
      <c r="B1886" s="94">
        <v>357.07</v>
      </c>
      <c r="C1886" s="94">
        <v>299.86722146162731</v>
      </c>
      <c r="D1886" s="94">
        <v>46.834418090643872</v>
      </c>
      <c r="E1886" s="94">
        <v>3.2091925613923546</v>
      </c>
      <c r="F1886" s="94">
        <v>-0.11333078845811938</v>
      </c>
      <c r="G1886" s="94">
        <v>0</v>
      </c>
      <c r="H1886" s="94">
        <v>0.2</v>
      </c>
      <c r="I1886" s="94">
        <v>0</v>
      </c>
      <c r="J1886" s="94">
        <v>625</v>
      </c>
      <c r="K1886" s="94">
        <v>1.6790288949323533</v>
      </c>
      <c r="L1886" s="94">
        <v>100</v>
      </c>
      <c r="M1886" s="94">
        <v>64.249507165578962</v>
      </c>
      <c r="N1886" s="94">
        <v>0</v>
      </c>
      <c r="O1886" s="94">
        <v>0</v>
      </c>
    </row>
    <row r="1887" spans="1:15" x14ac:dyDescent="0.25">
      <c r="A1887" s="89">
        <v>45504.333333333336</v>
      </c>
      <c r="B1887" s="94">
        <v>357.07</v>
      </c>
      <c r="C1887" s="94">
        <v>299.8693971169979</v>
      </c>
      <c r="D1887" s="94">
        <v>47.930020633948125</v>
      </c>
      <c r="E1887" s="94">
        <v>3.1463767188999041</v>
      </c>
      <c r="F1887" s="94" t="s">
        <v>94</v>
      </c>
      <c r="G1887" s="94">
        <v>0</v>
      </c>
      <c r="H1887" s="94">
        <v>0.23507692933277083</v>
      </c>
      <c r="I1887" s="94">
        <v>0</v>
      </c>
      <c r="J1887" s="94">
        <v>626</v>
      </c>
      <c r="K1887" s="94">
        <v>1.6786016155354833</v>
      </c>
      <c r="L1887" s="94">
        <v>100</v>
      </c>
      <c r="M1887" s="94">
        <v>64.949348893009613</v>
      </c>
      <c r="N1887" s="94">
        <v>0</v>
      </c>
      <c r="O1887" s="94">
        <v>0</v>
      </c>
    </row>
    <row r="1888" spans="1:15" x14ac:dyDescent="0.25">
      <c r="A1888" s="89">
        <v>45504.833333333336</v>
      </c>
      <c r="B1888" s="94">
        <v>357.07</v>
      </c>
      <c r="C1888" s="94">
        <v>299.73849955891109</v>
      </c>
      <c r="D1888" s="94">
        <v>35.4</v>
      </c>
      <c r="E1888" s="94">
        <v>1.96</v>
      </c>
      <c r="F1888" s="94">
        <v>-0.2</v>
      </c>
      <c r="G1888" s="94">
        <v>0</v>
      </c>
      <c r="H1888" s="94">
        <v>1.2</v>
      </c>
      <c r="I1888" s="94">
        <v>0</v>
      </c>
      <c r="J1888" s="94">
        <v>458</v>
      </c>
      <c r="K1888" s="94">
        <v>1.5529981384657052</v>
      </c>
      <c r="L1888" s="94">
        <v>100.14090525266296</v>
      </c>
      <c r="M1888" s="94">
        <v>65</v>
      </c>
      <c r="N1888" s="94">
        <v>0</v>
      </c>
      <c r="O1888" s="94">
        <v>0</v>
      </c>
    </row>
    <row r="1889" spans="1:15" x14ac:dyDescent="0.25">
      <c r="A1889" s="89">
        <v>45505.333333333336</v>
      </c>
      <c r="B1889" s="94">
        <v>357.07</v>
      </c>
      <c r="C1889" s="94">
        <v>299.73934480175745</v>
      </c>
      <c r="D1889" s="94">
        <v>32.415620325163687</v>
      </c>
      <c r="E1889" s="94">
        <v>1.9727722621047807</v>
      </c>
      <c r="F1889" s="94">
        <v>-0.5</v>
      </c>
      <c r="G1889" s="94">
        <v>0</v>
      </c>
      <c r="H1889" s="94">
        <v>1.3</v>
      </c>
      <c r="I1889" s="94">
        <v>0</v>
      </c>
      <c r="J1889" s="94">
        <v>457</v>
      </c>
      <c r="K1889" s="94">
        <v>1.5527428877469738</v>
      </c>
      <c r="L1889" s="94">
        <v>100.05186836710423</v>
      </c>
      <c r="M1889" s="94">
        <v>65</v>
      </c>
      <c r="N1889" s="94">
        <v>0</v>
      </c>
      <c r="O1889" s="94">
        <v>0</v>
      </c>
    </row>
    <row r="1890" spans="1:15" x14ac:dyDescent="0.25">
      <c r="A1890" s="89">
        <v>45505.833333333336</v>
      </c>
      <c r="B1890" s="94">
        <v>357.07</v>
      </c>
      <c r="C1890" s="94">
        <v>299.94</v>
      </c>
      <c r="D1890" s="94">
        <v>59.271828927657637</v>
      </c>
      <c r="E1890" s="94">
        <v>3.9905999755859374</v>
      </c>
      <c r="F1890" s="94">
        <v>-0.2</v>
      </c>
      <c r="G1890" s="94">
        <v>0</v>
      </c>
      <c r="H1890" s="94">
        <v>1.2</v>
      </c>
      <c r="I1890" s="94">
        <v>0</v>
      </c>
      <c r="J1890" s="94">
        <v>745</v>
      </c>
      <c r="K1890" s="94">
        <v>1.75</v>
      </c>
      <c r="L1890" s="94">
        <v>0</v>
      </c>
      <c r="M1890" s="94">
        <v>65</v>
      </c>
      <c r="N1890" s="94">
        <v>0</v>
      </c>
      <c r="O1890" s="94">
        <v>0</v>
      </c>
    </row>
    <row r="1891" spans="1:15" x14ac:dyDescent="0.25">
      <c r="A1891" s="89">
        <v>45506.333333333336</v>
      </c>
      <c r="B1891" s="94">
        <v>357.07</v>
      </c>
      <c r="C1891" s="94">
        <v>299.94</v>
      </c>
      <c r="D1891" s="94">
        <v>56.774519826363729</v>
      </c>
      <c r="E1891" s="94">
        <v>4.03</v>
      </c>
      <c r="F1891" s="94">
        <v>-0.53497666367879326</v>
      </c>
      <c r="G1891" s="94">
        <v>0</v>
      </c>
      <c r="H1891" s="94">
        <v>1.2463844716119741</v>
      </c>
      <c r="I1891" s="94">
        <v>0</v>
      </c>
      <c r="J1891" s="94">
        <v>437.72786122784913</v>
      </c>
      <c r="K1891" s="94">
        <v>1.75</v>
      </c>
      <c r="L1891" s="94">
        <v>0</v>
      </c>
      <c r="M1891" s="94">
        <v>65.322971281807995</v>
      </c>
      <c r="N1891" s="94">
        <v>0</v>
      </c>
      <c r="O1891" s="94">
        <v>0</v>
      </c>
    </row>
    <row r="1892" spans="1:15" x14ac:dyDescent="0.25">
      <c r="A1892" s="89">
        <v>45506.833333333336</v>
      </c>
      <c r="B1892" s="94">
        <v>357.07</v>
      </c>
      <c r="C1892" s="94">
        <v>299.94</v>
      </c>
      <c r="D1892" s="94">
        <v>58.576608997840651</v>
      </c>
      <c r="E1892" s="94">
        <v>3.9990399169921873</v>
      </c>
      <c r="F1892" s="94">
        <v>-0.2</v>
      </c>
      <c r="G1892" s="94">
        <v>0</v>
      </c>
      <c r="H1892" s="94">
        <v>1.2</v>
      </c>
      <c r="I1892" s="94">
        <v>0</v>
      </c>
      <c r="J1892" s="94">
        <v>745</v>
      </c>
      <c r="K1892" s="94">
        <v>1.75</v>
      </c>
      <c r="L1892" s="94">
        <v>0</v>
      </c>
      <c r="M1892" s="94">
        <v>64.902034635961343</v>
      </c>
      <c r="N1892" s="94">
        <v>0</v>
      </c>
      <c r="O1892" s="94">
        <v>0</v>
      </c>
    </row>
    <row r="1893" spans="1:15" x14ac:dyDescent="0.25">
      <c r="A1893" s="89">
        <v>45507.333333333336</v>
      </c>
      <c r="B1893" s="94">
        <v>357.07</v>
      </c>
      <c r="C1893" s="94">
        <v>299.94</v>
      </c>
      <c r="D1893" s="94">
        <v>57.917334770238426</v>
      </c>
      <c r="E1893" s="94">
        <v>4.0222966023875113</v>
      </c>
      <c r="F1893" s="94">
        <v>-0.55053426094751101</v>
      </c>
      <c r="G1893" s="94">
        <v>0</v>
      </c>
      <c r="H1893" s="94">
        <v>1.2603782720070806</v>
      </c>
      <c r="I1893" s="94">
        <v>0</v>
      </c>
      <c r="J1893" s="94">
        <v>745</v>
      </c>
      <c r="K1893" s="94">
        <v>1.75</v>
      </c>
      <c r="L1893" s="94">
        <v>0</v>
      </c>
      <c r="M1893" s="94">
        <v>65</v>
      </c>
      <c r="N1893" s="94">
        <v>0</v>
      </c>
      <c r="O1893" s="94">
        <v>0</v>
      </c>
    </row>
    <row r="1894" spans="1:15" x14ac:dyDescent="0.25">
      <c r="A1894" s="89">
        <v>45507.833333333336</v>
      </c>
      <c r="B1894" s="94">
        <v>357.07</v>
      </c>
      <c r="C1894" s="94">
        <v>299.73571507244407</v>
      </c>
      <c r="D1894" s="94">
        <v>33.200000000000003</v>
      </c>
      <c r="E1894" s="94">
        <v>1.9121981372235179</v>
      </c>
      <c r="F1894" s="94">
        <v>-0.2</v>
      </c>
      <c r="G1894" s="94">
        <v>0</v>
      </c>
      <c r="H1894" s="94">
        <v>1.2</v>
      </c>
      <c r="I1894" s="94">
        <v>0</v>
      </c>
      <c r="J1894" s="94">
        <v>144.81335087908411</v>
      </c>
      <c r="K1894" s="94">
        <v>1.554</v>
      </c>
      <c r="L1894" s="94">
        <v>0</v>
      </c>
      <c r="M1894" s="94">
        <v>65</v>
      </c>
      <c r="N1894" s="94">
        <v>0</v>
      </c>
      <c r="O1894" s="94">
        <v>0</v>
      </c>
    </row>
    <row r="1895" spans="1:15" x14ac:dyDescent="0.25">
      <c r="A1895" s="89">
        <v>45508.333333333336</v>
      </c>
      <c r="B1895" s="94">
        <v>357.07</v>
      </c>
      <c r="C1895" s="94">
        <v>299.73614633086891</v>
      </c>
      <c r="D1895" s="94">
        <v>31.9</v>
      </c>
      <c r="E1895" s="94">
        <v>1.9696789550781251</v>
      </c>
      <c r="F1895" s="94">
        <v>-0.5</v>
      </c>
      <c r="G1895" s="94">
        <v>0</v>
      </c>
      <c r="H1895" s="94">
        <v>1.228466796875</v>
      </c>
      <c r="I1895" s="94">
        <v>0</v>
      </c>
      <c r="J1895" s="94">
        <v>385.72359988191488</v>
      </c>
      <c r="K1895" s="94">
        <v>1.5529999999999999</v>
      </c>
      <c r="L1895" s="94">
        <v>0</v>
      </c>
      <c r="M1895" s="94">
        <v>65</v>
      </c>
      <c r="N1895" s="94">
        <v>0</v>
      </c>
      <c r="O1895" s="94">
        <v>0</v>
      </c>
    </row>
    <row r="1896" spans="1:15" x14ac:dyDescent="0.25">
      <c r="A1896" s="89">
        <v>45508.833333333336</v>
      </c>
      <c r="B1896" s="94">
        <v>357.07</v>
      </c>
      <c r="C1896" s="94">
        <v>299.73207235076387</v>
      </c>
      <c r="D1896" s="94">
        <v>31.6</v>
      </c>
      <c r="E1896" s="94">
        <v>1.9948501553267954</v>
      </c>
      <c r="F1896" s="94">
        <v>-0.2</v>
      </c>
      <c r="G1896" s="94">
        <v>0</v>
      </c>
      <c r="H1896" s="94">
        <v>1.2</v>
      </c>
      <c r="I1896" s="94">
        <v>0</v>
      </c>
      <c r="J1896" s="94">
        <v>426.63371286215278</v>
      </c>
      <c r="K1896" s="94">
        <v>1.554</v>
      </c>
      <c r="L1896" s="94">
        <v>0</v>
      </c>
      <c r="M1896" s="94">
        <v>65</v>
      </c>
      <c r="N1896" s="94">
        <v>0</v>
      </c>
      <c r="O1896" s="94">
        <v>0</v>
      </c>
    </row>
    <row r="1897" spans="1:15" x14ac:dyDescent="0.25">
      <c r="A1897" s="89">
        <v>45509.333333333336</v>
      </c>
      <c r="B1897" s="94">
        <v>357.35</v>
      </c>
      <c r="C1897" s="94">
        <v>299.73409133925577</v>
      </c>
      <c r="D1897" s="94">
        <v>32.445570561937501</v>
      </c>
      <c r="E1897" s="94">
        <v>1.9884613039435373</v>
      </c>
      <c r="F1897" s="94">
        <v>-0.2</v>
      </c>
      <c r="G1897" s="94">
        <v>0</v>
      </c>
      <c r="H1897" s="94">
        <v>1.2</v>
      </c>
      <c r="I1897" s="94">
        <v>0</v>
      </c>
      <c r="J1897" s="94">
        <v>459</v>
      </c>
      <c r="K1897" s="94">
        <v>1.554649656224528</v>
      </c>
      <c r="L1897" s="94">
        <v>0</v>
      </c>
      <c r="M1897" s="94">
        <v>65</v>
      </c>
      <c r="N1897" s="94">
        <v>0</v>
      </c>
      <c r="O1897" s="94">
        <v>0</v>
      </c>
    </row>
    <row r="1898" spans="1:15" x14ac:dyDescent="0.25">
      <c r="A1898" s="89">
        <v>45509.833333333336</v>
      </c>
      <c r="B1898" s="94">
        <v>357.35</v>
      </c>
      <c r="C1898" s="94">
        <v>299.83999999999997</v>
      </c>
      <c r="D1898" s="94">
        <v>50.066455484525676</v>
      </c>
      <c r="E1898" s="94">
        <v>2.9912001037597657</v>
      </c>
      <c r="F1898" s="94">
        <v>1.1685956694467703</v>
      </c>
      <c r="G1898" s="94">
        <v>0</v>
      </c>
      <c r="H1898" s="94">
        <v>1.2</v>
      </c>
      <c r="I1898" s="94">
        <v>0</v>
      </c>
      <c r="J1898" s="94">
        <v>596</v>
      </c>
      <c r="K1898" s="94">
        <v>1.661</v>
      </c>
      <c r="L1898" s="94">
        <v>0</v>
      </c>
      <c r="M1898" s="94">
        <v>65</v>
      </c>
      <c r="N1898" s="94">
        <v>0</v>
      </c>
      <c r="O1898" s="94">
        <v>0</v>
      </c>
    </row>
    <row r="1899" spans="1:15" x14ac:dyDescent="0.25">
      <c r="A1899" s="89">
        <v>45510.333333333336</v>
      </c>
      <c r="B1899" s="94">
        <v>357.37</v>
      </c>
      <c r="C1899" s="94">
        <v>299.84842570533584</v>
      </c>
      <c r="D1899" s="94">
        <v>49.149607795748757</v>
      </c>
      <c r="E1899" s="94">
        <v>3.0807217045975257</v>
      </c>
      <c r="F1899" s="94">
        <v>0.92722621133208405</v>
      </c>
      <c r="G1899" s="94">
        <v>0</v>
      </c>
      <c r="H1899" s="94">
        <v>1.2892557075435827</v>
      </c>
      <c r="I1899" s="94">
        <v>0</v>
      </c>
      <c r="J1899" s="94">
        <v>593</v>
      </c>
      <c r="K1899" s="94">
        <v>1.66</v>
      </c>
      <c r="L1899" s="94">
        <v>0</v>
      </c>
      <c r="M1899" s="94">
        <v>65.683859022328875</v>
      </c>
      <c r="N1899" s="94">
        <v>0</v>
      </c>
      <c r="O1899" s="94">
        <v>0</v>
      </c>
    </row>
    <row r="1900" spans="1:15" x14ac:dyDescent="0.25">
      <c r="A1900" s="89">
        <v>45510.833333333336</v>
      </c>
      <c r="B1900" s="94">
        <v>357.37</v>
      </c>
      <c r="C1900" s="94">
        <v>299.76080939640724</v>
      </c>
      <c r="D1900" s="94">
        <v>37.299999999999997</v>
      </c>
      <c r="E1900" s="94">
        <v>2.2774198913574217</v>
      </c>
      <c r="F1900" s="94">
        <v>0</v>
      </c>
      <c r="G1900" s="94">
        <v>0</v>
      </c>
      <c r="H1900" s="94">
        <v>1.2</v>
      </c>
      <c r="I1900" s="94">
        <v>0</v>
      </c>
      <c r="J1900" s="94">
        <v>498</v>
      </c>
      <c r="K1900" s="94">
        <v>1.5849513458708457</v>
      </c>
      <c r="L1900" s="94">
        <v>0</v>
      </c>
      <c r="M1900" s="94">
        <v>65</v>
      </c>
      <c r="N1900" s="94">
        <v>0</v>
      </c>
      <c r="O1900" s="94">
        <v>0</v>
      </c>
    </row>
    <row r="1901" spans="1:15" x14ac:dyDescent="0.25">
      <c r="A1901" s="89">
        <v>45511.333333333336</v>
      </c>
      <c r="B1901" s="94">
        <v>357.39</v>
      </c>
      <c r="C1901" s="94">
        <v>299.76382349686463</v>
      </c>
      <c r="D1901" s="94">
        <v>37.200634170100052</v>
      </c>
      <c r="E1901" s="94">
        <v>2.2692030152892184</v>
      </c>
      <c r="F1901" s="94">
        <v>-0.24337158203125001</v>
      </c>
      <c r="G1901" s="94">
        <v>0</v>
      </c>
      <c r="H1901" s="94">
        <v>1.3</v>
      </c>
      <c r="I1901" s="94">
        <v>0</v>
      </c>
      <c r="J1901" s="94">
        <v>499</v>
      </c>
      <c r="K1901" s="94">
        <v>1.5855474817204058</v>
      </c>
      <c r="L1901" s="94">
        <v>0</v>
      </c>
      <c r="M1901" s="94">
        <v>65</v>
      </c>
      <c r="N1901" s="94">
        <v>0</v>
      </c>
      <c r="O1901" s="94">
        <v>0</v>
      </c>
    </row>
    <row r="1902" spans="1:15" x14ac:dyDescent="0.25">
      <c r="A1902" s="89">
        <v>45511.833333333336</v>
      </c>
      <c r="B1902" s="94">
        <v>357.39</v>
      </c>
      <c r="C1902" s="94">
        <v>299.76382499694824</v>
      </c>
      <c r="D1902" s="94">
        <v>35.522719542633645</v>
      </c>
      <c r="E1902" s="94">
        <v>2.2561782902422918</v>
      </c>
      <c r="F1902" s="94">
        <v>0</v>
      </c>
      <c r="G1902" s="94">
        <v>0</v>
      </c>
      <c r="H1902" s="94">
        <v>1.2</v>
      </c>
      <c r="I1902" s="94">
        <v>0</v>
      </c>
      <c r="J1902" s="94">
        <v>498</v>
      </c>
      <c r="K1902" s="94">
        <v>1.585</v>
      </c>
      <c r="L1902" s="94">
        <v>0</v>
      </c>
      <c r="M1902" s="94">
        <v>64</v>
      </c>
      <c r="N1902" s="94">
        <v>0</v>
      </c>
      <c r="O1902" s="94">
        <v>0</v>
      </c>
    </row>
    <row r="1903" spans="1:15" x14ac:dyDescent="0.25">
      <c r="A1903" s="89">
        <v>45512.333333333336</v>
      </c>
      <c r="B1903" s="94">
        <v>357.39243500839359</v>
      </c>
      <c r="C1903" s="94">
        <v>299.76629130677173</v>
      </c>
      <c r="D1903" s="94">
        <v>36.943501570309238</v>
      </c>
      <c r="E1903" s="94">
        <v>2.298364875555285</v>
      </c>
      <c r="F1903" s="94">
        <v>-0.2</v>
      </c>
      <c r="G1903" s="94">
        <v>0</v>
      </c>
      <c r="H1903" s="94">
        <v>1.2674777821108147</v>
      </c>
      <c r="I1903" s="94">
        <v>0</v>
      </c>
      <c r="J1903" s="94">
        <v>497</v>
      </c>
      <c r="K1903" s="94">
        <v>1.5838639816784474</v>
      </c>
      <c r="L1903" s="94">
        <v>0</v>
      </c>
      <c r="M1903" s="94">
        <v>64</v>
      </c>
      <c r="N1903" s="94">
        <v>0</v>
      </c>
      <c r="O1903" s="94">
        <v>0</v>
      </c>
    </row>
    <row r="1904" spans="1:15" x14ac:dyDescent="0.25">
      <c r="A1904" s="89">
        <v>45512.833333333336</v>
      </c>
      <c r="B1904" s="94">
        <v>357.41</v>
      </c>
      <c r="C1904" s="94">
        <v>299.76547358324649</v>
      </c>
      <c r="D1904" s="94">
        <v>35.986025165514263</v>
      </c>
      <c r="E1904" s="94">
        <v>2.2177062918932107</v>
      </c>
      <c r="F1904" s="94">
        <v>-0.1</v>
      </c>
      <c r="G1904" s="94">
        <v>0</v>
      </c>
      <c r="H1904" s="94">
        <v>1.2</v>
      </c>
      <c r="I1904" s="94">
        <v>0</v>
      </c>
      <c r="J1904" s="94">
        <v>503</v>
      </c>
      <c r="K1904" s="94">
        <v>1.5896729341275653</v>
      </c>
      <c r="L1904" s="94">
        <v>0</v>
      </c>
      <c r="M1904" s="94">
        <v>65</v>
      </c>
      <c r="N1904" s="94">
        <v>0</v>
      </c>
      <c r="O1904" s="94">
        <v>0</v>
      </c>
    </row>
    <row r="1905" spans="1:15" x14ac:dyDescent="0.25">
      <c r="A1905" s="89">
        <v>45513.333333333336</v>
      </c>
      <c r="B1905" s="94">
        <v>357.41</v>
      </c>
      <c r="C1905" s="94">
        <v>299.76512996980756</v>
      </c>
      <c r="D1905" s="94">
        <v>37.33513068460514</v>
      </c>
      <c r="E1905" s="94">
        <v>2.2602601429312079</v>
      </c>
      <c r="F1905" s="94">
        <v>-0.2</v>
      </c>
      <c r="G1905" s="94">
        <v>0</v>
      </c>
      <c r="H1905" s="94">
        <v>1.2201480441623263</v>
      </c>
      <c r="I1905" s="94">
        <v>0</v>
      </c>
      <c r="J1905" s="94">
        <v>503</v>
      </c>
      <c r="K1905" s="94">
        <v>1.589</v>
      </c>
      <c r="L1905" s="94">
        <v>0</v>
      </c>
      <c r="M1905" s="94">
        <v>65</v>
      </c>
      <c r="N1905" s="94">
        <v>0</v>
      </c>
      <c r="O1905" s="94">
        <v>0</v>
      </c>
    </row>
    <row r="1906" spans="1:15" x14ac:dyDescent="0.25">
      <c r="A1906" s="89">
        <v>45513.833333333336</v>
      </c>
      <c r="B1906" s="94">
        <v>357.41</v>
      </c>
      <c r="C1906" s="94">
        <v>299.76748080580046</v>
      </c>
      <c r="D1906" s="94">
        <v>37.003100585937503</v>
      </c>
      <c r="E1906" s="94">
        <v>2.27</v>
      </c>
      <c r="F1906" s="94">
        <v>0</v>
      </c>
      <c r="G1906" s="94">
        <v>0</v>
      </c>
      <c r="H1906" s="94">
        <v>1.2</v>
      </c>
      <c r="I1906" s="94">
        <v>0</v>
      </c>
      <c r="J1906" s="94">
        <v>503</v>
      </c>
      <c r="K1906" s="94">
        <v>1.5897810019990319</v>
      </c>
      <c r="L1906" s="94">
        <v>0</v>
      </c>
      <c r="M1906" s="94">
        <v>65.293443898876731</v>
      </c>
      <c r="N1906" s="94">
        <v>0</v>
      </c>
      <c r="O1906" s="94">
        <v>0</v>
      </c>
    </row>
    <row r="1907" spans="1:15" x14ac:dyDescent="0.25">
      <c r="A1907" s="89">
        <v>45514.333333333336</v>
      </c>
      <c r="B1907" s="94">
        <v>357.41</v>
      </c>
      <c r="C1907" s="94">
        <v>299.76225899419069</v>
      </c>
      <c r="D1907" s="94">
        <v>36.498403045685279</v>
      </c>
      <c r="E1907" s="94">
        <v>2.3101200103759765</v>
      </c>
      <c r="F1907" s="94">
        <v>-0.2</v>
      </c>
      <c r="G1907" s="94">
        <v>0</v>
      </c>
      <c r="H1907" s="94">
        <v>1.2522665109560835</v>
      </c>
      <c r="I1907" s="94">
        <v>0</v>
      </c>
      <c r="J1907" s="94">
        <v>502</v>
      </c>
      <c r="K1907" s="94">
        <v>1.589</v>
      </c>
      <c r="L1907" s="94">
        <v>0</v>
      </c>
      <c r="M1907" s="94">
        <v>65</v>
      </c>
      <c r="N1907" s="94">
        <v>0</v>
      </c>
      <c r="O1907" s="94">
        <v>0</v>
      </c>
    </row>
    <row r="1908" spans="1:15" x14ac:dyDescent="0.25">
      <c r="A1908" s="89">
        <v>45514.833333333336</v>
      </c>
      <c r="B1908" s="94">
        <v>357.41</v>
      </c>
      <c r="C1908" s="94">
        <v>299.76123801046316</v>
      </c>
      <c r="D1908" s="94">
        <v>36.854907523732663</v>
      </c>
      <c r="E1908" s="94">
        <v>2.242018383412459</v>
      </c>
      <c r="F1908" s="94">
        <v>0</v>
      </c>
      <c r="G1908" s="94">
        <v>0</v>
      </c>
      <c r="H1908" s="94">
        <v>1.2</v>
      </c>
      <c r="I1908" s="94">
        <v>0</v>
      </c>
      <c r="J1908" s="94">
        <v>503</v>
      </c>
      <c r="K1908" s="94">
        <v>1.5899796514825346</v>
      </c>
      <c r="L1908" s="94">
        <v>0</v>
      </c>
      <c r="M1908" s="94">
        <v>65</v>
      </c>
      <c r="N1908" s="94">
        <v>0</v>
      </c>
      <c r="O1908" s="94">
        <v>0</v>
      </c>
    </row>
    <row r="1909" spans="1:15" x14ac:dyDescent="0.25">
      <c r="A1909" s="89">
        <v>45515.333333333336</v>
      </c>
      <c r="B1909" s="94">
        <v>357.41</v>
      </c>
      <c r="C1909" s="94">
        <v>299.76563503265379</v>
      </c>
      <c r="D1909" s="94">
        <v>37.299999999999997</v>
      </c>
      <c r="E1909" s="94">
        <v>2.2704632973247079</v>
      </c>
      <c r="F1909" s="94">
        <v>0.21794183625856933</v>
      </c>
      <c r="G1909" s="94">
        <v>0</v>
      </c>
      <c r="H1909" s="94">
        <v>1.2</v>
      </c>
      <c r="I1909" s="94">
        <v>0</v>
      </c>
      <c r="J1909" s="94">
        <v>503</v>
      </c>
      <c r="K1909" s="94">
        <v>1.5887017674375563</v>
      </c>
      <c r="L1909" s="94">
        <v>0</v>
      </c>
      <c r="M1909" s="94">
        <v>65</v>
      </c>
      <c r="N1909" s="94">
        <v>0</v>
      </c>
      <c r="O1909" s="94">
        <v>0</v>
      </c>
    </row>
    <row r="1910" spans="1:15" x14ac:dyDescent="0.25">
      <c r="A1910" s="89">
        <v>45515.833333333336</v>
      </c>
      <c r="B1910" s="94">
        <v>357.41</v>
      </c>
      <c r="C1910" s="94">
        <v>299.77</v>
      </c>
      <c r="D1910" s="94">
        <v>37.701468940242911</v>
      </c>
      <c r="E1910" s="94">
        <v>2.2667866262368337</v>
      </c>
      <c r="F1910" s="94">
        <v>0.9</v>
      </c>
      <c r="G1910" s="94">
        <v>0</v>
      </c>
      <c r="H1910" s="94">
        <v>1.2</v>
      </c>
      <c r="I1910" s="94">
        <v>0</v>
      </c>
      <c r="J1910" s="94">
        <v>505</v>
      </c>
      <c r="K1910" s="94">
        <v>1.589</v>
      </c>
      <c r="L1910" s="94">
        <v>0</v>
      </c>
      <c r="M1910" s="94">
        <v>65</v>
      </c>
      <c r="N1910" s="94">
        <v>0</v>
      </c>
      <c r="O1910" s="94">
        <v>0</v>
      </c>
    </row>
    <row r="1911" spans="1:15" x14ac:dyDescent="0.25">
      <c r="A1911" s="89">
        <v>45516.333333333336</v>
      </c>
      <c r="B1911" s="94">
        <v>357.45821973911455</v>
      </c>
      <c r="C1911" s="94">
        <v>299.76651516936028</v>
      </c>
      <c r="D1911" s="94">
        <v>35.550502349010756</v>
      </c>
      <c r="E1911" s="94">
        <v>2.2811700439453122</v>
      </c>
      <c r="F1911" s="94">
        <v>0.7</v>
      </c>
      <c r="G1911" s="94">
        <v>0</v>
      </c>
      <c r="H1911" s="94">
        <v>1.2</v>
      </c>
      <c r="I1911" s="94">
        <v>0</v>
      </c>
      <c r="J1911" s="94">
        <v>503</v>
      </c>
      <c r="K1911" s="94">
        <v>1.5904826664638256</v>
      </c>
      <c r="L1911" s="94">
        <v>0</v>
      </c>
      <c r="M1911" s="94">
        <v>65</v>
      </c>
      <c r="N1911" s="94">
        <v>0</v>
      </c>
      <c r="O1911" s="94">
        <v>0</v>
      </c>
    </row>
    <row r="1912" spans="1:15" x14ac:dyDescent="0.25">
      <c r="A1912" s="89">
        <v>45516.833333333336</v>
      </c>
      <c r="B1912" s="94">
        <v>357.5</v>
      </c>
      <c r="C1912" s="94">
        <v>299.77</v>
      </c>
      <c r="D1912" s="94">
        <v>37.200000000000003</v>
      </c>
      <c r="E1912" s="94">
        <v>2.2736358647602208</v>
      </c>
      <c r="F1912" s="94">
        <v>1.01820068359375</v>
      </c>
      <c r="G1912" s="94">
        <v>0</v>
      </c>
      <c r="H1912" s="94">
        <v>1.2</v>
      </c>
      <c r="I1912" s="94">
        <v>0</v>
      </c>
      <c r="J1912" s="94">
        <v>509</v>
      </c>
      <c r="K1912" s="94">
        <v>1.593367791262984</v>
      </c>
      <c r="L1912" s="94">
        <v>0</v>
      </c>
      <c r="M1912" s="94">
        <v>65</v>
      </c>
      <c r="N1912" s="94">
        <v>0</v>
      </c>
      <c r="O1912" s="94">
        <v>0</v>
      </c>
    </row>
    <row r="1913" spans="1:15" x14ac:dyDescent="0.25">
      <c r="A1913" s="89">
        <v>45517.333333333336</v>
      </c>
      <c r="B1913" s="94">
        <v>357.51846278225406</v>
      </c>
      <c r="C1913" s="94">
        <v>299.77</v>
      </c>
      <c r="D1913" s="94">
        <v>37.602031930755153</v>
      </c>
      <c r="E1913" s="94">
        <v>2.283153683633945</v>
      </c>
      <c r="F1913" s="94">
        <v>0.90894630509512409</v>
      </c>
      <c r="G1913" s="94">
        <v>0</v>
      </c>
      <c r="H1913" s="94">
        <v>1.2</v>
      </c>
      <c r="I1913" s="94">
        <v>0</v>
      </c>
      <c r="J1913" s="94">
        <v>506</v>
      </c>
      <c r="K1913" s="94">
        <v>1.5918719110370001</v>
      </c>
      <c r="L1913" s="94">
        <v>0</v>
      </c>
      <c r="M1913" s="94">
        <v>64.568205000474421</v>
      </c>
      <c r="N1913" s="94">
        <v>0</v>
      </c>
      <c r="O1913" s="94">
        <v>0</v>
      </c>
    </row>
    <row r="1914" spans="1:15" x14ac:dyDescent="0.25">
      <c r="A1914" s="89">
        <v>45517.833333333336</v>
      </c>
      <c r="B1914" s="94">
        <v>357.53</v>
      </c>
      <c r="C1914" s="94">
        <v>299.76018982633207</v>
      </c>
      <c r="D1914" s="94">
        <v>37.667561102690414</v>
      </c>
      <c r="E1914" s="94">
        <v>2.3068953737303191</v>
      </c>
      <c r="F1914" s="94">
        <v>1.7707903944678267</v>
      </c>
      <c r="G1914" s="94">
        <v>0</v>
      </c>
      <c r="H1914" s="94">
        <v>1.1647198260589617</v>
      </c>
      <c r="I1914" s="94">
        <v>0</v>
      </c>
      <c r="J1914" s="94">
        <v>503</v>
      </c>
      <c r="K1914" s="94">
        <v>1.589</v>
      </c>
      <c r="L1914" s="94">
        <v>0</v>
      </c>
      <c r="M1914" s="94">
        <v>64</v>
      </c>
      <c r="N1914" s="94">
        <v>0</v>
      </c>
      <c r="O1914" s="94">
        <v>0</v>
      </c>
    </row>
    <row r="1915" spans="1:15" x14ac:dyDescent="0.25">
      <c r="A1915" s="89">
        <v>45518.333333333336</v>
      </c>
      <c r="B1915" s="94">
        <v>357.53520042583347</v>
      </c>
      <c r="C1915" s="94">
        <v>299.77</v>
      </c>
      <c r="D1915" s="94">
        <v>36.768990952105938</v>
      </c>
      <c r="E1915" s="94">
        <v>2.2989175139515328</v>
      </c>
      <c r="F1915" s="94">
        <v>1.6</v>
      </c>
      <c r="G1915" s="94">
        <v>0</v>
      </c>
      <c r="H1915" s="94">
        <v>1.2</v>
      </c>
      <c r="I1915" s="94">
        <v>0</v>
      </c>
      <c r="J1915" s="94">
        <v>503</v>
      </c>
      <c r="K1915" s="94">
        <v>1.589</v>
      </c>
      <c r="L1915" s="94">
        <v>0</v>
      </c>
      <c r="M1915" s="94">
        <v>64</v>
      </c>
      <c r="N1915" s="94">
        <v>0</v>
      </c>
      <c r="O1915" s="94">
        <v>0</v>
      </c>
    </row>
    <row r="1916" spans="1:15" x14ac:dyDescent="0.25">
      <c r="A1916" s="89">
        <v>45518.833333333336</v>
      </c>
      <c r="B1916" s="94">
        <v>357.55</v>
      </c>
      <c r="C1916" s="94">
        <v>299.76973853329883</v>
      </c>
      <c r="D1916" s="94">
        <v>34.700000000000003</v>
      </c>
      <c r="E1916" s="94">
        <v>2.2505999755859376</v>
      </c>
      <c r="F1916" s="94">
        <v>0.85704588920310398</v>
      </c>
      <c r="G1916" s="94">
        <v>0</v>
      </c>
      <c r="H1916" s="94">
        <v>1.1540192976888177</v>
      </c>
      <c r="I1916" s="94">
        <v>0</v>
      </c>
      <c r="J1916" s="94">
        <v>500</v>
      </c>
      <c r="K1916" s="94">
        <v>1.5884076716515469</v>
      </c>
      <c r="L1916" s="94">
        <v>0</v>
      </c>
      <c r="M1916" s="94">
        <v>65</v>
      </c>
      <c r="N1916" s="94">
        <v>0</v>
      </c>
      <c r="O1916" s="94">
        <v>0</v>
      </c>
    </row>
    <row r="1917" spans="1:15" x14ac:dyDescent="0.25">
      <c r="A1917" s="89">
        <v>45519.333333333336</v>
      </c>
      <c r="B1917" s="94">
        <v>357.55798930422867</v>
      </c>
      <c r="C1917" s="94">
        <v>299.77</v>
      </c>
      <c r="D1917" s="94">
        <v>37.148800713398323</v>
      </c>
      <c r="E1917" s="94">
        <v>2.2799999999999998</v>
      </c>
      <c r="F1917" s="94">
        <v>0.75692879040201588</v>
      </c>
      <c r="G1917" s="94">
        <v>0</v>
      </c>
      <c r="H1917" s="94">
        <v>1.1925472714217329</v>
      </c>
      <c r="I1917" s="94">
        <v>0</v>
      </c>
      <c r="J1917" s="94">
        <v>500</v>
      </c>
      <c r="K1917" s="94">
        <v>1.5875186568185331</v>
      </c>
      <c r="L1917" s="94">
        <v>0</v>
      </c>
      <c r="M1917" s="94">
        <v>64.645996066183855</v>
      </c>
      <c r="N1917" s="94">
        <v>0</v>
      </c>
      <c r="O1917" s="94">
        <v>0</v>
      </c>
    </row>
    <row r="1918" spans="1:15" x14ac:dyDescent="0.25">
      <c r="A1918" s="89">
        <v>45519.833333333336</v>
      </c>
      <c r="B1918" s="94">
        <v>357.58</v>
      </c>
      <c r="C1918" s="94">
        <v>299.77274532445983</v>
      </c>
      <c r="D1918" s="94">
        <v>37.700000000000003</v>
      </c>
      <c r="E1918" s="94">
        <v>2.2610248699365467</v>
      </c>
      <c r="F1918" s="94">
        <v>0.9</v>
      </c>
      <c r="G1918" s="94">
        <v>0</v>
      </c>
      <c r="H1918" s="94">
        <v>1.2</v>
      </c>
      <c r="I1918" s="94">
        <v>0</v>
      </c>
      <c r="J1918" s="94">
        <v>503</v>
      </c>
      <c r="K1918" s="94">
        <v>1.589</v>
      </c>
      <c r="L1918" s="94">
        <v>0</v>
      </c>
      <c r="M1918" s="94">
        <v>65</v>
      </c>
      <c r="N1918" s="94">
        <v>0</v>
      </c>
      <c r="O1918" s="94">
        <v>0</v>
      </c>
    </row>
    <row r="1919" spans="1:15" x14ac:dyDescent="0.25">
      <c r="A1919" s="89">
        <v>45520.333333333336</v>
      </c>
      <c r="B1919" s="94">
        <v>357.58</v>
      </c>
      <c r="C1919" s="94">
        <v>299.77</v>
      </c>
      <c r="D1919" s="94">
        <v>36.616010097925447</v>
      </c>
      <c r="E1919" s="94">
        <v>2.255571286598884</v>
      </c>
      <c r="F1919" s="94">
        <v>1.4344507937997957</v>
      </c>
      <c r="G1919" s="94">
        <v>0</v>
      </c>
      <c r="H1919" s="94">
        <v>1.1858861177426727</v>
      </c>
      <c r="I1919" s="94">
        <v>0</v>
      </c>
      <c r="J1919" s="94">
        <v>503</v>
      </c>
      <c r="K1919" s="94">
        <v>1.5870783490716378</v>
      </c>
      <c r="L1919" s="94">
        <v>0</v>
      </c>
      <c r="M1919" s="94">
        <v>65.291347633325017</v>
      </c>
      <c r="N1919" s="94">
        <v>0</v>
      </c>
      <c r="O1919" s="94">
        <v>0</v>
      </c>
    </row>
    <row r="1920" spans="1:15" x14ac:dyDescent="0.25">
      <c r="A1920" s="89">
        <v>45520.833333333336</v>
      </c>
      <c r="B1920" s="94">
        <v>357.58</v>
      </c>
      <c r="C1920" s="94">
        <v>299.77702584816916</v>
      </c>
      <c r="D1920" s="94">
        <v>37.891480917589703</v>
      </c>
      <c r="E1920" s="94">
        <v>2.2607985746265244</v>
      </c>
      <c r="F1920" s="94">
        <v>1.6</v>
      </c>
      <c r="G1920" s="94">
        <v>0</v>
      </c>
      <c r="H1920" s="94">
        <v>1.2</v>
      </c>
      <c r="I1920" s="94">
        <v>0</v>
      </c>
      <c r="J1920" s="94">
        <v>502</v>
      </c>
      <c r="K1920" s="94">
        <v>1.5888610142946009</v>
      </c>
      <c r="L1920" s="94">
        <v>0</v>
      </c>
      <c r="M1920" s="94">
        <v>65.341630534368818</v>
      </c>
      <c r="N1920" s="94">
        <v>0</v>
      </c>
      <c r="O1920" s="94">
        <v>0</v>
      </c>
    </row>
    <row r="1921" spans="1:15" x14ac:dyDescent="0.25">
      <c r="A1921" s="89">
        <v>45521.333333333336</v>
      </c>
      <c r="B1921" s="94">
        <v>357.58</v>
      </c>
      <c r="C1921" s="94">
        <v>299.77</v>
      </c>
      <c r="D1921" s="94">
        <v>36.9</v>
      </c>
      <c r="E1921" s="94">
        <v>2.2509140086370181</v>
      </c>
      <c r="F1921" s="94">
        <v>1.4045029711248469</v>
      </c>
      <c r="G1921" s="94">
        <v>0</v>
      </c>
      <c r="H1921" s="94">
        <v>1.1590036119733538</v>
      </c>
      <c r="I1921" s="94">
        <v>0</v>
      </c>
      <c r="J1921" s="94">
        <v>503</v>
      </c>
      <c r="K1921" s="94">
        <v>1.589</v>
      </c>
      <c r="L1921" s="94">
        <v>0</v>
      </c>
      <c r="M1921" s="94">
        <v>65</v>
      </c>
      <c r="N1921" s="94">
        <v>0</v>
      </c>
      <c r="O1921" s="94">
        <v>0</v>
      </c>
    </row>
    <row r="1922" spans="1:15" x14ac:dyDescent="0.25">
      <c r="A1922" s="89">
        <v>45521.833333333336</v>
      </c>
      <c r="B1922" s="94">
        <v>357.58</v>
      </c>
      <c r="C1922" s="94">
        <v>299.77</v>
      </c>
      <c r="D1922" s="94">
        <v>38.1</v>
      </c>
      <c r="E1922" s="94">
        <v>2.2784562494113212</v>
      </c>
      <c r="F1922" s="94">
        <v>1.5581183412268338</v>
      </c>
      <c r="G1922" s="94">
        <v>0</v>
      </c>
      <c r="H1922" s="94">
        <v>1.1875400319444782</v>
      </c>
      <c r="I1922" s="94">
        <v>0</v>
      </c>
      <c r="J1922" s="94">
        <v>502</v>
      </c>
      <c r="K1922" s="94">
        <v>1.5883678901925957</v>
      </c>
      <c r="L1922" s="94">
        <v>0</v>
      </c>
      <c r="M1922" s="94">
        <v>65.737771792143732</v>
      </c>
      <c r="N1922" s="94">
        <v>0</v>
      </c>
      <c r="O1922" s="94">
        <v>0</v>
      </c>
    </row>
    <row r="1923" spans="1:15" x14ac:dyDescent="0.25">
      <c r="A1923" s="89">
        <v>45522.333333333336</v>
      </c>
      <c r="B1923" s="94">
        <v>357.58</v>
      </c>
      <c r="C1923" s="94">
        <v>299.76081021058076</v>
      </c>
      <c r="D1923" s="94">
        <v>35.47182174785025</v>
      </c>
      <c r="E1923" s="94">
        <v>2.2592599487304685</v>
      </c>
      <c r="F1923" s="94">
        <v>1.3</v>
      </c>
      <c r="G1923" s="94">
        <v>0</v>
      </c>
      <c r="H1923" s="94">
        <v>1.2</v>
      </c>
      <c r="I1923" s="94">
        <v>0</v>
      </c>
      <c r="J1923" s="94">
        <v>500</v>
      </c>
      <c r="K1923" s="94">
        <v>1.5879109228857893</v>
      </c>
      <c r="L1923" s="94">
        <v>0</v>
      </c>
      <c r="M1923" s="94">
        <v>65.089563736259024</v>
      </c>
      <c r="N1923" s="94">
        <v>0</v>
      </c>
      <c r="O1923" s="94">
        <v>0</v>
      </c>
    </row>
    <row r="1924" spans="1:15" x14ac:dyDescent="0.25">
      <c r="A1924" s="89">
        <v>45522.833333333336</v>
      </c>
      <c r="B1924" s="94">
        <v>357.58</v>
      </c>
      <c r="C1924" s="94">
        <v>299.76495841311777</v>
      </c>
      <c r="D1924" s="94">
        <v>36.091134911314548</v>
      </c>
      <c r="E1924" s="94">
        <v>2.2599999999999998</v>
      </c>
      <c r="F1924" s="94">
        <v>1.6</v>
      </c>
      <c r="G1924" s="94">
        <v>0</v>
      </c>
      <c r="H1924" s="94">
        <v>1.1688774896805996</v>
      </c>
      <c r="I1924" s="94">
        <v>0</v>
      </c>
      <c r="J1924" s="94">
        <v>500</v>
      </c>
      <c r="K1924" s="94">
        <v>1.5876724814712164</v>
      </c>
      <c r="L1924" s="94">
        <v>0</v>
      </c>
      <c r="M1924" s="94">
        <v>65.796382515197308</v>
      </c>
      <c r="N1924" s="94">
        <v>0</v>
      </c>
      <c r="O1924" s="94">
        <v>0</v>
      </c>
    </row>
    <row r="1925" spans="1:15" x14ac:dyDescent="0.25">
      <c r="A1925" s="89">
        <v>45523.333333333336</v>
      </c>
      <c r="B1925" s="94">
        <v>357.61079978234068</v>
      </c>
      <c r="C1925" s="94">
        <v>299.76800938678127</v>
      </c>
      <c r="D1925" s="94">
        <v>35.447147045330588</v>
      </c>
      <c r="E1925" s="94">
        <v>2.29</v>
      </c>
      <c r="F1925" s="94">
        <v>1.4899160284745065</v>
      </c>
      <c r="G1925" s="94">
        <v>0</v>
      </c>
      <c r="H1925" s="94">
        <v>1.2</v>
      </c>
      <c r="I1925" s="94">
        <v>0</v>
      </c>
      <c r="J1925" s="94">
        <v>499</v>
      </c>
      <c r="K1925" s="94">
        <v>1.5861548088393331</v>
      </c>
      <c r="L1925" s="94">
        <v>0</v>
      </c>
      <c r="M1925" s="94">
        <v>65</v>
      </c>
      <c r="N1925" s="94">
        <v>0</v>
      </c>
      <c r="O1925" s="94">
        <v>0</v>
      </c>
    </row>
    <row r="1926" spans="1:15" x14ac:dyDescent="0.25">
      <c r="A1926" s="89">
        <v>45523.833333333336</v>
      </c>
      <c r="B1926" s="94">
        <v>357.69</v>
      </c>
      <c r="C1926" s="94">
        <v>299.76597018757479</v>
      </c>
      <c r="D1926" s="94">
        <v>0.55740007672991065</v>
      </c>
      <c r="E1926" s="94">
        <v>0</v>
      </c>
      <c r="F1926" s="94">
        <v>39.462873012166725</v>
      </c>
      <c r="G1926" s="94">
        <v>2.31</v>
      </c>
      <c r="H1926" s="94">
        <v>1.1382656583107369</v>
      </c>
      <c r="I1926" s="94">
        <v>0</v>
      </c>
      <c r="J1926" s="94">
        <v>499</v>
      </c>
      <c r="K1926" s="94">
        <v>1.5855205306743265</v>
      </c>
      <c r="L1926" s="94">
        <v>0</v>
      </c>
      <c r="M1926" s="94">
        <v>65</v>
      </c>
      <c r="N1926" s="94">
        <v>0</v>
      </c>
      <c r="O1926" s="94">
        <v>0</v>
      </c>
    </row>
    <row r="1927" spans="1:15" x14ac:dyDescent="0.25">
      <c r="A1927" s="89">
        <v>45524.333333333336</v>
      </c>
      <c r="B1927" s="94">
        <v>357.69579495043752</v>
      </c>
      <c r="C1927" s="94">
        <v>299.76653704332568</v>
      </c>
      <c r="D1927" s="94">
        <v>1.3489005586762497</v>
      </c>
      <c r="E1927" s="94">
        <v>0</v>
      </c>
      <c r="F1927" s="94">
        <v>39.1</v>
      </c>
      <c r="G1927" s="94">
        <v>2.2801464926093358</v>
      </c>
      <c r="H1927" s="94">
        <v>1.1670188475108536</v>
      </c>
      <c r="I1927" s="94">
        <v>0</v>
      </c>
      <c r="J1927" s="94">
        <v>498</v>
      </c>
      <c r="K1927" s="94">
        <v>1.5846551968170373</v>
      </c>
      <c r="L1927" s="94">
        <v>0</v>
      </c>
      <c r="M1927" s="94">
        <v>65</v>
      </c>
      <c r="N1927" s="94">
        <v>0</v>
      </c>
      <c r="O1927" s="94">
        <v>0</v>
      </c>
    </row>
    <row r="1928" spans="1:15" x14ac:dyDescent="0.25">
      <c r="A1928" s="89">
        <v>45524.833333333336</v>
      </c>
      <c r="B1928" s="94">
        <v>357.71</v>
      </c>
      <c r="C1928" s="94">
        <v>299.77</v>
      </c>
      <c r="D1928" s="94">
        <v>1.6</v>
      </c>
      <c r="E1928" s="94">
        <v>0</v>
      </c>
      <c r="F1928" s="94">
        <v>39.4</v>
      </c>
      <c r="G1928" s="94">
        <v>2.2857170377234266</v>
      </c>
      <c r="H1928" s="94">
        <v>1.1918325784978268</v>
      </c>
      <c r="I1928" s="94">
        <v>0</v>
      </c>
      <c r="J1928" s="94">
        <v>498</v>
      </c>
      <c r="K1928" s="94">
        <v>1.5863266416866817</v>
      </c>
      <c r="L1928" s="94">
        <v>0</v>
      </c>
      <c r="M1928" s="94">
        <v>65</v>
      </c>
      <c r="N1928" s="94">
        <v>0</v>
      </c>
      <c r="O1928" s="94">
        <v>0</v>
      </c>
    </row>
    <row r="1929" spans="1:15" x14ac:dyDescent="0.25">
      <c r="A1929" s="89">
        <v>45525.333333333336</v>
      </c>
      <c r="B1929" s="94">
        <v>357.71585023568355</v>
      </c>
      <c r="C1929" s="94">
        <v>299.77</v>
      </c>
      <c r="D1929" s="94">
        <v>1.6356501169210216</v>
      </c>
      <c r="E1929" s="94">
        <v>0</v>
      </c>
      <c r="F1929" s="94">
        <v>39.403595148975747</v>
      </c>
      <c r="G1929" s="94">
        <v>2.2744948533079401</v>
      </c>
      <c r="H1929" s="94">
        <v>1.1867063703884457</v>
      </c>
      <c r="I1929" s="94">
        <v>0</v>
      </c>
      <c r="J1929" s="94">
        <v>500</v>
      </c>
      <c r="K1929" s="94">
        <v>1.585456822459397</v>
      </c>
      <c r="L1929" s="94">
        <v>0</v>
      </c>
      <c r="M1929" s="94">
        <v>65</v>
      </c>
      <c r="N1929" s="94">
        <v>0</v>
      </c>
      <c r="O1929" s="94">
        <v>0</v>
      </c>
    </row>
    <row r="1930" spans="1:15" x14ac:dyDescent="0.25">
      <c r="A1930" s="89">
        <v>45525.833333333336</v>
      </c>
      <c r="B1930" s="94">
        <v>357.73</v>
      </c>
      <c r="C1930" s="94">
        <v>299.77841797901306</v>
      </c>
      <c r="D1930" s="94">
        <v>1.7</v>
      </c>
      <c r="E1930" s="94">
        <v>0</v>
      </c>
      <c r="F1930" s="94">
        <v>38.076000976562504</v>
      </c>
      <c r="G1930" s="94">
        <v>2.255260009765625</v>
      </c>
      <c r="H1930" s="94">
        <v>1.1626911659765016</v>
      </c>
      <c r="I1930" s="94">
        <v>0</v>
      </c>
      <c r="J1930" s="94">
        <v>500</v>
      </c>
      <c r="K1930" s="94">
        <v>1.589</v>
      </c>
      <c r="L1930" s="94">
        <v>0</v>
      </c>
      <c r="M1930" s="94">
        <v>65</v>
      </c>
      <c r="N1930" s="94">
        <v>0</v>
      </c>
      <c r="O1930" s="94">
        <v>0</v>
      </c>
    </row>
    <row r="1931" spans="1:15" x14ac:dyDescent="0.25">
      <c r="A1931" s="89">
        <v>45526.333333333336</v>
      </c>
      <c r="B1931" s="94">
        <v>357.73595598203087</v>
      </c>
      <c r="C1931" s="94">
        <v>299.77</v>
      </c>
      <c r="D1931" s="94">
        <v>1.6</v>
      </c>
      <c r="E1931" s="94">
        <v>0</v>
      </c>
      <c r="F1931" s="94">
        <v>37.927076951826905</v>
      </c>
      <c r="G1931" s="94">
        <v>2.2891015274034143</v>
      </c>
      <c r="H1931" s="94">
        <v>1.1989374924010106</v>
      </c>
      <c r="I1931" s="94">
        <v>0</v>
      </c>
      <c r="J1931" s="94">
        <v>502</v>
      </c>
      <c r="K1931" s="94">
        <v>1.5877727325959174</v>
      </c>
      <c r="L1931" s="94">
        <v>0</v>
      </c>
      <c r="M1931" s="94">
        <v>65.514854617741278</v>
      </c>
      <c r="N1931" s="94">
        <v>0</v>
      </c>
      <c r="O1931" s="94">
        <v>0</v>
      </c>
    </row>
    <row r="1932" spans="1:15" x14ac:dyDescent="0.25">
      <c r="A1932" s="89">
        <v>45526.833333333336</v>
      </c>
      <c r="B1932" s="94">
        <v>357.75</v>
      </c>
      <c r="C1932" s="94">
        <v>299.76708800720689</v>
      </c>
      <c r="D1932" s="94">
        <v>0.68394507715613195</v>
      </c>
      <c r="E1932" s="94">
        <v>0</v>
      </c>
      <c r="F1932" s="94">
        <v>38.010840454101562</v>
      </c>
      <c r="G1932" s="94">
        <v>2.2774985571519699</v>
      </c>
      <c r="H1932" s="94">
        <v>1.0643612781380623</v>
      </c>
      <c r="I1932" s="94">
        <v>0</v>
      </c>
      <c r="J1932" s="94">
        <v>499</v>
      </c>
      <c r="K1932" s="94">
        <v>1.5867528921596536</v>
      </c>
      <c r="L1932" s="94">
        <v>0</v>
      </c>
      <c r="M1932" s="94">
        <v>65.143084059402995</v>
      </c>
      <c r="N1932" s="94">
        <v>0</v>
      </c>
      <c r="O1932" s="94">
        <v>0</v>
      </c>
    </row>
    <row r="1933" spans="1:15" x14ac:dyDescent="0.25">
      <c r="A1933" s="89">
        <v>45527.333333333336</v>
      </c>
      <c r="B1933" s="94">
        <v>357.75</v>
      </c>
      <c r="C1933" s="94">
        <v>299.76068578631373</v>
      </c>
      <c r="D1933" s="94">
        <v>1.4</v>
      </c>
      <c r="E1933" s="94">
        <v>0</v>
      </c>
      <c r="F1933" s="94">
        <v>38.318775000938999</v>
      </c>
      <c r="G1933" s="94">
        <v>2.2424870892832387</v>
      </c>
      <c r="H1933" s="94">
        <v>1.1130354484675289</v>
      </c>
      <c r="I1933" s="94">
        <v>0</v>
      </c>
      <c r="J1933" s="94">
        <v>493</v>
      </c>
      <c r="K1933" s="94">
        <v>1.5824830690953082</v>
      </c>
      <c r="L1933" s="94">
        <v>0</v>
      </c>
      <c r="M1933" s="94">
        <v>65.475985080222259</v>
      </c>
      <c r="N1933" s="94">
        <v>0</v>
      </c>
      <c r="O1933" s="94">
        <v>0</v>
      </c>
    </row>
    <row r="1934" spans="1:15" x14ac:dyDescent="0.25">
      <c r="A1934" s="89">
        <v>45527.833333333336</v>
      </c>
      <c r="B1934" s="94">
        <v>357.75</v>
      </c>
      <c r="C1934" s="94">
        <v>299.76788409251043</v>
      </c>
      <c r="D1934" s="94">
        <v>1.6869629505422894</v>
      </c>
      <c r="E1934" s="94">
        <v>0</v>
      </c>
      <c r="F1934" s="94">
        <v>38.7117673742367</v>
      </c>
      <c r="G1934" s="94">
        <v>2.2766204833984376</v>
      </c>
      <c r="H1934" s="94">
        <v>1.1134287858492471</v>
      </c>
      <c r="I1934" s="94">
        <v>0</v>
      </c>
      <c r="J1934" s="94">
        <v>491</v>
      </c>
      <c r="K1934" s="94">
        <v>1.5793135608182507</v>
      </c>
      <c r="L1934" s="94">
        <v>0</v>
      </c>
      <c r="M1934" s="94">
        <v>66</v>
      </c>
      <c r="N1934" s="94">
        <v>0</v>
      </c>
      <c r="O1934" s="94">
        <v>0</v>
      </c>
    </row>
    <row r="1935" spans="1:15" x14ac:dyDescent="0.25">
      <c r="A1935" s="89">
        <v>45528.333333333336</v>
      </c>
      <c r="B1935" s="94">
        <v>357.75</v>
      </c>
      <c r="C1935" s="94">
        <v>299.76996205317528</v>
      </c>
      <c r="D1935" s="94">
        <v>1.5895203594613221</v>
      </c>
      <c r="E1935" s="94">
        <v>0</v>
      </c>
      <c r="F1935" s="94">
        <v>38.503969118982745</v>
      </c>
      <c r="G1935" s="94">
        <v>2.2222827732364521</v>
      </c>
      <c r="H1935" s="94">
        <v>1.1720450844499775</v>
      </c>
      <c r="I1935" s="94">
        <v>0</v>
      </c>
      <c r="J1935" s="94">
        <v>493</v>
      </c>
      <c r="K1935" s="94">
        <v>1.581</v>
      </c>
      <c r="L1935" s="94">
        <v>0</v>
      </c>
      <c r="M1935" s="94">
        <v>65</v>
      </c>
      <c r="N1935" s="94">
        <v>0</v>
      </c>
      <c r="O1935" s="94">
        <v>0</v>
      </c>
    </row>
    <row r="1936" spans="1:15" x14ac:dyDescent="0.25">
      <c r="A1936" s="89">
        <v>45528.833333333336</v>
      </c>
      <c r="B1936" s="94">
        <v>357.75</v>
      </c>
      <c r="C1936" s="94">
        <v>299.76430891270354</v>
      </c>
      <c r="D1936" s="94">
        <v>1.8</v>
      </c>
      <c r="E1936" s="94">
        <v>0</v>
      </c>
      <c r="F1936" s="94">
        <v>38.946952028170301</v>
      </c>
      <c r="G1936" s="94">
        <v>2.2403602860915832</v>
      </c>
      <c r="H1936" s="94">
        <v>1.0642420443686358</v>
      </c>
      <c r="I1936" s="94">
        <v>0</v>
      </c>
      <c r="J1936" s="94">
        <v>491</v>
      </c>
      <c r="K1936" s="94">
        <v>1.581</v>
      </c>
      <c r="L1936" s="94">
        <v>0</v>
      </c>
      <c r="M1936" s="94">
        <v>65</v>
      </c>
      <c r="N1936" s="94">
        <v>0</v>
      </c>
      <c r="O1936" s="94">
        <v>0</v>
      </c>
    </row>
    <row r="1937" spans="1:15" x14ac:dyDescent="0.25">
      <c r="A1937" s="89">
        <v>45529.333333333336</v>
      </c>
      <c r="B1937" s="94">
        <v>357.75</v>
      </c>
      <c r="C1937" s="94">
        <v>299.76806982312502</v>
      </c>
      <c r="D1937" s="94">
        <v>1.7964132648408766</v>
      </c>
      <c r="E1937" s="94">
        <v>0</v>
      </c>
      <c r="F1937" s="94">
        <v>38.700000000000003</v>
      </c>
      <c r="G1937" s="94">
        <v>2.2410526718140815</v>
      </c>
      <c r="H1937" s="94">
        <v>1.0243499755859375</v>
      </c>
      <c r="I1937" s="94">
        <v>0</v>
      </c>
      <c r="J1937" s="94">
        <v>494</v>
      </c>
      <c r="K1937" s="94">
        <v>1.5820000000000001</v>
      </c>
      <c r="L1937" s="94">
        <v>0</v>
      </c>
      <c r="M1937" s="94">
        <v>66</v>
      </c>
      <c r="N1937" s="94">
        <v>0</v>
      </c>
      <c r="O1937" s="94">
        <v>0</v>
      </c>
    </row>
    <row r="1938" spans="1:15" x14ac:dyDescent="0.25">
      <c r="A1938" s="89">
        <v>45529.833333333336</v>
      </c>
      <c r="B1938" s="94">
        <v>357.75</v>
      </c>
      <c r="C1938" s="94">
        <v>299.76715564895608</v>
      </c>
      <c r="D1938" s="94">
        <v>1.8</v>
      </c>
      <c r="E1938" s="94">
        <v>0</v>
      </c>
      <c r="F1938" s="94">
        <v>38.790188267907709</v>
      </c>
      <c r="G1938" s="94">
        <v>2.2563562855722505</v>
      </c>
      <c r="H1938" s="94">
        <v>1.0010435960307036</v>
      </c>
      <c r="I1938" s="94">
        <v>0</v>
      </c>
      <c r="J1938" s="94">
        <v>493</v>
      </c>
      <c r="K1938" s="94">
        <v>1.5820000000000001</v>
      </c>
      <c r="L1938" s="94">
        <v>0</v>
      </c>
      <c r="M1938" s="94">
        <v>66</v>
      </c>
      <c r="N1938" s="94">
        <v>0</v>
      </c>
      <c r="O1938" s="94">
        <v>0</v>
      </c>
    </row>
    <row r="1939" spans="1:15" x14ac:dyDescent="0.25">
      <c r="A1939" s="89">
        <v>45530.333333333336</v>
      </c>
      <c r="B1939" s="94">
        <v>357.75</v>
      </c>
      <c r="C1939" s="94">
        <v>299.76165096599766</v>
      </c>
      <c r="D1939" s="94">
        <v>1.6628908187638796</v>
      </c>
      <c r="E1939" s="94">
        <v>0</v>
      </c>
      <c r="F1939" s="94">
        <v>38.602000427246097</v>
      </c>
      <c r="G1939" s="94">
        <v>2.2696940121340017</v>
      </c>
      <c r="H1939" s="94">
        <v>1.1000000000000001</v>
      </c>
      <c r="I1939" s="94">
        <v>0</v>
      </c>
      <c r="J1939" s="94">
        <v>494</v>
      </c>
      <c r="K1939" s="94">
        <v>1.5823877997632496</v>
      </c>
      <c r="L1939" s="94">
        <v>0</v>
      </c>
      <c r="M1939" s="94">
        <v>65.666279635908239</v>
      </c>
      <c r="N1939" s="94">
        <v>0</v>
      </c>
      <c r="O1939" s="94">
        <v>0</v>
      </c>
    </row>
    <row r="1940" spans="1:15" x14ac:dyDescent="0.25">
      <c r="A1940" s="89">
        <v>45530.833333333336</v>
      </c>
      <c r="B1940" s="94">
        <v>357.75</v>
      </c>
      <c r="C1940" s="94">
        <v>299.76765434811801</v>
      </c>
      <c r="D1940" s="94">
        <v>1.7065593776956014</v>
      </c>
      <c r="E1940" s="94">
        <v>0</v>
      </c>
      <c r="F1940" s="94">
        <v>38.700000000000003</v>
      </c>
      <c r="G1940" s="94">
        <v>2.2765422717407326</v>
      </c>
      <c r="H1940" s="94">
        <v>1</v>
      </c>
      <c r="I1940" s="94">
        <v>0</v>
      </c>
      <c r="J1940" s="94">
        <v>493</v>
      </c>
      <c r="K1940" s="94">
        <v>1.5816310741386332</v>
      </c>
      <c r="L1940" s="94">
        <v>0</v>
      </c>
      <c r="M1940" s="94">
        <v>65</v>
      </c>
      <c r="N1940" s="94">
        <v>0</v>
      </c>
      <c r="O1940" s="94">
        <v>0</v>
      </c>
    </row>
    <row r="1941" spans="1:15" x14ac:dyDescent="0.25">
      <c r="A1941" s="89">
        <v>45531.333333333336</v>
      </c>
      <c r="B1941" s="94">
        <v>357.75</v>
      </c>
      <c r="C1941" s="94">
        <v>299.76</v>
      </c>
      <c r="D1941" s="94">
        <v>1.4327640972787949</v>
      </c>
      <c r="E1941" s="94">
        <v>0</v>
      </c>
      <c r="F1941" s="94">
        <v>38.344848663344081</v>
      </c>
      <c r="G1941" s="94">
        <v>2.2470402018229167</v>
      </c>
      <c r="H1941" s="94">
        <v>1.2</v>
      </c>
      <c r="I1941" s="94">
        <v>0</v>
      </c>
      <c r="J1941" s="94">
        <v>494</v>
      </c>
      <c r="K1941" s="94">
        <v>1.5831171189977593</v>
      </c>
      <c r="L1941" s="94">
        <v>0</v>
      </c>
      <c r="M1941" s="94">
        <v>65</v>
      </c>
      <c r="N1941" s="94">
        <v>0</v>
      </c>
      <c r="O1941" s="94">
        <v>0</v>
      </c>
    </row>
    <row r="1942" spans="1:15" x14ac:dyDescent="0.25">
      <c r="A1942" s="89">
        <v>45531.833333333336</v>
      </c>
      <c r="B1942" s="94">
        <v>357.75</v>
      </c>
      <c r="C1942" s="94">
        <v>300.49315518143862</v>
      </c>
      <c r="D1942" s="94">
        <v>1.8</v>
      </c>
      <c r="E1942" s="94">
        <v>0</v>
      </c>
      <c r="F1942" s="94">
        <v>41.1</v>
      </c>
      <c r="G1942" s="94">
        <v>2.260180414341411</v>
      </c>
      <c r="H1942" s="94">
        <v>63.63421396954125</v>
      </c>
      <c r="I1942" s="94">
        <v>10.80348148374294</v>
      </c>
      <c r="J1942" s="94">
        <v>2550</v>
      </c>
      <c r="K1942" s="94">
        <v>2.371</v>
      </c>
      <c r="L1942" s="94">
        <v>0</v>
      </c>
      <c r="M1942" s="94">
        <v>65.348790366341234</v>
      </c>
      <c r="N1942" s="94">
        <v>0</v>
      </c>
      <c r="O1942" s="94">
        <v>0</v>
      </c>
    </row>
    <row r="1943" spans="1:15" x14ac:dyDescent="0.25">
      <c r="A1943" s="89">
        <v>45532.333333333336</v>
      </c>
      <c r="B1943" s="94">
        <v>357.81484570768913</v>
      </c>
      <c r="C1943" s="94">
        <v>300.51748870206927</v>
      </c>
      <c r="D1943" s="94">
        <v>1.7</v>
      </c>
      <c r="E1943" s="94">
        <v>0</v>
      </c>
      <c r="F1943" s="94">
        <v>61.996320037841798</v>
      </c>
      <c r="G1943" s="94">
        <v>4.3653508141579387</v>
      </c>
      <c r="H1943" s="94">
        <v>53.302249997267886</v>
      </c>
      <c r="I1943" s="94">
        <v>8.0191888011485997</v>
      </c>
      <c r="J1943" s="94">
        <v>2550</v>
      </c>
      <c r="K1943" s="94">
        <v>2.371</v>
      </c>
      <c r="L1943" s="94">
        <v>0</v>
      </c>
      <c r="M1943" s="94">
        <v>65.724472054619412</v>
      </c>
      <c r="N1943" s="94">
        <v>0</v>
      </c>
      <c r="O1943" s="94">
        <v>0</v>
      </c>
    </row>
    <row r="1944" spans="1:15" x14ac:dyDescent="0.25">
      <c r="A1944" s="89">
        <v>45532.833333333336</v>
      </c>
      <c r="B1944" s="94">
        <v>357.96</v>
      </c>
      <c r="C1944" s="94">
        <v>300.14475789085088</v>
      </c>
      <c r="D1944" s="94">
        <v>1.9013988926702901</v>
      </c>
      <c r="E1944" s="94">
        <v>0</v>
      </c>
      <c r="F1944" s="94">
        <v>84.9</v>
      </c>
      <c r="G1944" s="94">
        <v>7.0396401305289267</v>
      </c>
      <c r="H1944" s="94">
        <v>1.3666862403067304E-2</v>
      </c>
      <c r="I1944" s="94">
        <v>0</v>
      </c>
      <c r="J1944" s="94">
        <v>1207</v>
      </c>
      <c r="K1944" s="94">
        <v>1.9669179665097762</v>
      </c>
      <c r="L1944" s="94">
        <v>0</v>
      </c>
      <c r="M1944" s="94">
        <v>65</v>
      </c>
      <c r="N1944" s="94">
        <v>0</v>
      </c>
      <c r="O1944" s="94">
        <v>0</v>
      </c>
    </row>
    <row r="1945" spans="1:15" x14ac:dyDescent="0.25">
      <c r="A1945" s="89">
        <v>45533.333333333336</v>
      </c>
      <c r="B1945" s="94">
        <v>357.96560855507585</v>
      </c>
      <c r="C1945" s="94">
        <v>300.14342553165517</v>
      </c>
      <c r="D1945" s="94">
        <v>1.8</v>
      </c>
      <c r="E1945" s="94">
        <v>0</v>
      </c>
      <c r="F1945" s="94">
        <v>83.511748290024812</v>
      </c>
      <c r="G1945" s="94">
        <v>7.0290400390625001</v>
      </c>
      <c r="H1945" s="94">
        <v>0.18267334125233328</v>
      </c>
      <c r="I1945" s="94">
        <v>0</v>
      </c>
      <c r="J1945" s="94">
        <v>1205</v>
      </c>
      <c r="K1945" s="94">
        <v>1.9667807935466424</v>
      </c>
      <c r="L1945" s="94">
        <v>0</v>
      </c>
      <c r="M1945" s="94">
        <v>65.105566389768498</v>
      </c>
      <c r="N1945" s="94">
        <v>0</v>
      </c>
      <c r="O1945" s="94">
        <v>0</v>
      </c>
    </row>
    <row r="1946" spans="1:15" x14ac:dyDescent="0.25">
      <c r="A1946" s="89">
        <v>45533.833333333336</v>
      </c>
      <c r="B1946" s="94">
        <v>357.99</v>
      </c>
      <c r="C1946" s="94">
        <v>299.76</v>
      </c>
      <c r="D1946" s="94">
        <v>1.8414305396376405</v>
      </c>
      <c r="E1946" s="94">
        <v>0</v>
      </c>
      <c r="F1946" s="94">
        <v>34.803992873132621</v>
      </c>
      <c r="G1946" s="94">
        <v>2.2985403290529693</v>
      </c>
      <c r="H1946" s="94">
        <v>1</v>
      </c>
      <c r="I1946" s="94">
        <v>0</v>
      </c>
      <c r="J1946" s="94">
        <v>487</v>
      </c>
      <c r="K1946" s="94">
        <v>1.5778114605964071</v>
      </c>
      <c r="L1946" s="94">
        <v>0</v>
      </c>
      <c r="M1946" s="94">
        <v>65.598325983002866</v>
      </c>
      <c r="N1946" s="94">
        <v>0</v>
      </c>
      <c r="O1946" s="94">
        <v>0</v>
      </c>
    </row>
    <row r="1947" spans="1:15" x14ac:dyDescent="0.25">
      <c r="A1947" s="89">
        <v>45534.333333333336</v>
      </c>
      <c r="B1947" s="94">
        <v>357.99</v>
      </c>
      <c r="C1947" s="94">
        <v>299.76</v>
      </c>
      <c r="D1947" s="94">
        <v>1.6</v>
      </c>
      <c r="E1947" s="94">
        <v>0</v>
      </c>
      <c r="F1947" s="94">
        <v>34.511090508368753</v>
      </c>
      <c r="G1947" s="94">
        <v>2.2435598754882813</v>
      </c>
      <c r="H1947" s="94">
        <v>1.2</v>
      </c>
      <c r="I1947" s="94">
        <v>0</v>
      </c>
      <c r="J1947" s="94">
        <v>491</v>
      </c>
      <c r="K1947" s="94">
        <v>1.5783277307233436</v>
      </c>
      <c r="L1947" s="94">
        <v>0</v>
      </c>
      <c r="M1947" s="94">
        <v>65.900125301327435</v>
      </c>
      <c r="N1947" s="94">
        <v>0</v>
      </c>
      <c r="O1947" s="94">
        <v>0</v>
      </c>
    </row>
    <row r="1948" spans="1:15" x14ac:dyDescent="0.25">
      <c r="A1948" s="89">
        <v>45534.833333333336</v>
      </c>
      <c r="B1948" s="94">
        <v>357.99</v>
      </c>
      <c r="C1948" s="94">
        <v>299.76</v>
      </c>
      <c r="D1948" s="94">
        <v>1.9977027759476294</v>
      </c>
      <c r="E1948" s="94">
        <v>0</v>
      </c>
      <c r="F1948" s="94">
        <v>34.9</v>
      </c>
      <c r="G1948" s="94">
        <v>2.2680236347577134</v>
      </c>
      <c r="H1948" s="94">
        <v>1.0671277830684669</v>
      </c>
      <c r="I1948" s="94">
        <v>0</v>
      </c>
      <c r="J1948" s="94">
        <v>488</v>
      </c>
      <c r="K1948" s="94">
        <v>1.5783589822850992</v>
      </c>
      <c r="L1948" s="94">
        <v>0</v>
      </c>
      <c r="M1948" s="94">
        <v>65.285125218285145</v>
      </c>
      <c r="N1948" s="94">
        <v>0</v>
      </c>
      <c r="O1948" s="94">
        <v>0</v>
      </c>
    </row>
    <row r="1949" spans="1:15" x14ac:dyDescent="0.25">
      <c r="A1949" s="89">
        <v>45535.333333333336</v>
      </c>
      <c r="B1949" s="94">
        <v>357.99</v>
      </c>
      <c r="C1949" s="94">
        <v>299.76</v>
      </c>
      <c r="D1949" s="94">
        <v>1.8</v>
      </c>
      <c r="E1949" s="94">
        <v>0</v>
      </c>
      <c r="F1949" s="94">
        <v>34.718145247883179</v>
      </c>
      <c r="G1949" s="94">
        <v>2.2340623633656738</v>
      </c>
      <c r="H1949" s="94">
        <v>1.1000000000000001</v>
      </c>
      <c r="I1949" s="94">
        <v>0</v>
      </c>
      <c r="J1949" s="94">
        <v>488</v>
      </c>
      <c r="K1949" s="94">
        <v>1.5775287883184159</v>
      </c>
      <c r="L1949" s="94">
        <v>0</v>
      </c>
      <c r="M1949" s="94">
        <v>65</v>
      </c>
      <c r="N1949" s="94">
        <v>0</v>
      </c>
      <c r="O1949" s="94">
        <v>0</v>
      </c>
    </row>
    <row r="1950" spans="1:15" x14ac:dyDescent="0.25">
      <c r="A1950" s="89">
        <v>45535.833333333336</v>
      </c>
      <c r="B1950" s="94">
        <v>357.99</v>
      </c>
      <c r="C1950" s="94">
        <v>299.76</v>
      </c>
      <c r="D1950" s="94">
        <v>1.9</v>
      </c>
      <c r="E1950" s="94">
        <v>0</v>
      </c>
      <c r="F1950" s="94">
        <v>34.836704448271369</v>
      </c>
      <c r="G1950" s="94">
        <v>2.251905082257966</v>
      </c>
      <c r="H1950" s="94">
        <v>1.0454538981361237</v>
      </c>
      <c r="I1950" s="94">
        <v>0</v>
      </c>
      <c r="J1950" s="94">
        <v>490</v>
      </c>
      <c r="K1950" s="94">
        <v>1.5782338166132415</v>
      </c>
      <c r="L1950" s="94">
        <v>0</v>
      </c>
      <c r="M1950" s="94">
        <v>66</v>
      </c>
      <c r="N1950" s="94">
        <v>0</v>
      </c>
      <c r="O1950" s="94">
        <v>0</v>
      </c>
    </row>
    <row r="1951" spans="1:15" x14ac:dyDescent="0.25">
      <c r="A1951" s="89">
        <v>45536.333333333336</v>
      </c>
      <c r="B1951" s="94">
        <v>357.99</v>
      </c>
      <c r="C1951" s="94">
        <v>299.76</v>
      </c>
      <c r="D1951" s="94">
        <v>1.8</v>
      </c>
      <c r="E1951" s="94">
        <v>0</v>
      </c>
      <c r="F1951" s="94">
        <v>34.607138296274037</v>
      </c>
      <c r="G1951" s="94">
        <v>2.229669952392578</v>
      </c>
      <c r="H1951" s="94">
        <v>1.1551812529060452</v>
      </c>
      <c r="I1951" s="94">
        <v>0</v>
      </c>
      <c r="J1951" s="94">
        <v>488</v>
      </c>
      <c r="K1951" s="94">
        <v>1.5770140813992037</v>
      </c>
      <c r="L1951" s="94">
        <v>0</v>
      </c>
      <c r="M1951" s="94">
        <v>65.569849306026711</v>
      </c>
      <c r="N1951" s="94">
        <v>0</v>
      </c>
      <c r="O1951" s="94">
        <v>0</v>
      </c>
    </row>
    <row r="1952" spans="1:15" x14ac:dyDescent="0.25">
      <c r="A1952" s="89">
        <v>45536.833333333336</v>
      </c>
      <c r="B1952" s="94">
        <v>357.99</v>
      </c>
      <c r="C1952" s="94">
        <v>299.76</v>
      </c>
      <c r="D1952" s="94">
        <v>1.9301828772861269</v>
      </c>
      <c r="E1952" s="94">
        <v>0</v>
      </c>
      <c r="F1952" s="94">
        <v>34.984467569986982</v>
      </c>
      <c r="G1952" s="94">
        <v>2.2278680637228696</v>
      </c>
      <c r="H1952" s="94">
        <v>1.1000000000000001</v>
      </c>
      <c r="I1952" s="94">
        <v>0</v>
      </c>
      <c r="J1952" s="94">
        <v>491</v>
      </c>
      <c r="K1952" s="94">
        <v>1.579</v>
      </c>
      <c r="L1952" s="94">
        <v>0</v>
      </c>
      <c r="M1952" s="94">
        <v>66</v>
      </c>
      <c r="N1952" s="94">
        <v>0</v>
      </c>
      <c r="O1952" s="94">
        <v>0</v>
      </c>
    </row>
    <row r="1953" spans="1:15" x14ac:dyDescent="0.25">
      <c r="A1953" s="89">
        <v>45537.333333333336</v>
      </c>
      <c r="B1953" s="94">
        <v>357.99</v>
      </c>
      <c r="C1953" s="94">
        <v>299.76</v>
      </c>
      <c r="D1953" s="94">
        <v>1.9</v>
      </c>
      <c r="E1953" s="94">
        <v>0</v>
      </c>
      <c r="F1953" s="94">
        <v>34.741207286654351</v>
      </c>
      <c r="G1953" s="94">
        <v>2.2511211241790132</v>
      </c>
      <c r="H1953" s="94">
        <v>1.0271686938633551</v>
      </c>
      <c r="I1953" s="94">
        <v>0</v>
      </c>
      <c r="J1953" s="94">
        <v>490</v>
      </c>
      <c r="K1953" s="94">
        <v>1.5787605175681976</v>
      </c>
      <c r="L1953" s="94">
        <v>0</v>
      </c>
      <c r="M1953" s="94">
        <v>65.896191561542963</v>
      </c>
      <c r="N1953" s="94">
        <v>0</v>
      </c>
      <c r="O1953" s="94">
        <v>0</v>
      </c>
    </row>
    <row r="1954" spans="1:15" x14ac:dyDescent="0.25">
      <c r="A1954" s="89">
        <v>45537.833333333336</v>
      </c>
      <c r="B1954" s="94">
        <v>357.99</v>
      </c>
      <c r="C1954" s="94">
        <v>299.76</v>
      </c>
      <c r="D1954" s="94">
        <v>1.8405954668547946</v>
      </c>
      <c r="E1954" s="94">
        <v>0</v>
      </c>
      <c r="F1954" s="94">
        <v>34.736307438321305</v>
      </c>
      <c r="G1954" s="94">
        <v>2.254484428220128</v>
      </c>
      <c r="H1954" s="94">
        <v>1.070189290805091</v>
      </c>
      <c r="I1954" s="94">
        <v>0</v>
      </c>
      <c r="J1954" s="94">
        <v>490</v>
      </c>
      <c r="K1954" s="94">
        <v>1.5782869373564263</v>
      </c>
      <c r="L1954" s="94">
        <v>0</v>
      </c>
      <c r="M1954" s="94">
        <v>65.221531420023766</v>
      </c>
      <c r="N1954" s="94">
        <v>0</v>
      </c>
      <c r="O1954" s="94">
        <v>0</v>
      </c>
    </row>
    <row r="1955" spans="1:15" x14ac:dyDescent="0.25">
      <c r="A1955" s="89">
        <v>45538.333333333336</v>
      </c>
      <c r="B1955" s="94">
        <v>358.128699674296</v>
      </c>
      <c r="C1955" s="94">
        <v>299.75501114553094</v>
      </c>
      <c r="D1955" s="94">
        <v>1.5962202335810709</v>
      </c>
      <c r="E1955" s="94">
        <v>0</v>
      </c>
      <c r="F1955" s="94">
        <v>34.426479288736978</v>
      </c>
      <c r="G1955" s="94">
        <v>2.2358404541015626</v>
      </c>
      <c r="H1955" s="94">
        <v>1.2</v>
      </c>
      <c r="I1955" s="94">
        <v>0</v>
      </c>
      <c r="J1955" s="94">
        <v>491</v>
      </c>
      <c r="K1955" s="94">
        <v>1.579</v>
      </c>
      <c r="L1955" s="94">
        <v>0</v>
      </c>
      <c r="M1955" s="94">
        <v>65.988502083864859</v>
      </c>
      <c r="N1955" s="94">
        <v>0</v>
      </c>
      <c r="O1955" s="94">
        <v>0</v>
      </c>
    </row>
    <row r="1956" spans="1:15" x14ac:dyDescent="0.25">
      <c r="A1956" s="89">
        <v>45538.833333333336</v>
      </c>
      <c r="B1956" s="94">
        <v>358.15</v>
      </c>
      <c r="C1956" s="94">
        <v>299.7596198890667</v>
      </c>
      <c r="D1956" s="94">
        <v>1.8</v>
      </c>
      <c r="E1956" s="94">
        <v>0</v>
      </c>
      <c r="F1956" s="94">
        <v>34.700000000000003</v>
      </c>
      <c r="G1956" s="94">
        <v>2.2377822322490171</v>
      </c>
      <c r="H1956" s="94">
        <v>1.122387039961132</v>
      </c>
      <c r="I1956" s="94">
        <v>0</v>
      </c>
      <c r="J1956" s="94">
        <v>490</v>
      </c>
      <c r="K1956" s="94">
        <v>1.5774278774309656</v>
      </c>
      <c r="L1956" s="94">
        <v>0</v>
      </c>
      <c r="M1956" s="94">
        <v>66</v>
      </c>
      <c r="N1956" s="94">
        <v>0</v>
      </c>
      <c r="O1956" s="94">
        <v>0</v>
      </c>
    </row>
    <row r="1957" spans="1:15" x14ac:dyDescent="0.25">
      <c r="A1957" s="89">
        <v>45539.333333333336</v>
      </c>
      <c r="B1957" s="94">
        <v>358.17627008249769</v>
      </c>
      <c r="C1957" s="94">
        <v>299.76</v>
      </c>
      <c r="D1957" s="94">
        <v>1.3224585520637766</v>
      </c>
      <c r="E1957" s="94">
        <v>0</v>
      </c>
      <c r="F1957" s="94">
        <v>34.203969833642162</v>
      </c>
      <c r="G1957" s="94">
        <v>2.2731535233735607</v>
      </c>
      <c r="H1957" s="94">
        <v>1.2</v>
      </c>
      <c r="I1957" s="94">
        <v>0</v>
      </c>
      <c r="J1957" s="94">
        <v>490</v>
      </c>
      <c r="K1957" s="94">
        <v>1.5775894085980617</v>
      </c>
      <c r="L1957" s="94">
        <v>0</v>
      </c>
      <c r="M1957" s="94">
        <v>64</v>
      </c>
      <c r="N1957" s="94">
        <v>0</v>
      </c>
      <c r="O1957" s="94">
        <v>0</v>
      </c>
    </row>
    <row r="1958" spans="1:15" x14ac:dyDescent="0.25">
      <c r="A1958" s="89">
        <v>45539.833333333336</v>
      </c>
      <c r="B1958" s="94">
        <v>358.18</v>
      </c>
      <c r="C1958" s="94">
        <v>299.76</v>
      </c>
      <c r="D1958" s="94">
        <v>1.8</v>
      </c>
      <c r="E1958" s="94">
        <v>0</v>
      </c>
      <c r="F1958" s="94">
        <v>34.643533325195314</v>
      </c>
      <c r="G1958" s="94">
        <v>2.266050109863281</v>
      </c>
      <c r="H1958" s="94">
        <v>1.2</v>
      </c>
      <c r="I1958" s="94">
        <v>0</v>
      </c>
      <c r="J1958" s="94">
        <v>488</v>
      </c>
      <c r="K1958" s="94">
        <v>1.5786431295589456</v>
      </c>
      <c r="L1958" s="94">
        <v>0</v>
      </c>
      <c r="M1958" s="94">
        <v>64.113670123721818</v>
      </c>
      <c r="N1958" s="94">
        <v>0</v>
      </c>
      <c r="O1958" s="94">
        <v>0</v>
      </c>
    </row>
    <row r="1959" spans="1:15" x14ac:dyDescent="0.25">
      <c r="A1959" s="89">
        <v>45540.333333333336</v>
      </c>
      <c r="B1959" s="94">
        <v>358.1888937102475</v>
      </c>
      <c r="C1959" s="94">
        <v>299.76</v>
      </c>
      <c r="D1959" s="94">
        <v>1.4</v>
      </c>
      <c r="E1959" s="94">
        <v>0</v>
      </c>
      <c r="F1959" s="94">
        <v>34.37726194742902</v>
      </c>
      <c r="G1959" s="94">
        <v>2.2400000000000002</v>
      </c>
      <c r="H1959" s="94">
        <v>1.2</v>
      </c>
      <c r="I1959" s="94">
        <v>0</v>
      </c>
      <c r="J1959" s="94">
        <v>488</v>
      </c>
      <c r="K1959" s="94">
        <v>1.5780000000000001</v>
      </c>
      <c r="L1959" s="94">
        <v>0</v>
      </c>
      <c r="M1959" s="94">
        <v>63.112073411732368</v>
      </c>
      <c r="N1959" s="94">
        <v>0</v>
      </c>
      <c r="O1959" s="94">
        <v>0</v>
      </c>
    </row>
    <row r="1960" spans="1:15" x14ac:dyDescent="0.25">
      <c r="A1960" s="89">
        <v>45540.833333333336</v>
      </c>
      <c r="B1960" s="94">
        <v>358.19</v>
      </c>
      <c r="C1960" s="94">
        <v>300.24871925287357</v>
      </c>
      <c r="D1960" s="94">
        <v>1.997405076142132</v>
      </c>
      <c r="E1960" s="94">
        <v>0</v>
      </c>
      <c r="F1960" s="94">
        <v>85.197405076142132</v>
      </c>
      <c r="G1960" s="94">
        <v>6.9703552509045386</v>
      </c>
      <c r="H1960" s="94">
        <v>1.1122646398341682</v>
      </c>
      <c r="I1960" s="94">
        <v>0</v>
      </c>
      <c r="J1960" s="94">
        <v>1499</v>
      </c>
      <c r="K1960" s="94">
        <v>2.0739002646995837</v>
      </c>
      <c r="L1960" s="94">
        <v>0</v>
      </c>
      <c r="M1960" s="94">
        <v>64.539813579953986</v>
      </c>
      <c r="N1960" s="94">
        <v>0</v>
      </c>
      <c r="O1960" s="94">
        <v>10</v>
      </c>
    </row>
    <row r="1961" spans="1:15" x14ac:dyDescent="0.25">
      <c r="A1961" s="89">
        <v>45541.333333333336</v>
      </c>
      <c r="B1961" s="94">
        <v>358.19</v>
      </c>
      <c r="C1961" s="94">
        <v>300.24637843981998</v>
      </c>
      <c r="D1961" s="94">
        <v>1.9398937073920424</v>
      </c>
      <c r="E1961" s="94">
        <v>0</v>
      </c>
      <c r="F1961" s="94">
        <v>85.203992450493814</v>
      </c>
      <c r="G1961" s="94">
        <v>6.9527263947700764</v>
      </c>
      <c r="H1961" s="94">
        <v>1.1000000000000001</v>
      </c>
      <c r="I1961" s="94">
        <v>0</v>
      </c>
      <c r="J1961" s="94">
        <v>1502</v>
      </c>
      <c r="K1961" s="94">
        <v>2.0741499353256931</v>
      </c>
      <c r="L1961" s="94">
        <v>0</v>
      </c>
      <c r="M1961" s="94">
        <v>64.791871500260513</v>
      </c>
      <c r="N1961" s="94">
        <v>0</v>
      </c>
      <c r="O1961" s="94">
        <v>10</v>
      </c>
    </row>
    <row r="1962" spans="1:15" x14ac:dyDescent="0.25">
      <c r="A1962" s="89">
        <v>45541.833333333336</v>
      </c>
      <c r="B1962" s="94">
        <v>358.19</v>
      </c>
      <c r="C1962" s="94">
        <v>300.24474404433266</v>
      </c>
      <c r="D1962" s="94">
        <v>2.2000000000000002</v>
      </c>
      <c r="E1962" s="94">
        <v>0</v>
      </c>
      <c r="F1962" s="94">
        <v>85.565107609675479</v>
      </c>
      <c r="G1962" s="94">
        <v>6.9553197001097162</v>
      </c>
      <c r="H1962" s="94">
        <v>1.0009030456770514</v>
      </c>
      <c r="I1962" s="94">
        <v>0</v>
      </c>
      <c r="J1962" s="94">
        <v>1504</v>
      </c>
      <c r="K1962" s="94">
        <v>2.0759298641133936</v>
      </c>
      <c r="L1962" s="94">
        <v>0</v>
      </c>
      <c r="M1962" s="94">
        <v>64.88237017005774</v>
      </c>
      <c r="N1962" s="94">
        <v>0</v>
      </c>
      <c r="O1962" s="94">
        <v>10</v>
      </c>
    </row>
    <row r="1963" spans="1:15" x14ac:dyDescent="0.25">
      <c r="A1963" s="89">
        <v>45542.333333333336</v>
      </c>
      <c r="B1963" s="94">
        <v>358.19</v>
      </c>
      <c r="C1963" s="94">
        <v>300.25100276850139</v>
      </c>
      <c r="D1963" s="94">
        <v>2.2000000000000002</v>
      </c>
      <c r="E1963" s="94">
        <v>0</v>
      </c>
      <c r="F1963" s="94">
        <v>85.411384465144238</v>
      </c>
      <c r="G1963" s="94">
        <v>6.9375642309823924</v>
      </c>
      <c r="H1963" s="94">
        <v>1.0702919978198799</v>
      </c>
      <c r="I1963" s="94">
        <v>0</v>
      </c>
      <c r="J1963" s="94">
        <v>1504</v>
      </c>
      <c r="K1963" s="94">
        <v>2.0758848585349918</v>
      </c>
      <c r="L1963" s="94">
        <v>0</v>
      </c>
      <c r="M1963" s="94">
        <v>64</v>
      </c>
      <c r="N1963" s="94">
        <v>0</v>
      </c>
      <c r="O1963" s="94">
        <v>10</v>
      </c>
    </row>
    <row r="1964" spans="1:15" x14ac:dyDescent="0.25">
      <c r="A1964" s="89">
        <v>45542.833333333336</v>
      </c>
      <c r="B1964" s="94">
        <v>358.19</v>
      </c>
      <c r="C1964" s="94">
        <v>299.76</v>
      </c>
      <c r="D1964" s="94">
        <v>2.2000000000000002</v>
      </c>
      <c r="E1964" s="94">
        <v>0</v>
      </c>
      <c r="F1964" s="94">
        <v>39.5</v>
      </c>
      <c r="G1964" s="94">
        <v>2.3080817365588939</v>
      </c>
      <c r="H1964" s="94">
        <v>1.0411199951171874</v>
      </c>
      <c r="I1964" s="94">
        <v>0</v>
      </c>
      <c r="J1964" s="94">
        <v>490</v>
      </c>
      <c r="K1964" s="94">
        <v>1.579</v>
      </c>
      <c r="L1964" s="94">
        <v>0</v>
      </c>
      <c r="M1964" s="94">
        <v>64.238617030597041</v>
      </c>
      <c r="N1964" s="94">
        <v>0</v>
      </c>
      <c r="O1964" s="94">
        <v>0</v>
      </c>
    </row>
    <row r="1965" spans="1:15" x14ac:dyDescent="0.25">
      <c r="A1965" s="89">
        <v>45543.333333333336</v>
      </c>
      <c r="B1965" s="94">
        <v>358.19</v>
      </c>
      <c r="C1965" s="94">
        <v>299.76</v>
      </c>
      <c r="D1965" s="94">
        <v>1.8</v>
      </c>
      <c r="E1965" s="94">
        <v>0</v>
      </c>
      <c r="F1965" s="94">
        <v>38.972099304199219</v>
      </c>
      <c r="G1965" s="94">
        <v>2.2634830688396388</v>
      </c>
      <c r="H1965" s="94">
        <v>1.2</v>
      </c>
      <c r="I1965" s="94">
        <v>0</v>
      </c>
      <c r="J1965" s="94">
        <v>491</v>
      </c>
      <c r="K1965" s="94">
        <v>1.579</v>
      </c>
      <c r="L1965" s="94">
        <v>0</v>
      </c>
      <c r="M1965" s="94">
        <v>64.979768064224217</v>
      </c>
      <c r="N1965" s="94">
        <v>0</v>
      </c>
      <c r="O1965" s="94">
        <v>0</v>
      </c>
    </row>
    <row r="1966" spans="1:15" x14ac:dyDescent="0.25">
      <c r="A1966" s="89">
        <v>45543.833333333336</v>
      </c>
      <c r="B1966" s="94">
        <v>358.19</v>
      </c>
      <c r="C1966" s="94">
        <v>299.76</v>
      </c>
      <c r="D1966" s="94">
        <v>2.1520084566596194</v>
      </c>
      <c r="E1966" s="94">
        <v>0</v>
      </c>
      <c r="F1966" s="94">
        <v>39.454287678502268</v>
      </c>
      <c r="G1966" s="94">
        <v>2.253898035128771</v>
      </c>
      <c r="H1966" s="94">
        <v>1.1744750926307121</v>
      </c>
      <c r="I1966" s="94">
        <v>0</v>
      </c>
      <c r="J1966" s="94">
        <v>491</v>
      </c>
      <c r="K1966" s="94">
        <v>1.5789801116913373</v>
      </c>
      <c r="L1966" s="94">
        <v>0</v>
      </c>
      <c r="M1966" s="94">
        <v>65</v>
      </c>
      <c r="N1966" s="94">
        <v>0</v>
      </c>
      <c r="O1966" s="94">
        <v>0</v>
      </c>
    </row>
    <row r="1967" spans="1:15" x14ac:dyDescent="0.25">
      <c r="A1967" s="89">
        <v>45544.333333333336</v>
      </c>
      <c r="B1967" s="94">
        <v>358.19523325987029</v>
      </c>
      <c r="C1967" s="94">
        <v>299.76</v>
      </c>
      <c r="D1967" s="94">
        <v>1.8293415895974441</v>
      </c>
      <c r="E1967" s="94">
        <v>0</v>
      </c>
      <c r="F1967" s="94">
        <v>39.149129311313338</v>
      </c>
      <c r="G1967" s="94">
        <v>2.2126226879076234</v>
      </c>
      <c r="H1967" s="94">
        <v>1.1681860226451783</v>
      </c>
      <c r="I1967" s="94">
        <v>0</v>
      </c>
      <c r="J1967" s="94">
        <v>491</v>
      </c>
      <c r="K1967" s="94">
        <v>1.5803396728783079</v>
      </c>
      <c r="L1967" s="94">
        <v>0</v>
      </c>
      <c r="M1967" s="94">
        <v>64.995871418852431</v>
      </c>
      <c r="N1967" s="94">
        <v>0</v>
      </c>
      <c r="O1967" s="94">
        <v>0</v>
      </c>
    </row>
    <row r="1968" spans="1:15" x14ac:dyDescent="0.25">
      <c r="A1968" s="89">
        <v>45544.833333333336</v>
      </c>
      <c r="B1968" s="94">
        <v>358.21</v>
      </c>
      <c r="C1968" s="94">
        <v>299.76</v>
      </c>
      <c r="D1968" s="94">
        <v>2</v>
      </c>
      <c r="E1968" s="94">
        <v>0</v>
      </c>
      <c r="F1968" s="94">
        <v>39.216277436287172</v>
      </c>
      <c r="G1968" s="94">
        <v>2.2578449306551889</v>
      </c>
      <c r="H1968" s="94">
        <v>1.1000000000000001</v>
      </c>
      <c r="I1968" s="94">
        <v>0</v>
      </c>
      <c r="J1968" s="94">
        <v>491</v>
      </c>
      <c r="K1968" s="94">
        <v>1.579</v>
      </c>
      <c r="L1968" s="94">
        <v>0</v>
      </c>
      <c r="M1968" s="94">
        <v>65</v>
      </c>
      <c r="N1968" s="94">
        <v>0</v>
      </c>
      <c r="O1968" s="94">
        <v>0</v>
      </c>
    </row>
    <row r="1969" spans="1:15" x14ac:dyDescent="0.25">
      <c r="A1969" s="89">
        <v>45545.333333333336</v>
      </c>
      <c r="B1969" s="94">
        <v>358.21545912141818</v>
      </c>
      <c r="C1969" s="94">
        <v>299.80643857518049</v>
      </c>
      <c r="D1969" s="94">
        <v>1.6387986235973173</v>
      </c>
      <c r="E1969" s="94">
        <v>0</v>
      </c>
      <c r="F1969" s="94">
        <v>0.80269146048471374</v>
      </c>
      <c r="G1969" s="94">
        <v>0</v>
      </c>
      <c r="H1969" s="94">
        <v>1.2</v>
      </c>
      <c r="I1969" s="94">
        <v>0</v>
      </c>
      <c r="J1969" s="94">
        <v>577</v>
      </c>
      <c r="K1969" s="94">
        <v>1.647</v>
      </c>
      <c r="L1969" s="94">
        <v>17</v>
      </c>
      <c r="M1969" s="94">
        <v>64.850705853372446</v>
      </c>
      <c r="N1969" s="94">
        <v>0</v>
      </c>
      <c r="O1969" s="94">
        <v>0</v>
      </c>
    </row>
    <row r="1970" spans="1:15" x14ac:dyDescent="0.25">
      <c r="A1970" s="89">
        <v>45545.833333333336</v>
      </c>
      <c r="B1970" s="94">
        <v>358.23</v>
      </c>
      <c r="C1970" s="94">
        <v>299.76</v>
      </c>
      <c r="D1970" s="94">
        <v>40.754145837311974</v>
      </c>
      <c r="E1970" s="94">
        <v>2.2253607177734374</v>
      </c>
      <c r="F1970" s="94">
        <v>2.2328914969308036</v>
      </c>
      <c r="G1970" s="94">
        <v>0</v>
      </c>
      <c r="H1970" s="94">
        <v>1.153062056172828</v>
      </c>
      <c r="I1970" s="94">
        <v>0</v>
      </c>
      <c r="J1970" s="94">
        <v>494</v>
      </c>
      <c r="K1970" s="94">
        <v>1.5807209450403932</v>
      </c>
      <c r="L1970" s="94">
        <v>0</v>
      </c>
      <c r="M1970" s="94">
        <v>63.904965376861632</v>
      </c>
      <c r="N1970" s="94">
        <v>0</v>
      </c>
      <c r="O1970" s="94">
        <v>0</v>
      </c>
    </row>
    <row r="1971" spans="1:15" x14ac:dyDescent="0.25">
      <c r="A1971" s="89">
        <v>45546.333333333336</v>
      </c>
      <c r="B1971" s="94">
        <v>358.23577801254828</v>
      </c>
      <c r="C1971" s="94" t="s">
        <v>94</v>
      </c>
      <c r="D1971" s="94" t="s">
        <v>94</v>
      </c>
      <c r="E1971" s="94" t="s">
        <v>95</v>
      </c>
      <c r="F1971" s="94" t="s">
        <v>94</v>
      </c>
      <c r="G1971" s="94" t="s">
        <v>95</v>
      </c>
      <c r="H1971" s="94" t="s">
        <v>94</v>
      </c>
      <c r="I1971" s="94" t="s">
        <v>95</v>
      </c>
      <c r="J1971" s="94">
        <v>550</v>
      </c>
      <c r="K1971" s="94">
        <v>1.6279999999999999</v>
      </c>
      <c r="L1971" s="94">
        <v>15.124094174098222</v>
      </c>
      <c r="M1971" s="94">
        <v>64</v>
      </c>
      <c r="N1971" s="94">
        <v>0</v>
      </c>
      <c r="O1971" s="94">
        <v>0</v>
      </c>
    </row>
    <row r="1972" spans="1:15" x14ac:dyDescent="0.25">
      <c r="A1972" s="89">
        <v>45546.833333333336</v>
      </c>
      <c r="B1972" s="94">
        <v>358.25</v>
      </c>
      <c r="C1972" s="94">
        <v>299.74259408878214</v>
      </c>
      <c r="D1972" s="94">
        <v>0.7</v>
      </c>
      <c r="E1972" s="94">
        <v>0</v>
      </c>
      <c r="F1972" s="94">
        <v>2.2660073025796552</v>
      </c>
      <c r="G1972" s="94">
        <v>0</v>
      </c>
      <c r="H1972" s="94">
        <v>1.17171411080502</v>
      </c>
      <c r="I1972" s="94">
        <v>0</v>
      </c>
      <c r="J1972" s="94">
        <v>487</v>
      </c>
      <c r="K1972" s="94">
        <v>1.5769333968003956</v>
      </c>
      <c r="L1972" s="94">
        <v>16</v>
      </c>
      <c r="M1972" s="94">
        <v>65</v>
      </c>
      <c r="N1972" s="94">
        <v>0</v>
      </c>
      <c r="O1972" s="94">
        <v>0</v>
      </c>
    </row>
    <row r="1973" spans="1:15" x14ac:dyDescent="0.25">
      <c r="A1973" s="89">
        <v>45547.333333333336</v>
      </c>
      <c r="B1973" s="94">
        <v>358.25297421331845</v>
      </c>
      <c r="C1973" s="94">
        <v>299.75416772698162</v>
      </c>
      <c r="D1973" s="94">
        <v>1.6273557067502484</v>
      </c>
      <c r="E1973" s="94">
        <v>0</v>
      </c>
      <c r="F1973" s="94">
        <v>2.2999999999999998</v>
      </c>
      <c r="G1973" s="94">
        <v>0</v>
      </c>
      <c r="H1973" s="94">
        <v>1.1812329164872792</v>
      </c>
      <c r="I1973" s="94">
        <v>0</v>
      </c>
      <c r="J1973" s="94">
        <v>491</v>
      </c>
      <c r="K1973" s="94">
        <v>1.5780000000000001</v>
      </c>
      <c r="L1973" s="94">
        <v>16</v>
      </c>
      <c r="M1973" s="94">
        <v>65</v>
      </c>
      <c r="N1973" s="94">
        <v>0</v>
      </c>
      <c r="O1973" s="94">
        <v>0</v>
      </c>
    </row>
    <row r="1974" spans="1:15" x14ac:dyDescent="0.25">
      <c r="A1974" s="89">
        <v>45547.833333333336</v>
      </c>
      <c r="B1974" s="94">
        <v>358.26</v>
      </c>
      <c r="C1974" s="94">
        <v>299.7611787395677</v>
      </c>
      <c r="D1974" s="94">
        <v>36.185641798033132</v>
      </c>
      <c r="E1974" s="94">
        <v>2.2646705346673364</v>
      </c>
      <c r="F1974" s="94">
        <v>2.2182017135099739</v>
      </c>
      <c r="G1974" s="94">
        <v>0</v>
      </c>
      <c r="H1974" s="94">
        <v>1.123699951171875</v>
      </c>
      <c r="I1974" s="94">
        <v>0</v>
      </c>
      <c r="J1974" s="94">
        <v>493</v>
      </c>
      <c r="K1974" s="94">
        <v>1.581</v>
      </c>
      <c r="L1974" s="94">
        <v>0</v>
      </c>
      <c r="M1974" s="94">
        <v>65</v>
      </c>
      <c r="N1974" s="94">
        <v>0</v>
      </c>
      <c r="O1974" s="94">
        <v>0</v>
      </c>
    </row>
    <row r="1975" spans="1:15" x14ac:dyDescent="0.25">
      <c r="A1975" s="89">
        <v>45548.333333333336</v>
      </c>
      <c r="B1975" s="94">
        <v>358.26</v>
      </c>
      <c r="C1975" s="94">
        <v>299.76</v>
      </c>
      <c r="D1975" s="94">
        <v>35.825095265043316</v>
      </c>
      <c r="E1975" s="94">
        <v>2.2869499206542967</v>
      </c>
      <c r="F1975" s="94">
        <v>1.9</v>
      </c>
      <c r="G1975" s="94">
        <v>0</v>
      </c>
      <c r="H1975" s="94">
        <v>1.2</v>
      </c>
      <c r="I1975" s="94">
        <v>0</v>
      </c>
      <c r="J1975" s="94">
        <v>493</v>
      </c>
      <c r="K1975" s="94">
        <v>1.581</v>
      </c>
      <c r="L1975" s="94">
        <v>0</v>
      </c>
      <c r="M1975" s="94">
        <v>65</v>
      </c>
      <c r="N1975" s="94">
        <v>0</v>
      </c>
      <c r="O1975" s="94">
        <v>0</v>
      </c>
    </row>
    <row r="1976" spans="1:15" x14ac:dyDescent="0.25">
      <c r="A1976" s="89">
        <v>45548.833333333336</v>
      </c>
      <c r="B1976" s="94">
        <v>358.26</v>
      </c>
      <c r="C1976" s="94">
        <v>299.76646199138554</v>
      </c>
      <c r="D1976" s="94">
        <v>35.799999999999997</v>
      </c>
      <c r="E1976" s="94">
        <v>2.2804602050781249</v>
      </c>
      <c r="F1976" s="94">
        <v>2.2777441481384884</v>
      </c>
      <c r="G1976" s="94">
        <v>0</v>
      </c>
      <c r="H1976" s="94">
        <v>1.1021369611554928</v>
      </c>
      <c r="I1976" s="94">
        <v>0</v>
      </c>
      <c r="J1976" s="94">
        <v>497</v>
      </c>
      <c r="K1976" s="94">
        <v>1.5824725445189693</v>
      </c>
      <c r="L1976" s="94">
        <v>0</v>
      </c>
      <c r="M1976" s="94">
        <v>65.662108087708361</v>
      </c>
      <c r="N1976" s="94">
        <v>0</v>
      </c>
      <c r="O1976" s="94">
        <v>0</v>
      </c>
    </row>
    <row r="1977" spans="1:15" x14ac:dyDescent="0.25">
      <c r="A1977" s="89">
        <v>45549.333333333336</v>
      </c>
      <c r="B1977" s="94">
        <v>358.26</v>
      </c>
      <c r="C1977" s="94">
        <v>299.76</v>
      </c>
      <c r="D1977" s="94">
        <v>35.702466837565105</v>
      </c>
      <c r="E1977" s="94">
        <v>2.2985257910574788</v>
      </c>
      <c r="F1977" s="94">
        <v>1.7643779789242955</v>
      </c>
      <c r="G1977" s="94">
        <v>0</v>
      </c>
      <c r="H1977" s="94">
        <v>1.2</v>
      </c>
      <c r="I1977" s="94">
        <v>0</v>
      </c>
      <c r="J1977" s="94">
        <v>496</v>
      </c>
      <c r="K1977" s="94">
        <v>1.5820551997107273</v>
      </c>
      <c r="L1977" s="94">
        <v>0</v>
      </c>
      <c r="M1977" s="94">
        <v>65.509221300858741</v>
      </c>
      <c r="N1977" s="94">
        <v>0</v>
      </c>
      <c r="O1977" s="94">
        <v>0</v>
      </c>
    </row>
    <row r="1978" spans="1:15" x14ac:dyDescent="0.25">
      <c r="A1978" s="89">
        <v>45549.833333333336</v>
      </c>
      <c r="B1978" s="94">
        <v>358.26</v>
      </c>
      <c r="C1978" s="94">
        <v>299.76</v>
      </c>
      <c r="D1978" s="94">
        <v>37.407443765180759</v>
      </c>
      <c r="E1978" s="94">
        <v>2.2990484336576498</v>
      </c>
      <c r="F1978" s="94">
        <v>2.2580795320607621</v>
      </c>
      <c r="G1978" s="94">
        <v>0</v>
      </c>
      <c r="H1978" s="94">
        <v>1.1731567123740212</v>
      </c>
      <c r="I1978" s="94">
        <v>0</v>
      </c>
      <c r="J1978" s="94">
        <v>493</v>
      </c>
      <c r="K1978" s="94">
        <v>1.5812577301959025</v>
      </c>
      <c r="L1978" s="94">
        <v>0</v>
      </c>
      <c r="M1978" s="94">
        <v>65</v>
      </c>
      <c r="N1978" s="94">
        <v>0</v>
      </c>
      <c r="O1978" s="94">
        <v>0</v>
      </c>
    </row>
    <row r="1979" spans="1:15" x14ac:dyDescent="0.25">
      <c r="A1979" s="89">
        <v>45550.333333333336</v>
      </c>
      <c r="B1979" s="94">
        <v>358.26</v>
      </c>
      <c r="C1979" s="94">
        <v>299.76</v>
      </c>
      <c r="D1979" s="94">
        <v>36.865931389236707</v>
      </c>
      <c r="E1979" s="94">
        <v>2.292602679048739</v>
      </c>
      <c r="F1979" s="94">
        <v>1.6</v>
      </c>
      <c r="G1979" s="94">
        <v>0</v>
      </c>
      <c r="H1979" s="94">
        <v>1.2048149448620531</v>
      </c>
      <c r="I1979" s="94">
        <v>0</v>
      </c>
      <c r="J1979" s="94">
        <v>494</v>
      </c>
      <c r="K1979" s="94">
        <v>1.5817445252579003</v>
      </c>
      <c r="L1979" s="94">
        <v>0</v>
      </c>
      <c r="M1979" s="94">
        <v>65</v>
      </c>
      <c r="N1979" s="94">
        <v>0</v>
      </c>
      <c r="O1979" s="94">
        <v>0</v>
      </c>
    </row>
    <row r="1980" spans="1:15" x14ac:dyDescent="0.25">
      <c r="A1980" s="89">
        <v>45550.833333333336</v>
      </c>
      <c r="B1980" s="94">
        <v>358.26</v>
      </c>
      <c r="C1980" s="94">
        <v>299.76</v>
      </c>
      <c r="D1980" s="94">
        <v>37.059471981314495</v>
      </c>
      <c r="E1980" s="94">
        <v>2.2702640093427524</v>
      </c>
      <c r="F1980" s="94">
        <v>2.1330684116450094</v>
      </c>
      <c r="G1980" s="94">
        <v>0</v>
      </c>
      <c r="H1980" s="94">
        <v>1.2</v>
      </c>
      <c r="I1980" s="94">
        <v>0</v>
      </c>
      <c r="J1980" s="94">
        <v>491</v>
      </c>
      <c r="K1980" s="94">
        <v>1.5791605234021486</v>
      </c>
      <c r="L1980" s="94">
        <v>0</v>
      </c>
      <c r="M1980" s="94">
        <v>64.419255669392186</v>
      </c>
      <c r="N1980" s="94">
        <v>0</v>
      </c>
      <c r="O1980" s="94">
        <v>0</v>
      </c>
    </row>
    <row r="1981" spans="1:15" x14ac:dyDescent="0.25">
      <c r="A1981" s="89">
        <v>45551.333333333336</v>
      </c>
      <c r="B1981" s="94">
        <v>358.27193287425615</v>
      </c>
      <c r="C1981" s="94">
        <v>299.76</v>
      </c>
      <c r="D1981" s="94">
        <v>35.766972299774714</v>
      </c>
      <c r="E1981" s="94">
        <v>2.2752343571721965</v>
      </c>
      <c r="F1981" s="94">
        <v>1.6</v>
      </c>
      <c r="G1981" s="94">
        <v>0</v>
      </c>
      <c r="H1981" s="94">
        <v>1.3</v>
      </c>
      <c r="I1981" s="94">
        <v>0</v>
      </c>
      <c r="J1981" s="94">
        <v>494</v>
      </c>
      <c r="K1981" s="94">
        <v>1.5815060556811842</v>
      </c>
      <c r="L1981" s="94">
        <v>0</v>
      </c>
      <c r="M1981" s="94">
        <v>64.334420646108299</v>
      </c>
      <c r="N1981" s="94">
        <v>0</v>
      </c>
      <c r="O1981" s="94">
        <v>0</v>
      </c>
    </row>
    <row r="1982" spans="1:15" x14ac:dyDescent="0.25">
      <c r="A1982" s="89">
        <v>45551.833333333336</v>
      </c>
      <c r="B1982" s="94">
        <v>358.3</v>
      </c>
      <c r="C1982" s="94">
        <v>299.76</v>
      </c>
      <c r="D1982" s="94">
        <v>34.625333658854167</v>
      </c>
      <c r="E1982" s="94">
        <v>2.2932535015503048</v>
      </c>
      <c r="F1982" s="94">
        <v>2.1353533981025814</v>
      </c>
      <c r="G1982" s="94">
        <v>0</v>
      </c>
      <c r="H1982" s="94">
        <v>1.2</v>
      </c>
      <c r="I1982" s="94">
        <v>0</v>
      </c>
      <c r="J1982" s="94">
        <v>493</v>
      </c>
      <c r="K1982" s="94">
        <v>1.5818467952227933</v>
      </c>
      <c r="L1982" s="94">
        <v>0</v>
      </c>
      <c r="M1982" s="94">
        <v>65</v>
      </c>
      <c r="N1982" s="94">
        <v>0</v>
      </c>
      <c r="O1982" s="94">
        <v>0</v>
      </c>
    </row>
    <row r="1983" spans="1:15" x14ac:dyDescent="0.25">
      <c r="A1983" s="89">
        <v>45552.333333333336</v>
      </c>
      <c r="B1983" s="94">
        <v>358.30300483012115</v>
      </c>
      <c r="C1983" s="94">
        <v>299.76</v>
      </c>
      <c r="D1983" s="94">
        <v>36.415922537358952</v>
      </c>
      <c r="E1983" s="94">
        <v>2.2752296400073093</v>
      </c>
      <c r="F1983" s="94">
        <v>1.752296400073095</v>
      </c>
      <c r="G1983" s="94">
        <v>0</v>
      </c>
      <c r="H1983" s="94">
        <v>1.3</v>
      </c>
      <c r="I1983" s="94">
        <v>0</v>
      </c>
      <c r="J1983" s="94">
        <v>493</v>
      </c>
      <c r="K1983" s="94">
        <v>1.580750299251753</v>
      </c>
      <c r="L1983" s="94">
        <v>0</v>
      </c>
      <c r="M1983" s="94">
        <v>65</v>
      </c>
      <c r="N1983" s="94">
        <v>0</v>
      </c>
      <c r="O1983" s="94">
        <v>0</v>
      </c>
    </row>
    <row r="1984" spans="1:15" x14ac:dyDescent="0.25">
      <c r="A1984" s="89">
        <v>45552.833333333336</v>
      </c>
      <c r="B1984" s="94">
        <v>358.31</v>
      </c>
      <c r="C1984" s="94">
        <v>299.76</v>
      </c>
      <c r="D1984" s="94">
        <v>34.625288078152032</v>
      </c>
      <c r="E1984" s="94">
        <v>2.2109602864583331</v>
      </c>
      <c r="F1984" s="94">
        <v>2.2000000000000002</v>
      </c>
      <c r="G1984" s="94">
        <v>0</v>
      </c>
      <c r="H1984" s="94">
        <v>1.2</v>
      </c>
      <c r="I1984" s="94">
        <v>0</v>
      </c>
      <c r="J1984" s="94">
        <v>494</v>
      </c>
      <c r="K1984" s="94">
        <v>1.5825055598093953</v>
      </c>
      <c r="L1984" s="94">
        <v>0</v>
      </c>
      <c r="M1984" s="94">
        <v>65.118358083630113</v>
      </c>
      <c r="N1984" s="94">
        <v>0</v>
      </c>
      <c r="O1984" s="94">
        <v>0</v>
      </c>
    </row>
    <row r="1985" spans="1:15" x14ac:dyDescent="0.25">
      <c r="A1985" s="89">
        <v>45553.333333333336</v>
      </c>
      <c r="B1985" s="94">
        <v>358.31305311938598</v>
      </c>
      <c r="C1985" s="94">
        <v>299.76</v>
      </c>
      <c r="D1985" s="94">
        <v>34.9</v>
      </c>
      <c r="E1985" s="94">
        <v>2.27</v>
      </c>
      <c r="F1985" s="94">
        <v>1.7</v>
      </c>
      <c r="G1985" s="94">
        <v>0</v>
      </c>
      <c r="H1985" s="94">
        <v>1.3</v>
      </c>
      <c r="I1985" s="94">
        <v>0</v>
      </c>
      <c r="J1985" s="94">
        <v>496</v>
      </c>
      <c r="K1985" s="94">
        <v>1.581852194204507</v>
      </c>
      <c r="L1985" s="94">
        <v>0</v>
      </c>
      <c r="M1985" s="94">
        <v>65</v>
      </c>
      <c r="N1985" s="94">
        <v>0</v>
      </c>
      <c r="O1985" s="94">
        <v>0</v>
      </c>
    </row>
    <row r="1986" spans="1:15" x14ac:dyDescent="0.25">
      <c r="A1986" s="89">
        <v>45553.833333333336</v>
      </c>
      <c r="B1986" s="94">
        <v>358.32</v>
      </c>
      <c r="C1986" s="94">
        <v>299.76</v>
      </c>
      <c r="D1986" s="94">
        <v>34.1</v>
      </c>
      <c r="E1986" s="94">
        <v>2.2825911731605681</v>
      </c>
      <c r="F1986" s="94">
        <v>2.4</v>
      </c>
      <c r="G1986" s="94">
        <v>0</v>
      </c>
      <c r="H1986" s="94">
        <v>1.2</v>
      </c>
      <c r="I1986" s="94">
        <v>0</v>
      </c>
      <c r="J1986" s="94">
        <v>496</v>
      </c>
      <c r="K1986" s="94">
        <v>1.5826647106409761</v>
      </c>
      <c r="L1986" s="94">
        <v>0</v>
      </c>
      <c r="M1986" s="94">
        <v>65</v>
      </c>
      <c r="N1986" s="94">
        <v>0</v>
      </c>
      <c r="O1986" s="94">
        <v>0</v>
      </c>
    </row>
    <row r="1987" spans="1:15" x14ac:dyDescent="0.25">
      <c r="A1987" s="89">
        <v>45554.333333333336</v>
      </c>
      <c r="B1987" s="94">
        <v>358.32311975093279</v>
      </c>
      <c r="C1987" s="94">
        <v>299.76</v>
      </c>
      <c r="D1987" s="94">
        <v>34.499944315580279</v>
      </c>
      <c r="E1987" s="94">
        <v>2.2783811469162525</v>
      </c>
      <c r="F1987" s="94">
        <v>1.8026980884729125</v>
      </c>
      <c r="G1987" s="94">
        <v>0</v>
      </c>
      <c r="H1987" s="94">
        <v>1.2416522974811324</v>
      </c>
      <c r="I1987" s="94">
        <v>0</v>
      </c>
      <c r="J1987" s="94">
        <v>493</v>
      </c>
      <c r="K1987" s="94">
        <v>1.5809643657452301</v>
      </c>
      <c r="L1987" s="94">
        <v>0</v>
      </c>
      <c r="M1987" s="94">
        <v>65</v>
      </c>
      <c r="N1987" s="94">
        <v>0</v>
      </c>
      <c r="O1987" s="94">
        <v>0</v>
      </c>
    </row>
    <row r="1988" spans="1:15" x14ac:dyDescent="0.25">
      <c r="A1988" s="89">
        <v>45554.833333333336</v>
      </c>
      <c r="B1988" s="94">
        <v>358.33</v>
      </c>
      <c r="C1988" s="94">
        <v>299.76</v>
      </c>
      <c r="D1988" s="94">
        <v>34.1</v>
      </c>
      <c r="E1988" s="94">
        <v>2.2877767373317162</v>
      </c>
      <c r="F1988" s="94">
        <v>2.4</v>
      </c>
      <c r="G1988" s="94">
        <v>0</v>
      </c>
      <c r="H1988" s="94">
        <v>1.2</v>
      </c>
      <c r="I1988" s="94">
        <v>0</v>
      </c>
      <c r="J1988" s="94">
        <v>496</v>
      </c>
      <c r="K1988" s="94">
        <v>1.5828886425030901</v>
      </c>
      <c r="L1988" s="94">
        <v>0</v>
      </c>
      <c r="M1988" s="94">
        <v>65</v>
      </c>
      <c r="N1988" s="94">
        <v>0</v>
      </c>
      <c r="O1988" s="94">
        <v>0</v>
      </c>
    </row>
    <row r="1989" spans="1:15" x14ac:dyDescent="0.25">
      <c r="A1989" s="89">
        <v>45555.333333333336</v>
      </c>
      <c r="B1989" s="94">
        <v>358.33</v>
      </c>
      <c r="C1989" s="94">
        <v>299.76</v>
      </c>
      <c r="D1989" s="94">
        <v>36.682654546565011</v>
      </c>
      <c r="E1989" s="94">
        <v>2.2668838179364497</v>
      </c>
      <c r="F1989" s="94">
        <v>2.151106366443309</v>
      </c>
      <c r="G1989" s="94">
        <v>0</v>
      </c>
      <c r="H1989" s="94">
        <v>1.2</v>
      </c>
      <c r="I1989" s="94">
        <v>0</v>
      </c>
      <c r="J1989" s="94">
        <v>494</v>
      </c>
      <c r="K1989" s="94">
        <v>1.5820000000000001</v>
      </c>
      <c r="L1989" s="94">
        <v>0</v>
      </c>
      <c r="M1989" s="94">
        <v>65.218766681587837</v>
      </c>
      <c r="N1989" s="94">
        <v>0</v>
      </c>
      <c r="O1989" s="94">
        <v>0</v>
      </c>
    </row>
    <row r="1990" spans="1:15" x14ac:dyDescent="0.25">
      <c r="A1990" s="89">
        <v>45555.833333333336</v>
      </c>
      <c r="B1990" s="94">
        <v>358.33</v>
      </c>
      <c r="C1990" s="94">
        <v>299.76</v>
      </c>
      <c r="D1990" s="94">
        <v>37.200000000000003</v>
      </c>
      <c r="E1990" s="94">
        <v>2.2507295503298659</v>
      </c>
      <c r="F1990" s="94">
        <v>2.2999999999999998</v>
      </c>
      <c r="G1990" s="94">
        <v>0</v>
      </c>
      <c r="H1990" s="94">
        <v>1.2</v>
      </c>
      <c r="I1990" s="94">
        <v>0</v>
      </c>
      <c r="J1990" s="94">
        <v>494</v>
      </c>
      <c r="K1990" s="94">
        <v>1.5814477146895702</v>
      </c>
      <c r="L1990" s="94">
        <v>0</v>
      </c>
      <c r="M1990" s="94">
        <v>65</v>
      </c>
      <c r="N1990" s="94">
        <v>0</v>
      </c>
      <c r="O1990" s="94">
        <v>0</v>
      </c>
    </row>
    <row r="1991" spans="1:15" x14ac:dyDescent="0.25">
      <c r="A1991" s="89">
        <v>45556.333333333336</v>
      </c>
      <c r="B1991" s="94">
        <v>358.33</v>
      </c>
      <c r="C1991" s="94">
        <v>299.76</v>
      </c>
      <c r="D1991" s="94">
        <v>37.319854923636179</v>
      </c>
      <c r="E1991" s="94">
        <v>2.2694799804687498</v>
      </c>
      <c r="F1991" s="94">
        <v>2.2000000000000002</v>
      </c>
      <c r="G1991" s="94">
        <v>0</v>
      </c>
      <c r="H1991" s="94">
        <v>1.2</v>
      </c>
      <c r="I1991" s="94">
        <v>0</v>
      </c>
      <c r="J1991" s="94">
        <v>497</v>
      </c>
      <c r="K1991" s="94">
        <v>1.5823870831857707</v>
      </c>
      <c r="L1991" s="94">
        <v>0</v>
      </c>
      <c r="M1991" s="94">
        <v>66</v>
      </c>
      <c r="N1991" s="94">
        <v>0</v>
      </c>
      <c r="O1991" s="94">
        <v>0</v>
      </c>
    </row>
    <row r="1992" spans="1:15" x14ac:dyDescent="0.25">
      <c r="A1992" s="89">
        <v>45556.833333333336</v>
      </c>
      <c r="B1992" s="94">
        <v>358.33</v>
      </c>
      <c r="C1992" s="94">
        <v>299.76</v>
      </c>
      <c r="D1992" s="94">
        <v>35.203990882570331</v>
      </c>
      <c r="E1992" s="94">
        <v>2.3167558155519234</v>
      </c>
      <c r="F1992" s="94">
        <v>2.3067557987297875</v>
      </c>
      <c r="G1992" s="94">
        <v>0</v>
      </c>
      <c r="H1992" s="94">
        <v>1.2</v>
      </c>
      <c r="I1992" s="94">
        <v>0</v>
      </c>
      <c r="J1992" s="94">
        <v>494</v>
      </c>
      <c r="K1992" s="94">
        <v>1.582891155765727</v>
      </c>
      <c r="L1992" s="94">
        <v>0</v>
      </c>
      <c r="M1992" s="94">
        <v>66</v>
      </c>
      <c r="N1992" s="94">
        <v>0</v>
      </c>
      <c r="O1992" s="94">
        <v>0</v>
      </c>
    </row>
    <row r="1993" spans="1:15" x14ac:dyDescent="0.25">
      <c r="A1993" s="89">
        <v>45557.333333333336</v>
      </c>
      <c r="B1993" s="94">
        <v>358.33</v>
      </c>
      <c r="C1993" s="94">
        <v>299.76</v>
      </c>
      <c r="D1993" s="94">
        <v>35.096128789167906</v>
      </c>
      <c r="E1993" s="94">
        <v>2.2332753439008055</v>
      </c>
      <c r="F1993" s="94">
        <v>2.2999999999999998</v>
      </c>
      <c r="G1993" s="94">
        <v>0</v>
      </c>
      <c r="H1993" s="94">
        <v>1.2</v>
      </c>
      <c r="I1993" s="94">
        <v>0</v>
      </c>
      <c r="J1993" s="94">
        <v>493</v>
      </c>
      <c r="K1993" s="94">
        <v>1.5808483236590114</v>
      </c>
      <c r="L1993" s="94">
        <v>0</v>
      </c>
      <c r="M1993" s="94">
        <v>66</v>
      </c>
      <c r="N1993" s="94">
        <v>0</v>
      </c>
      <c r="O1993" s="94">
        <v>0</v>
      </c>
    </row>
    <row r="1994" spans="1:15" x14ac:dyDescent="0.25">
      <c r="A1994" s="89">
        <v>45557.833333333336</v>
      </c>
      <c r="B1994" s="94">
        <v>358.33</v>
      </c>
      <c r="C1994" s="94">
        <v>299.76</v>
      </c>
      <c r="D1994" s="94">
        <v>35.793228340996244</v>
      </c>
      <c r="E1994" s="94">
        <v>2.2538916976305052</v>
      </c>
      <c r="F1994" s="94">
        <v>2.4882052461278188</v>
      </c>
      <c r="G1994" s="94">
        <v>0</v>
      </c>
      <c r="H1994" s="94">
        <v>1.1615730079444679</v>
      </c>
      <c r="I1994" s="94">
        <v>0</v>
      </c>
      <c r="J1994" s="94">
        <v>494</v>
      </c>
      <c r="K1994" s="94">
        <v>1.5820000000000001</v>
      </c>
      <c r="L1994" s="94">
        <v>0</v>
      </c>
      <c r="M1994" s="94">
        <v>66</v>
      </c>
      <c r="N1994" s="94">
        <v>0</v>
      </c>
      <c r="O1994" s="94">
        <v>0</v>
      </c>
    </row>
    <row r="1995" spans="1:15" x14ac:dyDescent="0.25">
      <c r="A1995" s="89">
        <v>45558.333333333336</v>
      </c>
      <c r="B1995" s="94">
        <v>358.33962683129681</v>
      </c>
      <c r="C1995" s="94">
        <v>299.76243066003985</v>
      </c>
      <c r="D1995" s="94">
        <v>37.200000000000003</v>
      </c>
      <c r="E1995" s="94">
        <v>2.236231480773641</v>
      </c>
      <c r="F1995" s="94">
        <v>2.1487841740244984</v>
      </c>
      <c r="G1995" s="94">
        <v>0</v>
      </c>
      <c r="H1995" s="94">
        <v>1.2</v>
      </c>
      <c r="I1995" s="94">
        <v>0</v>
      </c>
      <c r="J1995" s="94">
        <v>497</v>
      </c>
      <c r="K1995" s="94">
        <v>1.5831761301255378</v>
      </c>
      <c r="L1995" s="94">
        <v>0</v>
      </c>
      <c r="M1995" s="94">
        <v>66</v>
      </c>
      <c r="N1995" s="94">
        <v>0</v>
      </c>
      <c r="O1995" s="94">
        <v>0</v>
      </c>
    </row>
    <row r="1996" spans="1:15" x14ac:dyDescent="0.25">
      <c r="A1996" s="89">
        <v>45558.833333333336</v>
      </c>
      <c r="B1996" s="94">
        <v>358.36</v>
      </c>
      <c r="C1996" s="94">
        <v>299.76891153180958</v>
      </c>
      <c r="D1996" s="94">
        <v>36.803615528388022</v>
      </c>
      <c r="E1996" s="94">
        <v>2.2632042414920597</v>
      </c>
      <c r="F1996" s="94">
        <v>2.5981994628906251</v>
      </c>
      <c r="G1996" s="94">
        <v>0</v>
      </c>
      <c r="H1996" s="94">
        <v>1.1451606503673535</v>
      </c>
      <c r="I1996" s="94">
        <v>0</v>
      </c>
      <c r="J1996" s="94">
        <v>494</v>
      </c>
      <c r="K1996" s="94">
        <v>1.5830472514927223</v>
      </c>
      <c r="L1996" s="94">
        <v>0</v>
      </c>
      <c r="M1996" s="94">
        <v>65</v>
      </c>
      <c r="N1996" s="94">
        <v>0</v>
      </c>
      <c r="O1996" s="94">
        <v>0</v>
      </c>
    </row>
    <row r="1997" spans="1:15" x14ac:dyDescent="0.25">
      <c r="A1997" s="89">
        <v>45559.333333333336</v>
      </c>
      <c r="B1997" s="94">
        <v>358.36329047066693</v>
      </c>
      <c r="C1997" s="94">
        <v>299.76</v>
      </c>
      <c r="D1997" s="94">
        <v>36.967921261328257</v>
      </c>
      <c r="E1997" s="94">
        <v>2.2848793209245244</v>
      </c>
      <c r="F1997" s="94">
        <v>2.2764777760806476</v>
      </c>
      <c r="G1997" s="94">
        <v>0</v>
      </c>
      <c r="H1997" s="94">
        <v>1.1063447457787918</v>
      </c>
      <c r="I1997" s="94">
        <v>0</v>
      </c>
      <c r="J1997" s="94">
        <v>491</v>
      </c>
      <c r="K1997" s="94">
        <v>1.5792703235403522</v>
      </c>
      <c r="L1997" s="94">
        <v>0</v>
      </c>
      <c r="M1997" s="94">
        <v>65</v>
      </c>
      <c r="N1997" s="94">
        <v>0</v>
      </c>
      <c r="O1997" s="94">
        <v>0</v>
      </c>
    </row>
    <row r="1998" spans="1:15" x14ac:dyDescent="0.25">
      <c r="A1998" s="89">
        <v>45559.833333333336</v>
      </c>
      <c r="B1998" s="94">
        <v>358.37</v>
      </c>
      <c r="C1998" s="94">
        <v>299.76</v>
      </c>
      <c r="D1998" s="94">
        <v>35.799999999999997</v>
      </c>
      <c r="E1998" s="94">
        <v>2.2558702087402347</v>
      </c>
      <c r="F1998" s="94">
        <v>2.7056112775977006</v>
      </c>
      <c r="G1998" s="94">
        <v>0</v>
      </c>
      <c r="H1998" s="94">
        <v>1.1302153606642449</v>
      </c>
      <c r="I1998" s="94">
        <v>0</v>
      </c>
      <c r="J1998" s="94">
        <v>494</v>
      </c>
      <c r="K1998" s="94">
        <v>1.582034166898405</v>
      </c>
      <c r="L1998" s="94">
        <v>0</v>
      </c>
      <c r="M1998" s="94">
        <v>65</v>
      </c>
      <c r="N1998" s="94">
        <v>0</v>
      </c>
      <c r="O1998" s="94">
        <v>0</v>
      </c>
    </row>
    <row r="1999" spans="1:15" x14ac:dyDescent="0.25">
      <c r="A1999" s="89">
        <v>45560.333333333336</v>
      </c>
      <c r="B1999" s="94">
        <v>358.37</v>
      </c>
      <c r="C1999" s="94">
        <v>299.76866746322031</v>
      </c>
      <c r="D1999" s="94">
        <v>35.496940844253743</v>
      </c>
      <c r="E1999" s="94">
        <v>2.2992402670650285</v>
      </c>
      <c r="F1999" s="94">
        <v>2.6</v>
      </c>
      <c r="G1999" s="94">
        <v>0</v>
      </c>
      <c r="H1999" s="94">
        <v>1.1029790456955315</v>
      </c>
      <c r="I1999" s="94">
        <v>0</v>
      </c>
      <c r="J1999" s="94">
        <v>494</v>
      </c>
      <c r="K1999" s="94">
        <v>1.5840000000000001</v>
      </c>
      <c r="L1999" s="94">
        <v>0</v>
      </c>
      <c r="M1999" s="94">
        <v>65</v>
      </c>
      <c r="N1999" s="94">
        <v>0</v>
      </c>
      <c r="O1999" s="94">
        <v>0</v>
      </c>
    </row>
    <row r="2000" spans="1:15" x14ac:dyDescent="0.25">
      <c r="A2000" s="89">
        <v>45560.833333333336</v>
      </c>
      <c r="B2000" s="94">
        <v>358.37</v>
      </c>
      <c r="C2000" s="94">
        <v>299.76040716547107</v>
      </c>
      <c r="D2000" s="94">
        <v>35.767876760776367</v>
      </c>
      <c r="E2000" s="94">
        <v>2.308678478692531</v>
      </c>
      <c r="F2000" s="94">
        <v>2.5</v>
      </c>
      <c r="G2000" s="94">
        <v>0</v>
      </c>
      <c r="H2000" s="94">
        <v>1.1212508038145275</v>
      </c>
      <c r="I2000" s="94">
        <v>0</v>
      </c>
      <c r="J2000" s="94">
        <v>497</v>
      </c>
      <c r="K2000" s="94">
        <v>1.5840000000000001</v>
      </c>
      <c r="L2000" s="94">
        <v>0</v>
      </c>
      <c r="M2000" s="94">
        <v>65</v>
      </c>
      <c r="N2000" s="94">
        <v>0</v>
      </c>
      <c r="O2000" s="94">
        <v>0</v>
      </c>
    </row>
    <row r="2001" spans="1:15" x14ac:dyDescent="0.25">
      <c r="A2001" s="89">
        <v>45561.333333333336</v>
      </c>
      <c r="B2001" s="94">
        <v>358.42254935122133</v>
      </c>
      <c r="C2001" s="94">
        <v>299.77</v>
      </c>
      <c r="D2001" s="94">
        <v>35.793833282178142</v>
      </c>
      <c r="E2001" s="94">
        <v>2.2929450798116324</v>
      </c>
      <c r="F2001" s="94">
        <v>2.2000000000000002</v>
      </c>
      <c r="G2001" s="94">
        <v>0</v>
      </c>
      <c r="H2001" s="94">
        <v>1.1313566464910294</v>
      </c>
      <c r="I2001" s="94">
        <v>0</v>
      </c>
      <c r="J2001" s="94">
        <v>496</v>
      </c>
      <c r="K2001" s="94">
        <v>1.5811997730219163</v>
      </c>
      <c r="L2001" s="94">
        <v>0</v>
      </c>
      <c r="M2001" s="94">
        <v>64.043364623860441</v>
      </c>
      <c r="N2001" s="94">
        <v>0</v>
      </c>
      <c r="O2001" s="94">
        <v>0</v>
      </c>
    </row>
    <row r="2002" spans="1:15" x14ac:dyDescent="0.25">
      <c r="A2002" s="89">
        <v>45561.833333333336</v>
      </c>
      <c r="B2002" s="94">
        <v>358.43</v>
      </c>
      <c r="C2002" s="94">
        <v>299.76</v>
      </c>
      <c r="D2002" s="94">
        <v>36.48284392073608</v>
      </c>
      <c r="E2002" s="94">
        <v>2.2763470073659433</v>
      </c>
      <c r="F2002" s="94">
        <v>2.2999999999999998</v>
      </c>
      <c r="G2002" s="94">
        <v>0</v>
      </c>
      <c r="H2002" s="94">
        <v>1.1646804465637222</v>
      </c>
      <c r="I2002" s="94">
        <v>0</v>
      </c>
      <c r="J2002" s="94">
        <v>490</v>
      </c>
      <c r="K2002" s="94">
        <v>1.5770216631877478</v>
      </c>
      <c r="L2002" s="94">
        <v>0</v>
      </c>
      <c r="M2002" s="94">
        <v>64</v>
      </c>
      <c r="N2002" s="94">
        <v>0</v>
      </c>
      <c r="O2002" s="94">
        <v>0</v>
      </c>
    </row>
    <row r="2003" spans="1:15" x14ac:dyDescent="0.25">
      <c r="A2003" s="89">
        <v>45562.333333333336</v>
      </c>
      <c r="B2003" s="94">
        <v>358.43</v>
      </c>
      <c r="C2003" s="94">
        <v>299.75841117397977</v>
      </c>
      <c r="D2003" s="94">
        <v>37.14880473916871</v>
      </c>
      <c r="E2003" s="94">
        <v>2.2605174001373891</v>
      </c>
      <c r="F2003" s="94">
        <v>2.0858505375283869</v>
      </c>
      <c r="G2003" s="94">
        <v>0</v>
      </c>
      <c r="H2003" s="94">
        <v>1.2</v>
      </c>
      <c r="I2003" s="94">
        <v>0</v>
      </c>
      <c r="J2003" s="94">
        <v>490</v>
      </c>
      <c r="K2003" s="94">
        <v>1.577</v>
      </c>
      <c r="L2003" s="94">
        <v>0</v>
      </c>
      <c r="M2003" s="94">
        <v>65</v>
      </c>
      <c r="N2003" s="94">
        <v>0</v>
      </c>
      <c r="O2003" s="94">
        <v>0</v>
      </c>
    </row>
    <row r="2004" spans="1:15" x14ac:dyDescent="0.25">
      <c r="A2004" s="89">
        <v>45562.833333333336</v>
      </c>
      <c r="B2004" s="94">
        <v>358.43</v>
      </c>
      <c r="C2004" s="94">
        <v>300.10607692718304</v>
      </c>
      <c r="D2004" s="94">
        <v>76.983048699622231</v>
      </c>
      <c r="E2004" s="94">
        <v>6.4465126492426794</v>
      </c>
      <c r="F2004" s="94">
        <v>2.4</v>
      </c>
      <c r="G2004" s="94">
        <v>0</v>
      </c>
      <c r="H2004" s="94">
        <v>1.1992599141954323</v>
      </c>
      <c r="I2004" s="94">
        <v>0</v>
      </c>
      <c r="J2004" s="94">
        <v>1088</v>
      </c>
      <c r="K2004" s="94">
        <v>1.92</v>
      </c>
      <c r="L2004" s="94">
        <v>0</v>
      </c>
      <c r="M2004" s="94">
        <v>65.267356243580778</v>
      </c>
      <c r="N2004" s="94">
        <v>0</v>
      </c>
      <c r="O2004" s="94">
        <v>0</v>
      </c>
    </row>
    <row r="2005" spans="1:15" x14ac:dyDescent="0.25">
      <c r="A2005" s="89">
        <v>45563.333333333336</v>
      </c>
      <c r="B2005" s="94">
        <v>358.43</v>
      </c>
      <c r="C2005" s="94">
        <v>300.10174062676134</v>
      </c>
      <c r="D2005" s="94">
        <v>75.885143827777284</v>
      </c>
      <c r="E2005" s="94">
        <v>6.43</v>
      </c>
      <c r="F2005" s="94">
        <v>2.2999999999999998</v>
      </c>
      <c r="G2005" s="94">
        <v>0</v>
      </c>
      <c r="H2005" s="94">
        <v>1.2</v>
      </c>
      <c r="I2005" s="94">
        <v>0</v>
      </c>
      <c r="J2005" s="94">
        <v>1088</v>
      </c>
      <c r="K2005" s="94">
        <v>1.916764760883257</v>
      </c>
      <c r="L2005" s="94">
        <v>0</v>
      </c>
      <c r="M2005" s="94">
        <v>65</v>
      </c>
      <c r="N2005" s="94">
        <v>0</v>
      </c>
      <c r="O2005" s="94">
        <v>0</v>
      </c>
    </row>
    <row r="2006" spans="1:15" x14ac:dyDescent="0.25">
      <c r="A2006" s="89">
        <v>45563.833333333336</v>
      </c>
      <c r="B2006" s="94">
        <v>358.43</v>
      </c>
      <c r="C2006" s="94">
        <v>300.19</v>
      </c>
      <c r="D2006" s="94">
        <v>70.8</v>
      </c>
      <c r="E2006" s="94">
        <v>5.959427915518825</v>
      </c>
      <c r="F2006" s="94">
        <v>2.5340440888690092</v>
      </c>
      <c r="G2006" s="94">
        <v>0</v>
      </c>
      <c r="H2006" s="94">
        <v>1.1675171131843609</v>
      </c>
      <c r="I2006" s="94">
        <v>0</v>
      </c>
      <c r="J2006" s="94">
        <v>1336</v>
      </c>
      <c r="K2006" s="94">
        <v>2.0152352738248562</v>
      </c>
      <c r="L2006" s="94">
        <v>0</v>
      </c>
      <c r="M2006" s="94">
        <v>65</v>
      </c>
      <c r="N2006" s="94">
        <v>0</v>
      </c>
      <c r="O2006" s="94">
        <v>10</v>
      </c>
    </row>
    <row r="2007" spans="1:15" x14ac:dyDescent="0.25">
      <c r="A2007" s="89">
        <v>45564.333333333336</v>
      </c>
      <c r="B2007" s="94">
        <v>358.43</v>
      </c>
      <c r="C2007" s="94">
        <v>300.19</v>
      </c>
      <c r="D2007" s="94">
        <v>71.400000000000006</v>
      </c>
      <c r="E2007" s="94">
        <v>5.9106007331602264</v>
      </c>
      <c r="F2007" s="94">
        <v>2.354193048735465</v>
      </c>
      <c r="G2007" s="94">
        <v>0</v>
      </c>
      <c r="H2007" s="94">
        <v>1.1510654021841231</v>
      </c>
      <c r="I2007" s="94">
        <v>0</v>
      </c>
      <c r="J2007" s="94">
        <v>1331</v>
      </c>
      <c r="K2007" s="94">
        <v>2.0139999999999998</v>
      </c>
      <c r="L2007" s="94">
        <v>0</v>
      </c>
      <c r="M2007" s="94">
        <v>65</v>
      </c>
      <c r="N2007" s="94">
        <v>0</v>
      </c>
      <c r="O2007" s="94">
        <v>10</v>
      </c>
    </row>
    <row r="2008" spans="1:15" x14ac:dyDescent="0.25">
      <c r="A2008" s="89">
        <v>45564.833333333336</v>
      </c>
      <c r="B2008" s="94">
        <v>358.43</v>
      </c>
      <c r="C2008" s="94">
        <v>299.75170672978197</v>
      </c>
      <c r="D2008" s="94">
        <v>36.43633265196717</v>
      </c>
      <c r="E2008" s="94">
        <v>2.256869659423828</v>
      </c>
      <c r="F2008" s="94">
        <v>2.6</v>
      </c>
      <c r="G2008" s="94">
        <v>0</v>
      </c>
      <c r="H2008" s="94">
        <v>1.1460428982636417</v>
      </c>
      <c r="I2008" s="94">
        <v>0</v>
      </c>
      <c r="J2008" s="94">
        <v>490</v>
      </c>
      <c r="K2008" s="94">
        <v>1.5772047423927904</v>
      </c>
      <c r="L2008" s="94">
        <v>0</v>
      </c>
      <c r="M2008" s="94">
        <v>64.895711121958115</v>
      </c>
      <c r="N2008" s="94">
        <v>0</v>
      </c>
      <c r="O2008" s="94">
        <v>0</v>
      </c>
    </row>
    <row r="2009" spans="1:15" x14ac:dyDescent="0.25">
      <c r="A2009" s="89">
        <v>45565.333333333336</v>
      </c>
      <c r="B2009" s="94">
        <v>358.43</v>
      </c>
      <c r="C2009" s="94">
        <v>299.75446671622137</v>
      </c>
      <c r="D2009" s="94">
        <v>37.460977737991897</v>
      </c>
      <c r="E2009" s="94">
        <v>2.274650504066031</v>
      </c>
      <c r="F2009" s="94">
        <v>2.4</v>
      </c>
      <c r="G2009" s="94">
        <v>0</v>
      </c>
      <c r="H2009" s="94">
        <v>1.1271733662596608</v>
      </c>
      <c r="I2009" s="94">
        <v>0</v>
      </c>
      <c r="J2009" s="94">
        <v>491</v>
      </c>
      <c r="K2009" s="94">
        <v>1.5787779104866846</v>
      </c>
      <c r="L2009" s="94">
        <v>0</v>
      </c>
      <c r="M2009" s="94">
        <v>65.872060930595239</v>
      </c>
      <c r="N2009" s="94">
        <v>0</v>
      </c>
      <c r="O2009" s="94">
        <v>0</v>
      </c>
    </row>
    <row r="2010" spans="1:15" x14ac:dyDescent="0.25">
      <c r="A2010" s="89">
        <v>45565.833333333336</v>
      </c>
      <c r="B2010" s="94">
        <v>358.43</v>
      </c>
      <c r="C2010" s="94">
        <v>299.75001345122507</v>
      </c>
      <c r="D2010" s="94">
        <v>37.705018199573864</v>
      </c>
      <c r="E2010" s="94">
        <v>2.2999999999999998</v>
      </c>
      <c r="F2010" s="94">
        <v>2.6307398852453407</v>
      </c>
      <c r="G2010" s="94">
        <v>0</v>
      </c>
      <c r="H2010" s="94">
        <v>1.151340764982614</v>
      </c>
      <c r="I2010" s="94">
        <v>0</v>
      </c>
      <c r="J2010" s="94">
        <v>490</v>
      </c>
      <c r="K2010" s="94">
        <v>1.5775652499616923</v>
      </c>
      <c r="L2010" s="94">
        <v>0</v>
      </c>
      <c r="M2010" s="94">
        <v>65</v>
      </c>
      <c r="N2010" s="94">
        <v>0</v>
      </c>
      <c r="O2010" s="94">
        <v>0</v>
      </c>
    </row>
    <row r="2011" spans="1:15" x14ac:dyDescent="0.25">
      <c r="A2011" s="89">
        <v>45566.333333333336</v>
      </c>
      <c r="B2011" s="94">
        <v>358.43</v>
      </c>
      <c r="C2011" s="94">
        <v>299.75761948089092</v>
      </c>
      <c r="D2011" s="94">
        <v>36.475800069173175</v>
      </c>
      <c r="E2011" s="94">
        <v>2.2591669718424479</v>
      </c>
      <c r="F2011" s="94">
        <v>2.2000000000000002</v>
      </c>
      <c r="G2011" s="94">
        <v>0</v>
      </c>
      <c r="H2011" s="94">
        <v>1.2</v>
      </c>
      <c r="I2011" s="94">
        <v>0</v>
      </c>
      <c r="J2011" s="94">
        <v>491</v>
      </c>
      <c r="K2011" s="94">
        <v>1.5781817753130507</v>
      </c>
      <c r="L2011" s="94">
        <v>0</v>
      </c>
      <c r="M2011" s="94">
        <v>65</v>
      </c>
      <c r="N2011" s="94">
        <v>0</v>
      </c>
      <c r="O2011" s="94">
        <v>0</v>
      </c>
    </row>
    <row r="2012" spans="1:15" x14ac:dyDescent="0.25">
      <c r="A2012" s="89">
        <v>45566.833333333336</v>
      </c>
      <c r="B2012" s="94">
        <v>358.43</v>
      </c>
      <c r="C2012" s="94">
        <v>299.76</v>
      </c>
      <c r="D2012" s="94">
        <v>36.78228585379464</v>
      </c>
      <c r="E2012" s="94">
        <v>2.3372364091960112</v>
      </c>
      <c r="F2012" s="94">
        <v>2.6576439525904503</v>
      </c>
      <c r="G2012" s="94">
        <v>0</v>
      </c>
      <c r="H2012" s="94">
        <v>1.1487380568811616</v>
      </c>
      <c r="I2012" s="94">
        <v>0</v>
      </c>
      <c r="J2012" s="94">
        <v>490</v>
      </c>
      <c r="K2012" s="94">
        <v>1.5774125200140308</v>
      </c>
      <c r="L2012" s="94">
        <v>0</v>
      </c>
      <c r="M2012" s="94">
        <v>65</v>
      </c>
      <c r="N2012" s="94">
        <v>0</v>
      </c>
      <c r="O2012" s="94">
        <v>0</v>
      </c>
    </row>
    <row r="2013" spans="1:15" x14ac:dyDescent="0.25">
      <c r="A2013" s="89">
        <v>45567.333333333336</v>
      </c>
      <c r="B2013" s="94">
        <v>358.43</v>
      </c>
      <c r="C2013" s="94">
        <v>299.75465043815524</v>
      </c>
      <c r="D2013" s="94">
        <v>36.134119206756147</v>
      </c>
      <c r="E2013" s="94">
        <v>2.2868445379396167</v>
      </c>
      <c r="F2013" s="94">
        <v>2.6</v>
      </c>
      <c r="G2013" s="94">
        <v>0</v>
      </c>
      <c r="H2013" s="94">
        <v>1.1743125562384664</v>
      </c>
      <c r="I2013" s="94">
        <v>0</v>
      </c>
      <c r="J2013" s="94">
        <v>488</v>
      </c>
      <c r="K2013" s="94">
        <v>1.5785261966432738</v>
      </c>
      <c r="L2013" s="94">
        <v>0</v>
      </c>
      <c r="M2013" s="94">
        <v>64</v>
      </c>
      <c r="N2013" s="94">
        <v>0</v>
      </c>
      <c r="O2013" s="94">
        <v>0</v>
      </c>
    </row>
    <row r="2014" spans="1:15" x14ac:dyDescent="0.25">
      <c r="A2014" s="89">
        <v>45567.833333333336</v>
      </c>
      <c r="B2014" s="94">
        <v>358.43</v>
      </c>
      <c r="C2014" s="94">
        <v>300.36</v>
      </c>
      <c r="D2014" s="94">
        <v>43.699862497341968</v>
      </c>
      <c r="E2014" s="94">
        <v>2.697172103984093</v>
      </c>
      <c r="F2014" s="94">
        <v>2.7961281650102467</v>
      </c>
      <c r="G2014" s="94">
        <v>0</v>
      </c>
      <c r="H2014" s="94">
        <v>48.40268021155353</v>
      </c>
      <c r="I2014" s="94">
        <v>7.1814463297341442</v>
      </c>
      <c r="J2014" s="94">
        <v>2005</v>
      </c>
      <c r="K2014" s="94">
        <v>2.2309999999999999</v>
      </c>
      <c r="L2014" s="94">
        <v>0</v>
      </c>
      <c r="M2014" s="94">
        <v>66</v>
      </c>
      <c r="N2014" s="94">
        <v>0</v>
      </c>
      <c r="O2014" s="94">
        <v>0</v>
      </c>
    </row>
    <row r="2015" spans="1:15" x14ac:dyDescent="0.25">
      <c r="A2015" s="89">
        <v>45568.333333333336</v>
      </c>
      <c r="B2015" s="94">
        <v>358.43</v>
      </c>
      <c r="C2015" s="94">
        <v>300.35420771561405</v>
      </c>
      <c r="D2015" s="94">
        <v>44.288120385772444</v>
      </c>
      <c r="E2015" s="94">
        <v>2.6889957875511827</v>
      </c>
      <c r="F2015" s="94">
        <v>2.4905596579278555</v>
      </c>
      <c r="G2015" s="94">
        <v>0</v>
      </c>
      <c r="H2015" s="94">
        <v>48.6</v>
      </c>
      <c r="I2015" s="94">
        <v>7.098395095367847</v>
      </c>
      <c r="J2015" s="94">
        <v>1994</v>
      </c>
      <c r="K2015" s="94">
        <v>2.23</v>
      </c>
      <c r="L2015" s="94">
        <v>0</v>
      </c>
      <c r="M2015" s="94">
        <v>64.554701236775443</v>
      </c>
      <c r="N2015" s="94">
        <v>0</v>
      </c>
      <c r="O2015" s="94">
        <v>0</v>
      </c>
    </row>
    <row r="2016" spans="1:15" x14ac:dyDescent="0.25">
      <c r="A2016" s="89">
        <v>45568.833333333336</v>
      </c>
      <c r="B2016" s="94">
        <v>358.43</v>
      </c>
      <c r="C2016" s="94">
        <v>300.50029439697266</v>
      </c>
      <c r="D2016" s="94">
        <v>73.003856391210149</v>
      </c>
      <c r="E2016" s="94">
        <v>5.9750586242834807</v>
      </c>
      <c r="F2016" s="94">
        <v>2.8015211920859673</v>
      </c>
      <c r="G2016" s="94">
        <v>0</v>
      </c>
      <c r="H2016" s="94">
        <v>48.450808597227521</v>
      </c>
      <c r="I2016" s="94">
        <v>6.8561367070605312</v>
      </c>
      <c r="J2016" s="94">
        <v>2517</v>
      </c>
      <c r="K2016" s="94">
        <v>2.363</v>
      </c>
      <c r="L2016" s="94">
        <v>0</v>
      </c>
      <c r="M2016" s="94">
        <v>65</v>
      </c>
      <c r="N2016" s="94">
        <v>0</v>
      </c>
      <c r="O2016" s="94">
        <v>0</v>
      </c>
    </row>
    <row r="2017" spans="1:15" x14ac:dyDescent="0.25">
      <c r="A2017" s="89">
        <v>45569.333333333336</v>
      </c>
      <c r="B2017" s="94">
        <v>358.43</v>
      </c>
      <c r="C2017" s="94">
        <v>300.52</v>
      </c>
      <c r="D2017" s="94">
        <v>72.69399404840722</v>
      </c>
      <c r="E2017" s="94">
        <v>5.9739380671431856</v>
      </c>
      <c r="F2017" s="94">
        <v>2.5720528157579805</v>
      </c>
      <c r="G2017" s="94">
        <v>0</v>
      </c>
      <c r="H2017" s="94">
        <v>48.3</v>
      </c>
      <c r="I2017" s="94">
        <v>6.8557633912304139</v>
      </c>
      <c r="J2017" s="94">
        <v>2512</v>
      </c>
      <c r="K2017" s="94">
        <v>2.3610000000000002</v>
      </c>
      <c r="L2017" s="94">
        <v>0</v>
      </c>
      <c r="M2017" s="94">
        <v>65</v>
      </c>
      <c r="N2017" s="94">
        <v>0</v>
      </c>
      <c r="O2017" s="94">
        <v>0</v>
      </c>
    </row>
    <row r="2018" spans="1:15" x14ac:dyDescent="0.25">
      <c r="A2018" s="89">
        <v>45569.833333333336</v>
      </c>
      <c r="B2018" s="94">
        <v>358.43</v>
      </c>
      <c r="C2018" s="94">
        <v>300.50661638742469</v>
      </c>
      <c r="D2018" s="94">
        <v>73.476752541854594</v>
      </c>
      <c r="E2018" s="94">
        <v>5.9176714422158545</v>
      </c>
      <c r="F2018" s="94">
        <v>2.8487974541523018</v>
      </c>
      <c r="G2018" s="94">
        <v>0</v>
      </c>
      <c r="H2018" s="94">
        <v>48.541108871759626</v>
      </c>
      <c r="I2018" s="94">
        <v>6.8010528168475179</v>
      </c>
      <c r="J2018" s="94">
        <v>2508</v>
      </c>
      <c r="K2018" s="94">
        <v>2.3613096213308085</v>
      </c>
      <c r="L2018" s="94">
        <v>0</v>
      </c>
      <c r="M2018" s="94">
        <v>65</v>
      </c>
      <c r="N2018" s="94">
        <v>0</v>
      </c>
      <c r="O2018" s="94">
        <v>0</v>
      </c>
    </row>
    <row r="2019" spans="1:15" x14ac:dyDescent="0.25">
      <c r="A2019" s="89">
        <v>45570.333333333336</v>
      </c>
      <c r="B2019" s="94">
        <v>358.43</v>
      </c>
      <c r="C2019" s="94">
        <v>300.51</v>
      </c>
      <c r="D2019" s="94">
        <v>74.394467548332798</v>
      </c>
      <c r="E2019" s="94">
        <v>5.9455820081502591</v>
      </c>
      <c r="F2019" s="94">
        <v>2.6</v>
      </c>
      <c r="G2019" s="94">
        <v>0</v>
      </c>
      <c r="H2019" s="94">
        <v>48.005728063993679</v>
      </c>
      <c r="I2019" s="94">
        <v>6.7752936165033768</v>
      </c>
      <c r="J2019" s="94">
        <v>2496</v>
      </c>
      <c r="K2019" s="94">
        <v>2.3582866803003983</v>
      </c>
      <c r="L2019" s="94">
        <v>0</v>
      </c>
      <c r="M2019" s="94">
        <v>64.836086909104125</v>
      </c>
      <c r="N2019" s="94">
        <v>0</v>
      </c>
      <c r="O2019" s="94">
        <v>0</v>
      </c>
    </row>
    <row r="2020" spans="1:15" x14ac:dyDescent="0.25">
      <c r="A2020" s="89">
        <v>45570.833333333336</v>
      </c>
      <c r="B2020" s="94">
        <v>358.43</v>
      </c>
      <c r="C2020" s="94">
        <v>300.51003148486529</v>
      </c>
      <c r="D2020" s="94">
        <v>73.256092136698143</v>
      </c>
      <c r="E2020" s="94">
        <v>5.9643540118307294</v>
      </c>
      <c r="F2020" s="94">
        <v>2.9</v>
      </c>
      <c r="G2020" s="94">
        <v>0</v>
      </c>
      <c r="H2020" s="94">
        <v>48.390542928032872</v>
      </c>
      <c r="I2020" s="94">
        <v>6.8721864430125956</v>
      </c>
      <c r="J2020" s="94">
        <v>2512</v>
      </c>
      <c r="K2020" s="94">
        <v>2.3620825078363863</v>
      </c>
      <c r="L2020" s="94">
        <v>0</v>
      </c>
      <c r="M2020" s="94">
        <v>65</v>
      </c>
      <c r="N2020" s="94">
        <v>0</v>
      </c>
      <c r="O2020" s="94">
        <v>0</v>
      </c>
    </row>
    <row r="2021" spans="1:15" x14ac:dyDescent="0.25">
      <c r="A2021" s="89">
        <v>45571.333333333336</v>
      </c>
      <c r="B2021" s="94">
        <v>358.43</v>
      </c>
      <c r="C2021" s="94">
        <v>300.52</v>
      </c>
      <c r="D2021" s="94">
        <v>73.656960449218744</v>
      </c>
      <c r="E2021" s="94">
        <v>5.98</v>
      </c>
      <c r="F2021" s="94">
        <v>2.6430395507812503</v>
      </c>
      <c r="G2021" s="94">
        <v>0</v>
      </c>
      <c r="H2021" s="94">
        <v>48.678599771838009</v>
      </c>
      <c r="I2021" s="94">
        <v>6.9204689457669586</v>
      </c>
      <c r="J2021" s="94">
        <v>2504</v>
      </c>
      <c r="K2021" s="94">
        <v>2.36</v>
      </c>
      <c r="L2021" s="94">
        <v>0</v>
      </c>
      <c r="M2021" s="94">
        <v>65</v>
      </c>
      <c r="N2021" s="94">
        <v>0</v>
      </c>
      <c r="O2021" s="94">
        <v>0</v>
      </c>
    </row>
    <row r="2022" spans="1:15" x14ac:dyDescent="0.25">
      <c r="A2022" s="89">
        <v>45571.833333333336</v>
      </c>
      <c r="B2022" s="94">
        <v>358.43</v>
      </c>
      <c r="C2022" s="94">
        <v>300.51</v>
      </c>
      <c r="D2022" s="94">
        <v>73.33534981695756</v>
      </c>
      <c r="E2022" s="94">
        <v>5.9691803478605507</v>
      </c>
      <c r="F2022" s="94">
        <v>2.9</v>
      </c>
      <c r="G2022" s="94">
        <v>0</v>
      </c>
      <c r="H2022" s="94">
        <v>48.2</v>
      </c>
      <c r="I2022" s="94">
        <v>7.0222861838767932</v>
      </c>
      <c r="J2022" s="94">
        <v>674.24270913472128</v>
      </c>
      <c r="K2022" s="94">
        <v>2.3608924288435196</v>
      </c>
      <c r="L2022" s="94">
        <v>0</v>
      </c>
      <c r="M2022" s="94">
        <v>65</v>
      </c>
      <c r="N2022" s="94">
        <v>0</v>
      </c>
      <c r="O2022" s="94">
        <v>0</v>
      </c>
    </row>
    <row r="2023" spans="1:15" x14ac:dyDescent="0.25">
      <c r="A2023" s="89">
        <v>45572.333333333336</v>
      </c>
      <c r="B2023" s="94">
        <v>358.49508746885033</v>
      </c>
      <c r="C2023" s="94">
        <v>300.51</v>
      </c>
      <c r="D2023" s="94">
        <v>74.648931070357605</v>
      </c>
      <c r="E2023" s="94">
        <v>5.9768014337353064</v>
      </c>
      <c r="F2023" s="94">
        <v>2.490367597823421</v>
      </c>
      <c r="G2023" s="94">
        <v>0</v>
      </c>
      <c r="H2023" s="94">
        <v>48.6</v>
      </c>
      <c r="I2023" s="94">
        <v>7.016970516850356</v>
      </c>
      <c r="J2023" s="94">
        <v>2512</v>
      </c>
      <c r="K2023" s="94">
        <v>2.3619514273886506</v>
      </c>
      <c r="L2023" s="94">
        <v>0</v>
      </c>
      <c r="M2023" s="94">
        <v>65</v>
      </c>
      <c r="N2023" s="94">
        <v>0</v>
      </c>
      <c r="O2023" s="94">
        <v>0</v>
      </c>
    </row>
    <row r="2024" spans="1:15" x14ac:dyDescent="0.25">
      <c r="A2024" s="89">
        <v>45572.833333333336</v>
      </c>
      <c r="B2024" s="94">
        <v>358.55</v>
      </c>
      <c r="C2024" s="94">
        <v>300.22000000000003</v>
      </c>
      <c r="D2024" s="94">
        <v>36.838188825587437</v>
      </c>
      <c r="E2024" s="94">
        <v>2.1890808079781232</v>
      </c>
      <c r="F2024" s="94">
        <v>2.9083858667962685</v>
      </c>
      <c r="G2024" s="94">
        <v>0</v>
      </c>
      <c r="H2024" s="94">
        <v>37.692640179968485</v>
      </c>
      <c r="I2024" s="94">
        <v>3.910055206041839</v>
      </c>
      <c r="J2024" s="94">
        <v>1522</v>
      </c>
      <c r="K2024" s="94">
        <v>2.08</v>
      </c>
      <c r="L2024" s="94">
        <v>0</v>
      </c>
      <c r="M2024" s="94">
        <v>65.663226059045982</v>
      </c>
      <c r="N2024" s="94">
        <v>0</v>
      </c>
      <c r="O2024" s="94">
        <v>0</v>
      </c>
    </row>
    <row r="2025" spans="1:15" x14ac:dyDescent="0.25">
      <c r="A2025" s="89">
        <v>45573.333333333336</v>
      </c>
      <c r="B2025" s="94">
        <v>358.55</v>
      </c>
      <c r="C2025" s="94">
        <v>300.21177728006825</v>
      </c>
      <c r="D2025" s="94">
        <v>37.044403076171875</v>
      </c>
      <c r="E2025" s="94">
        <v>2.1668710908779598</v>
      </c>
      <c r="F2025" s="94">
        <v>2.6</v>
      </c>
      <c r="G2025" s="94">
        <v>0</v>
      </c>
      <c r="H2025" s="94">
        <v>37.6</v>
      </c>
      <c r="I2025" s="94">
        <v>4.0148603817878543</v>
      </c>
      <c r="J2025" s="94">
        <v>1516</v>
      </c>
      <c r="K2025" s="94">
        <v>2.0803067714541918</v>
      </c>
      <c r="L2025" s="94">
        <v>0</v>
      </c>
      <c r="M2025" s="94">
        <v>64.325366138801456</v>
      </c>
      <c r="N2025" s="94">
        <v>0</v>
      </c>
      <c r="O2025" s="94">
        <v>0</v>
      </c>
    </row>
    <row r="2026" spans="1:15" x14ac:dyDescent="0.25">
      <c r="A2026" s="89">
        <v>45573.833333333336</v>
      </c>
      <c r="B2026" s="94">
        <v>358.55</v>
      </c>
      <c r="C2026" s="94">
        <v>299.83402243595543</v>
      </c>
      <c r="D2026" s="94">
        <v>47.782262061087813</v>
      </c>
      <c r="E2026" s="94">
        <v>3.0463872264607792</v>
      </c>
      <c r="F2026" s="94">
        <v>2.9</v>
      </c>
      <c r="G2026" s="94">
        <v>0</v>
      </c>
      <c r="H2026" s="94">
        <v>-3.7500000000000006E-2</v>
      </c>
      <c r="I2026" s="94">
        <v>0</v>
      </c>
      <c r="J2026" s="94">
        <v>578</v>
      </c>
      <c r="K2026" s="94">
        <v>1.6472242806500403</v>
      </c>
      <c r="L2026" s="94">
        <v>0</v>
      </c>
      <c r="M2026" s="94">
        <v>65</v>
      </c>
      <c r="N2026" s="94">
        <v>0</v>
      </c>
      <c r="O2026" s="94">
        <v>0</v>
      </c>
    </row>
    <row r="2027" spans="1:15" x14ac:dyDescent="0.25">
      <c r="A2027" s="89">
        <v>45574.333333333336</v>
      </c>
      <c r="B2027" s="94">
        <v>358.55</v>
      </c>
      <c r="C2027" s="94">
        <v>299.83</v>
      </c>
      <c r="D2027" s="94">
        <v>46.014859629824478</v>
      </c>
      <c r="E2027" s="94">
        <v>2.9819139554615886</v>
      </c>
      <c r="F2027" s="94">
        <v>2.5</v>
      </c>
      <c r="G2027" s="94">
        <v>0</v>
      </c>
      <c r="H2027" s="94">
        <v>1</v>
      </c>
      <c r="I2027" s="94">
        <v>0</v>
      </c>
      <c r="J2027" s="94">
        <v>517.29165026360499</v>
      </c>
      <c r="K2027" s="94">
        <v>1.6468560774630694</v>
      </c>
      <c r="L2027" s="94">
        <v>0</v>
      </c>
      <c r="M2027" s="94">
        <v>64.168344495211116</v>
      </c>
      <c r="N2027" s="94">
        <v>0</v>
      </c>
      <c r="O2027" s="94">
        <v>0</v>
      </c>
    </row>
    <row r="2028" spans="1:15" x14ac:dyDescent="0.25">
      <c r="A2028" s="89">
        <v>45574.833333333336</v>
      </c>
      <c r="B2028" s="94">
        <v>358.55</v>
      </c>
      <c r="C2028" s="94">
        <v>300.59651989522916</v>
      </c>
      <c r="D2028" s="94">
        <v>48.078680046896586</v>
      </c>
      <c r="E2028" s="94">
        <v>3.3793411437888761</v>
      </c>
      <c r="F2028" s="94">
        <v>2.9</v>
      </c>
      <c r="G2028" s="94">
        <v>0</v>
      </c>
      <c r="H2028" s="94">
        <v>68.662159002536356</v>
      </c>
      <c r="I2028" s="94">
        <v>12.463425579084168</v>
      </c>
      <c r="J2028" s="94">
        <v>3006</v>
      </c>
      <c r="K2028" s="94">
        <v>2.4729999999999999</v>
      </c>
      <c r="L2028" s="94">
        <v>0</v>
      </c>
      <c r="M2028" s="94">
        <v>65.874496273999014</v>
      </c>
      <c r="N2028" s="94">
        <v>0</v>
      </c>
      <c r="O2028" s="94">
        <v>0</v>
      </c>
    </row>
    <row r="2029" spans="1:15" x14ac:dyDescent="0.25">
      <c r="A2029" s="89">
        <v>45575.333333333336</v>
      </c>
      <c r="B2029" s="94">
        <v>358.55</v>
      </c>
      <c r="C2029" s="94">
        <v>300.60133739206844</v>
      </c>
      <c r="D2029" s="94">
        <v>52.418238360167123</v>
      </c>
      <c r="E2029" s="94">
        <v>3.5072128898509192</v>
      </c>
      <c r="F2029" s="94">
        <v>2.4545973917125736</v>
      </c>
      <c r="G2029" s="94">
        <v>0</v>
      </c>
      <c r="H2029" s="94">
        <v>69.5</v>
      </c>
      <c r="I2029" s="94">
        <v>12.818156359393232</v>
      </c>
      <c r="J2029" s="94">
        <v>3002</v>
      </c>
      <c r="K2029" s="94">
        <v>2.472</v>
      </c>
      <c r="L2029" s="94">
        <v>0</v>
      </c>
      <c r="M2029" s="94">
        <v>65</v>
      </c>
      <c r="N2029" s="94">
        <v>0</v>
      </c>
      <c r="O2029" s="94">
        <v>0</v>
      </c>
    </row>
    <row r="2030" spans="1:15" x14ac:dyDescent="0.25">
      <c r="A2030" s="89">
        <v>45575.833333333336</v>
      </c>
      <c r="B2030" s="94">
        <v>358.55</v>
      </c>
      <c r="C2030" s="94">
        <v>300.6073293219419</v>
      </c>
      <c r="D2030" s="94">
        <v>51.761677666361429</v>
      </c>
      <c r="E2030" s="94">
        <v>3.500835661362808</v>
      </c>
      <c r="F2030" s="94">
        <v>2.9</v>
      </c>
      <c r="G2030" s="94">
        <v>0</v>
      </c>
      <c r="H2030" s="94">
        <v>68.8</v>
      </c>
      <c r="I2030" s="94">
        <v>12.697596221022547</v>
      </c>
      <c r="J2030" s="94">
        <v>3002</v>
      </c>
      <c r="K2030" s="94">
        <v>2.472</v>
      </c>
      <c r="L2030" s="94">
        <v>0</v>
      </c>
      <c r="M2030" s="94">
        <v>65</v>
      </c>
      <c r="N2030" s="94">
        <v>0</v>
      </c>
      <c r="O2030" s="94">
        <v>0</v>
      </c>
    </row>
    <row r="2031" spans="1:15" x14ac:dyDescent="0.25">
      <c r="A2031" s="89">
        <v>45576.333333333336</v>
      </c>
      <c r="B2031" s="94">
        <v>358.55</v>
      </c>
      <c r="C2031" s="94">
        <v>300.5994647523259</v>
      </c>
      <c r="D2031" s="94">
        <v>53.591234789304643</v>
      </c>
      <c r="E2031" s="94">
        <v>3.52</v>
      </c>
      <c r="F2031" s="94">
        <v>2.6</v>
      </c>
      <c r="G2031" s="94">
        <v>0</v>
      </c>
      <c r="H2031" s="94">
        <v>69.306569783886872</v>
      </c>
      <c r="I2031" s="94">
        <v>12.776320190429686</v>
      </c>
      <c r="J2031" s="94">
        <v>3011</v>
      </c>
      <c r="K2031" s="94">
        <v>2.4740000000000002</v>
      </c>
      <c r="L2031" s="94">
        <v>0</v>
      </c>
      <c r="M2031" s="94">
        <v>64</v>
      </c>
      <c r="N2031" s="94">
        <v>0</v>
      </c>
      <c r="O2031" s="94">
        <v>0</v>
      </c>
    </row>
    <row r="2032" spans="1:15" x14ac:dyDescent="0.25">
      <c r="A2032" s="89">
        <v>45576.833333333336</v>
      </c>
      <c r="B2032" s="94">
        <v>358.55</v>
      </c>
      <c r="C2032" s="94">
        <v>300.59725399522841</v>
      </c>
      <c r="D2032" s="94">
        <v>49.6</v>
      </c>
      <c r="E2032" s="94">
        <v>3.3628259099544646</v>
      </c>
      <c r="F2032" s="94">
        <v>3.0172100457443691</v>
      </c>
      <c r="G2032" s="94">
        <v>0</v>
      </c>
      <c r="H2032" s="94">
        <v>68.426799609861845</v>
      </c>
      <c r="I2032" s="94">
        <v>12.616482760639231</v>
      </c>
      <c r="J2032" s="94">
        <v>3002</v>
      </c>
      <c r="K2032" s="94">
        <v>2.4729708824794656</v>
      </c>
      <c r="L2032" s="94">
        <v>0</v>
      </c>
      <c r="M2032" s="94">
        <v>65</v>
      </c>
      <c r="N2032" s="94">
        <v>0</v>
      </c>
      <c r="O2032" s="94">
        <v>0</v>
      </c>
    </row>
    <row r="2033" spans="1:15" x14ac:dyDescent="0.25">
      <c r="A2033" s="89">
        <v>45577.333333333336</v>
      </c>
      <c r="B2033" s="94">
        <v>358.55</v>
      </c>
      <c r="C2033" s="94">
        <v>300.59358386645209</v>
      </c>
      <c r="D2033" s="94">
        <v>49.811261898087771</v>
      </c>
      <c r="E2033" s="94">
        <v>3.3922100830078126</v>
      </c>
      <c r="F2033" s="94">
        <v>2.9</v>
      </c>
      <c r="G2033" s="94">
        <v>0</v>
      </c>
      <c r="H2033" s="94">
        <v>69.135967743924397</v>
      </c>
      <c r="I2033" s="94">
        <v>12.715978238304004</v>
      </c>
      <c r="J2033" s="94">
        <v>2983</v>
      </c>
      <c r="K2033" s="94">
        <v>2.468</v>
      </c>
      <c r="L2033" s="94">
        <v>0</v>
      </c>
      <c r="M2033" s="94">
        <v>65</v>
      </c>
      <c r="N2033" s="94">
        <v>0</v>
      </c>
      <c r="O2033" s="94">
        <v>0</v>
      </c>
    </row>
    <row r="2034" spans="1:15" x14ac:dyDescent="0.25">
      <c r="A2034" s="89">
        <v>45577.833333333336</v>
      </c>
      <c r="B2034" s="94">
        <v>358.55</v>
      </c>
      <c r="C2034" s="94">
        <v>300.88696860333448</v>
      </c>
      <c r="D2034" s="94">
        <v>72.375948326683911</v>
      </c>
      <c r="E2034" s="94">
        <v>5.9346353360822546</v>
      </c>
      <c r="F2034" s="94">
        <v>3</v>
      </c>
      <c r="G2034" s="94">
        <v>0</v>
      </c>
      <c r="H2034" s="94">
        <v>86.405503172918955</v>
      </c>
      <c r="I2034" s="94">
        <v>16.977432884361672</v>
      </c>
      <c r="J2034" s="94">
        <v>4535</v>
      </c>
      <c r="K2034" s="94">
        <v>2.7543521505650745</v>
      </c>
      <c r="L2034" s="94">
        <v>0</v>
      </c>
      <c r="M2034" s="94">
        <v>65</v>
      </c>
      <c r="N2034" s="94">
        <v>0</v>
      </c>
      <c r="O2034" s="94">
        <v>12</v>
      </c>
    </row>
    <row r="2035" spans="1:15" x14ac:dyDescent="0.25">
      <c r="A2035" s="89">
        <v>45578.333333333336</v>
      </c>
      <c r="B2035" s="94">
        <v>358.55</v>
      </c>
      <c r="C2035" s="94">
        <v>300.87168538889159</v>
      </c>
      <c r="D2035" s="94">
        <v>71.811074321063586</v>
      </c>
      <c r="E2035" s="94">
        <v>5.96</v>
      </c>
      <c r="F2035" s="94">
        <v>2.8769657475671355</v>
      </c>
      <c r="G2035" s="94">
        <v>0</v>
      </c>
      <c r="H2035" s="94">
        <v>86.953576519929541</v>
      </c>
      <c r="I2035" s="94">
        <v>16.916533904135768</v>
      </c>
      <c r="J2035" s="94">
        <v>4547</v>
      </c>
      <c r="K2035" s="94">
        <v>2.7570000000000001</v>
      </c>
      <c r="L2035" s="94">
        <v>0</v>
      </c>
      <c r="M2035" s="94">
        <v>65</v>
      </c>
      <c r="N2035" s="94">
        <v>0</v>
      </c>
      <c r="O2035" s="94">
        <v>11</v>
      </c>
    </row>
    <row r="2036" spans="1:15" x14ac:dyDescent="0.25">
      <c r="A2036" s="89">
        <v>45578.833333333336</v>
      </c>
      <c r="B2036" s="94">
        <v>358.55</v>
      </c>
      <c r="C2036" s="94">
        <v>300.49</v>
      </c>
      <c r="D2036" s="94">
        <v>60.2</v>
      </c>
      <c r="E2036" s="94">
        <v>4.8680460684681783</v>
      </c>
      <c r="F2036" s="94">
        <v>3.1215789152457512</v>
      </c>
      <c r="G2036" s="94">
        <v>0</v>
      </c>
      <c r="H2036" s="94">
        <v>51.807101591521196</v>
      </c>
      <c r="I2036" s="94">
        <v>7.8366161998485993</v>
      </c>
      <c r="J2036" s="94">
        <v>2500</v>
      </c>
      <c r="K2036" s="94">
        <v>2.3592699939832245</v>
      </c>
      <c r="L2036" s="94">
        <v>0</v>
      </c>
      <c r="M2036" s="94">
        <v>65.294975843083378</v>
      </c>
      <c r="N2036" s="94">
        <v>0</v>
      </c>
      <c r="O2036" s="94">
        <v>0</v>
      </c>
    </row>
    <row r="2037" spans="1:15" x14ac:dyDescent="0.25">
      <c r="A2037" s="89">
        <v>45579.333333333336</v>
      </c>
      <c r="B2037" s="94">
        <v>358.33919534006509</v>
      </c>
      <c r="C2037" s="94">
        <v>300.4925975767473</v>
      </c>
      <c r="D2037" s="94">
        <v>63.737414591466113</v>
      </c>
      <c r="E2037" s="94">
        <v>4.8873024199391395</v>
      </c>
      <c r="F2037" s="94">
        <v>2.9</v>
      </c>
      <c r="G2037" s="94">
        <v>0</v>
      </c>
      <c r="H2037" s="94">
        <v>51.857324972184642</v>
      </c>
      <c r="I2037" s="94">
        <v>8.1950457759910798</v>
      </c>
      <c r="J2037" s="94">
        <v>2517</v>
      </c>
      <c r="K2037" s="94">
        <v>2.363</v>
      </c>
      <c r="L2037" s="94">
        <v>0</v>
      </c>
      <c r="M2037" s="94">
        <v>63.584288510362882</v>
      </c>
      <c r="N2037" s="94">
        <v>0</v>
      </c>
      <c r="O2037" s="94">
        <v>0</v>
      </c>
    </row>
    <row r="2038" spans="1:15" x14ac:dyDescent="0.25">
      <c r="A2038" s="89">
        <v>45579.833333333336</v>
      </c>
      <c r="B2038" s="94">
        <v>358.38</v>
      </c>
      <c r="C2038" s="94">
        <v>300.70999999999998</v>
      </c>
      <c r="D2038" s="94">
        <v>66.006100463867185</v>
      </c>
      <c r="E2038" s="94">
        <v>4.8385320569494832</v>
      </c>
      <c r="F2038" s="94">
        <v>3.0724921193840222</v>
      </c>
      <c r="G2038" s="94">
        <v>0</v>
      </c>
      <c r="H2038" s="94">
        <v>74.900000000000006</v>
      </c>
      <c r="I2038" s="94">
        <v>14.30207677499717</v>
      </c>
      <c r="J2038" s="94">
        <v>3520</v>
      </c>
      <c r="K2038" s="94">
        <v>2.5747847290211103</v>
      </c>
      <c r="L2038" s="94">
        <v>0</v>
      </c>
      <c r="M2038" s="94">
        <v>65</v>
      </c>
      <c r="N2038" s="94">
        <v>0</v>
      </c>
      <c r="O2038" s="94">
        <v>0</v>
      </c>
    </row>
    <row r="2039" spans="1:15" x14ac:dyDescent="0.25">
      <c r="A2039" s="89">
        <v>45580.333333333336</v>
      </c>
      <c r="B2039" s="94">
        <v>358.35252693145429</v>
      </c>
      <c r="C2039" s="94">
        <v>300.71589261368291</v>
      </c>
      <c r="D2039" s="94">
        <v>66.528427982041009</v>
      </c>
      <c r="E2039" s="94">
        <v>4.8713711928164063</v>
      </c>
      <c r="F2039" s="94">
        <v>2.9</v>
      </c>
      <c r="G2039" s="94">
        <v>0</v>
      </c>
      <c r="H2039" s="94">
        <v>75.582180539102964</v>
      </c>
      <c r="I2039" s="94">
        <v>14.535105430232022</v>
      </c>
      <c r="J2039" s="94">
        <v>3515</v>
      </c>
      <c r="K2039" s="94">
        <v>2.575687084277849</v>
      </c>
      <c r="L2039" s="94">
        <v>0</v>
      </c>
      <c r="M2039" s="94">
        <v>64.750647211488712</v>
      </c>
      <c r="N2039" s="94">
        <v>0</v>
      </c>
      <c r="O2039" s="94">
        <v>0</v>
      </c>
    </row>
    <row r="2040" spans="1:15" x14ac:dyDescent="0.25">
      <c r="A2040" s="89">
        <v>45580.833333333336</v>
      </c>
      <c r="B2040" s="94">
        <v>358.28</v>
      </c>
      <c r="C2040" s="94">
        <v>300.78024483957597</v>
      </c>
      <c r="D2040" s="94">
        <v>70.906734952864397</v>
      </c>
      <c r="E2040" s="94">
        <v>5.5193204475473303</v>
      </c>
      <c r="F2040" s="94">
        <v>3</v>
      </c>
      <c r="G2040" s="94">
        <v>0</v>
      </c>
      <c r="H2040" s="94">
        <v>83.640416834554372</v>
      </c>
      <c r="I2040" s="94">
        <v>16.475239216997476</v>
      </c>
      <c r="J2040" s="94">
        <v>3959</v>
      </c>
      <c r="K2040" s="94">
        <v>2.657</v>
      </c>
      <c r="L2040" s="94">
        <v>0</v>
      </c>
      <c r="M2040" s="94">
        <v>65</v>
      </c>
      <c r="N2040" s="94">
        <v>0</v>
      </c>
      <c r="O2040" s="94">
        <v>0</v>
      </c>
    </row>
    <row r="2041" spans="1:15" x14ac:dyDescent="0.25">
      <c r="A2041" s="89">
        <v>45581.333333333336</v>
      </c>
      <c r="B2041" s="94">
        <v>358.25279622920607</v>
      </c>
      <c r="C2041" s="94">
        <v>300.79494138909399</v>
      </c>
      <c r="D2041" s="94">
        <v>69.082592225360557</v>
      </c>
      <c r="E2041" s="94">
        <v>5.4752200317382815</v>
      </c>
      <c r="F2041" s="94">
        <v>2.9</v>
      </c>
      <c r="G2041" s="94">
        <v>0</v>
      </c>
      <c r="H2041" s="94">
        <v>84.011427655218725</v>
      </c>
      <c r="I2041" s="94">
        <v>16.455575439773177</v>
      </c>
      <c r="J2041" s="94">
        <v>3942</v>
      </c>
      <c r="K2041" s="94">
        <v>2.6546710692817679</v>
      </c>
      <c r="L2041" s="94">
        <v>0</v>
      </c>
      <c r="M2041" s="94">
        <v>65</v>
      </c>
      <c r="N2041" s="94">
        <v>0</v>
      </c>
      <c r="O2041" s="94">
        <v>0</v>
      </c>
    </row>
    <row r="2042" spans="1:15" x14ac:dyDescent="0.25">
      <c r="A2042" s="89">
        <v>45581.833333333336</v>
      </c>
      <c r="B2042" s="94">
        <v>358.22</v>
      </c>
      <c r="C2042" s="94">
        <v>300.5982929453063</v>
      </c>
      <c r="D2042" s="94">
        <v>42.147282942404523</v>
      </c>
      <c r="E2042" s="94">
        <v>2.4805906431855327</v>
      </c>
      <c r="F2042" s="94">
        <v>3.2</v>
      </c>
      <c r="G2042" s="94">
        <v>0</v>
      </c>
      <c r="H2042" s="94">
        <v>73.705702770473223</v>
      </c>
      <c r="I2042" s="94">
        <v>13.925034984222801</v>
      </c>
      <c r="J2042" s="94">
        <v>3045</v>
      </c>
      <c r="K2042" s="94">
        <v>2.4805339305628209</v>
      </c>
      <c r="L2042" s="94">
        <v>0</v>
      </c>
      <c r="M2042" s="94">
        <v>65.867410593701308</v>
      </c>
      <c r="N2042" s="94">
        <v>0</v>
      </c>
      <c r="O2042" s="94">
        <v>0</v>
      </c>
    </row>
    <row r="2043" spans="1:15" x14ac:dyDescent="0.25">
      <c r="A2043" s="89">
        <v>45582.333333333336</v>
      </c>
      <c r="B2043" s="94">
        <v>358.20157930321199</v>
      </c>
      <c r="C2043" s="94">
        <v>300.60525277435266</v>
      </c>
      <c r="D2043" s="94">
        <v>40.200000000000003</v>
      </c>
      <c r="E2043" s="94">
        <v>2.5072698974609375</v>
      </c>
      <c r="F2043" s="94">
        <v>2.9</v>
      </c>
      <c r="G2043" s="94">
        <v>0</v>
      </c>
      <c r="H2043" s="94">
        <v>74.009542542842638</v>
      </c>
      <c r="I2043" s="94">
        <v>14.067612911125055</v>
      </c>
      <c r="J2043" s="94">
        <v>3045</v>
      </c>
      <c r="K2043" s="94">
        <v>2.4809999999999999</v>
      </c>
      <c r="L2043" s="94">
        <v>0</v>
      </c>
      <c r="M2043" s="94">
        <v>65</v>
      </c>
      <c r="N2043" s="94">
        <v>0</v>
      </c>
      <c r="O2043" s="94">
        <v>0</v>
      </c>
    </row>
    <row r="2044" spans="1:15" x14ac:dyDescent="0.25">
      <c r="A2044" s="89">
        <v>45582.833333333336</v>
      </c>
      <c r="B2044" s="94">
        <v>358.18</v>
      </c>
      <c r="C2044" s="94">
        <v>301.04250170806284</v>
      </c>
      <c r="D2044" s="94">
        <v>86.871827132542791</v>
      </c>
      <c r="E2044" s="94">
        <v>6.9422080078124999</v>
      </c>
      <c r="F2044" s="94">
        <v>3.2592199122833798</v>
      </c>
      <c r="G2044" s="94">
        <v>0</v>
      </c>
      <c r="H2044" s="94">
        <v>83</v>
      </c>
      <c r="I2044" s="94">
        <v>16.34012967760291</v>
      </c>
      <c r="J2044" s="94">
        <v>5488</v>
      </c>
      <c r="K2044" s="94">
        <v>2.9049999999999998</v>
      </c>
      <c r="L2044" s="94">
        <v>0</v>
      </c>
      <c r="M2044" s="94">
        <v>65.591475697705675</v>
      </c>
      <c r="N2044" s="94">
        <v>0</v>
      </c>
      <c r="O2044" s="94">
        <v>41</v>
      </c>
    </row>
    <row r="2045" spans="1:15" x14ac:dyDescent="0.25">
      <c r="A2045" s="89">
        <v>45583.333333333336</v>
      </c>
      <c r="B2045" s="94">
        <v>358.18</v>
      </c>
      <c r="C2045" s="94">
        <v>301.05</v>
      </c>
      <c r="D2045" s="94">
        <v>86.63223269684309</v>
      </c>
      <c r="E2045" s="94">
        <v>6.9732047562039652</v>
      </c>
      <c r="F2045" s="94">
        <v>3.0891285394920298</v>
      </c>
      <c r="G2045" s="94">
        <v>0</v>
      </c>
      <c r="H2045" s="94">
        <v>83.6</v>
      </c>
      <c r="I2045" s="94">
        <v>16.279439697265627</v>
      </c>
      <c r="J2045" s="94">
        <v>5521</v>
      </c>
      <c r="K2045" s="94">
        <v>2.9113862780648825</v>
      </c>
      <c r="L2045" s="94">
        <v>0</v>
      </c>
      <c r="M2045" s="94">
        <v>65</v>
      </c>
      <c r="N2045" s="94">
        <v>0</v>
      </c>
      <c r="O2045" s="94">
        <v>40.905711179316654</v>
      </c>
    </row>
    <row r="2046" spans="1:15" x14ac:dyDescent="0.25">
      <c r="A2046" s="89">
        <v>45583.833333333336</v>
      </c>
      <c r="B2046" s="94">
        <v>358.18</v>
      </c>
      <c r="C2046" s="94">
        <v>301.05</v>
      </c>
      <c r="D2046" s="94">
        <v>86.628787994404163</v>
      </c>
      <c r="E2046" s="94">
        <v>6.9754800415039071</v>
      </c>
      <c r="F2046" s="94">
        <v>3.0964463828266533</v>
      </c>
      <c r="G2046" s="94">
        <v>0</v>
      </c>
      <c r="H2046" s="94">
        <v>84</v>
      </c>
      <c r="I2046" s="94">
        <v>16.218533975226162</v>
      </c>
      <c r="J2046" s="94">
        <v>5501</v>
      </c>
      <c r="K2046" s="94">
        <v>2.907</v>
      </c>
      <c r="L2046" s="94">
        <v>0</v>
      </c>
      <c r="M2046" s="94">
        <v>65.020627028243339</v>
      </c>
      <c r="N2046" s="94">
        <v>0</v>
      </c>
      <c r="O2046" s="94">
        <v>40.834158563775709</v>
      </c>
    </row>
    <row r="2047" spans="1:15" x14ac:dyDescent="0.25">
      <c r="A2047" s="89">
        <v>45584.333333333336</v>
      </c>
      <c r="B2047" s="94">
        <v>358.18</v>
      </c>
      <c r="C2047" s="94">
        <v>301.05</v>
      </c>
      <c r="D2047" s="94">
        <v>86.3</v>
      </c>
      <c r="E2047" s="94">
        <v>6.9859525411289827</v>
      </c>
      <c r="F2047" s="94">
        <v>2.9677460135293288</v>
      </c>
      <c r="G2047" s="94">
        <v>0</v>
      </c>
      <c r="H2047" s="94">
        <v>83.7</v>
      </c>
      <c r="I2047" s="94">
        <v>16.30065782183555</v>
      </c>
      <c r="J2047" s="94">
        <v>5501</v>
      </c>
      <c r="K2047" s="94">
        <v>2.907</v>
      </c>
      <c r="L2047" s="94">
        <v>0</v>
      </c>
      <c r="M2047" s="94">
        <v>65</v>
      </c>
      <c r="N2047" s="94">
        <v>0</v>
      </c>
      <c r="O2047" s="94">
        <v>40</v>
      </c>
    </row>
    <row r="2048" spans="1:15" x14ac:dyDescent="0.25">
      <c r="A2048" s="89">
        <v>45584.833333333336</v>
      </c>
      <c r="B2048" s="94">
        <v>358.18</v>
      </c>
      <c r="C2048" s="94">
        <v>301.2</v>
      </c>
      <c r="D2048" s="94">
        <v>87.705622416622745</v>
      </c>
      <c r="E2048" s="94">
        <v>6.9765999348958339</v>
      </c>
      <c r="F2048" s="94">
        <v>3.2188503265380861</v>
      </c>
      <c r="G2048" s="94">
        <v>0</v>
      </c>
      <c r="H2048" s="94">
        <v>83.994119185244358</v>
      </c>
      <c r="I2048" s="94">
        <v>16.253491276400368</v>
      </c>
      <c r="J2048" s="94">
        <v>6576</v>
      </c>
      <c r="K2048" s="94">
        <v>3.0590000000000002</v>
      </c>
      <c r="L2048" s="94">
        <v>0</v>
      </c>
      <c r="M2048" s="94">
        <v>66</v>
      </c>
      <c r="N2048" s="94">
        <v>30.218220392319196</v>
      </c>
      <c r="O2048" s="94">
        <v>41</v>
      </c>
    </row>
    <row r="2049" spans="1:15" x14ac:dyDescent="0.25">
      <c r="A2049" s="89">
        <v>45585.333333333336</v>
      </c>
      <c r="B2049" s="94">
        <v>358.18</v>
      </c>
      <c r="C2049" s="94">
        <v>301.2</v>
      </c>
      <c r="D2049" s="94">
        <v>86.586816985865497</v>
      </c>
      <c r="E2049" s="94">
        <v>6.9652600097656254</v>
      </c>
      <c r="F2049" s="94">
        <v>2.9066999955610795</v>
      </c>
      <c r="G2049" s="94">
        <v>0</v>
      </c>
      <c r="H2049" s="94">
        <v>84.070494755542569</v>
      </c>
      <c r="I2049" s="94">
        <v>16.213739578896124</v>
      </c>
      <c r="J2049" s="94">
        <v>6509</v>
      </c>
      <c r="K2049" s="94">
        <v>3.05</v>
      </c>
      <c r="L2049" s="94">
        <v>0</v>
      </c>
      <c r="M2049" s="94">
        <v>66</v>
      </c>
      <c r="N2049" s="94">
        <v>30.072150695739065</v>
      </c>
      <c r="O2049" s="94">
        <v>41</v>
      </c>
    </row>
    <row r="2050" spans="1:15" x14ac:dyDescent="0.25">
      <c r="A2050" s="89">
        <v>45585.833333333336</v>
      </c>
      <c r="B2050" s="94">
        <v>358.18</v>
      </c>
      <c r="C2050" s="94">
        <v>301.5</v>
      </c>
      <c r="D2050" s="94">
        <v>86.872914597290617</v>
      </c>
      <c r="E2050" s="94">
        <v>6.9821554205308605</v>
      </c>
      <c r="F2050" s="94">
        <v>3.3108261499697194</v>
      </c>
      <c r="G2050" s="94">
        <v>0</v>
      </c>
      <c r="H2050" s="94">
        <v>84.9</v>
      </c>
      <c r="I2050" s="94">
        <v>16.252993741148522</v>
      </c>
      <c r="J2050" s="94">
        <v>8953</v>
      </c>
      <c r="K2050" s="94">
        <v>3.3479999999999999</v>
      </c>
      <c r="L2050" s="94">
        <v>84</v>
      </c>
      <c r="M2050" s="94">
        <v>66</v>
      </c>
      <c r="N2050" s="94">
        <v>36</v>
      </c>
      <c r="O2050" s="94">
        <v>41</v>
      </c>
    </row>
    <row r="2051" spans="1:15" x14ac:dyDescent="0.25">
      <c r="A2051" s="89">
        <v>45586.333333333336</v>
      </c>
      <c r="B2051" s="94">
        <v>357.84</v>
      </c>
      <c r="C2051" s="94">
        <v>301.53726544535306</v>
      </c>
      <c r="D2051" s="94">
        <v>86.66938144709799</v>
      </c>
      <c r="E2051" s="94">
        <v>6.9573446578190934</v>
      </c>
      <c r="F2051" s="94">
        <v>3.1</v>
      </c>
      <c r="G2051" s="94">
        <v>0</v>
      </c>
      <c r="H2051" s="94">
        <v>85.508933512369794</v>
      </c>
      <c r="I2051" s="94">
        <v>16.381096195960744</v>
      </c>
      <c r="J2051" s="94">
        <v>8980</v>
      </c>
      <c r="K2051" s="94">
        <v>3.3519601413143505</v>
      </c>
      <c r="L2051" s="94">
        <v>83</v>
      </c>
      <c r="M2051" s="94">
        <v>65</v>
      </c>
      <c r="N2051" s="94">
        <v>35.094873904130218</v>
      </c>
      <c r="O2051" s="94">
        <v>40.555474770701345</v>
      </c>
    </row>
    <row r="2052" spans="1:15" x14ac:dyDescent="0.25">
      <c r="A2052" s="89">
        <v>45586.833333333336</v>
      </c>
      <c r="B2052" s="94">
        <v>357.84</v>
      </c>
      <c r="C2052" s="94">
        <v>301.62398726573701</v>
      </c>
      <c r="D2052" s="94">
        <v>88.3</v>
      </c>
      <c r="E2052" s="94">
        <v>6.9570440392136943</v>
      </c>
      <c r="F2052" s="94">
        <v>3.3728769155649037</v>
      </c>
      <c r="G2052" s="94">
        <v>0</v>
      </c>
      <c r="H2052" s="94">
        <v>83.7</v>
      </c>
      <c r="I2052" s="94">
        <v>15.9743994140625</v>
      </c>
      <c r="J2052" s="94">
        <v>9876</v>
      </c>
      <c r="K2052" s="94">
        <v>3.448</v>
      </c>
      <c r="L2052" s="94">
        <v>84</v>
      </c>
      <c r="M2052" s="94">
        <v>66</v>
      </c>
      <c r="N2052" s="94">
        <v>78</v>
      </c>
      <c r="O2052" s="94">
        <v>41</v>
      </c>
    </row>
    <row r="2053" spans="1:15" x14ac:dyDescent="0.25">
      <c r="A2053" s="89">
        <v>45587.333333333336</v>
      </c>
      <c r="B2053" s="94">
        <v>357.80858820478085</v>
      </c>
      <c r="C2053" s="94">
        <v>301.63307136535644</v>
      </c>
      <c r="D2053" s="94">
        <v>87.9</v>
      </c>
      <c r="E2053" s="94">
        <v>6.96</v>
      </c>
      <c r="F2053" s="94">
        <v>3.0689329163647461</v>
      </c>
      <c r="G2053" s="94">
        <v>0</v>
      </c>
      <c r="H2053" s="94">
        <v>84.640814942520961</v>
      </c>
      <c r="I2053" s="94">
        <v>15.979839477539063</v>
      </c>
      <c r="J2053" s="94">
        <v>10038</v>
      </c>
      <c r="K2053" s="94">
        <v>3.4649999999999999</v>
      </c>
      <c r="L2053" s="94">
        <v>82.977563848928796</v>
      </c>
      <c r="M2053" s="94">
        <v>65</v>
      </c>
      <c r="N2053" s="94">
        <v>80</v>
      </c>
      <c r="O2053" s="94">
        <v>40.746984991685721</v>
      </c>
    </row>
    <row r="2054" spans="1:15" x14ac:dyDescent="0.25">
      <c r="A2054" s="89">
        <v>45587.833333333336</v>
      </c>
      <c r="B2054" s="94">
        <v>357.67</v>
      </c>
      <c r="C2054" s="94">
        <v>301.79011346600532</v>
      </c>
      <c r="D2054" s="94">
        <v>87.601170455004862</v>
      </c>
      <c r="E2054" s="94">
        <v>6.9825747700554306</v>
      </c>
      <c r="F2054" s="94">
        <v>3.3009536314475025</v>
      </c>
      <c r="G2054" s="94">
        <v>0</v>
      </c>
      <c r="H2054" s="94">
        <v>84.544460977295003</v>
      </c>
      <c r="I2054" s="94">
        <v>15.920890484191233</v>
      </c>
      <c r="J2054" s="94">
        <v>13038</v>
      </c>
      <c r="K2054" s="94">
        <v>3.7549999999999999</v>
      </c>
      <c r="L2054" s="94">
        <v>1</v>
      </c>
      <c r="M2054" s="94">
        <v>66</v>
      </c>
      <c r="N2054" s="94">
        <v>0</v>
      </c>
      <c r="O2054" s="94">
        <v>64</v>
      </c>
    </row>
    <row r="2055" spans="1:15" x14ac:dyDescent="0.25">
      <c r="A2055" s="89">
        <v>45588.333333333336</v>
      </c>
      <c r="B2055" s="94">
        <v>357.67</v>
      </c>
      <c r="C2055" s="94">
        <v>301.79530471631966</v>
      </c>
      <c r="D2055" s="94">
        <v>87.205989297753376</v>
      </c>
      <c r="E2055" s="94">
        <v>6.93539544829693</v>
      </c>
      <c r="F2055" s="94">
        <v>3.250766388525828</v>
      </c>
      <c r="G2055" s="94">
        <v>0</v>
      </c>
      <c r="H2055" s="94">
        <v>85</v>
      </c>
      <c r="I2055" s="94">
        <v>15.99028949091629</v>
      </c>
      <c r="J2055" s="94">
        <v>13194</v>
      </c>
      <c r="K2055" s="94">
        <v>3.7690000000000001</v>
      </c>
      <c r="L2055" s="94">
        <v>1</v>
      </c>
      <c r="M2055" s="94">
        <v>64.909759319154588</v>
      </c>
      <c r="N2055" s="94">
        <v>0</v>
      </c>
      <c r="O2055" s="94">
        <v>67.909677924253486</v>
      </c>
    </row>
    <row r="2056" spans="1:15" x14ac:dyDescent="0.25">
      <c r="A2056" s="89">
        <v>45588.833333333336</v>
      </c>
      <c r="B2056" s="94">
        <v>357.67</v>
      </c>
      <c r="C2056" s="94">
        <v>301.63</v>
      </c>
      <c r="D2056" s="94">
        <v>88.265387122732321</v>
      </c>
      <c r="E2056" s="94">
        <v>6.9838687565181292</v>
      </c>
      <c r="F2056" s="94">
        <v>3.3</v>
      </c>
      <c r="G2056" s="94">
        <v>0</v>
      </c>
      <c r="H2056" s="94">
        <v>84.8</v>
      </c>
      <c r="I2056" s="94">
        <v>15.985129364825559</v>
      </c>
      <c r="J2056" s="94">
        <v>11079</v>
      </c>
      <c r="K2056" s="94">
        <v>3.5710000000000002</v>
      </c>
      <c r="L2056" s="94">
        <v>1</v>
      </c>
      <c r="M2056" s="94">
        <v>65.713448823995719</v>
      </c>
      <c r="N2056" s="94">
        <v>0</v>
      </c>
      <c r="O2056" s="94">
        <v>0</v>
      </c>
    </row>
    <row r="2057" spans="1:15" x14ac:dyDescent="0.25">
      <c r="A2057" s="89">
        <v>45589.333333333336</v>
      </c>
      <c r="B2057" s="94">
        <v>357.67</v>
      </c>
      <c r="C2057" s="94">
        <v>301.61236306131553</v>
      </c>
      <c r="D2057" s="94">
        <v>90.137681678842128</v>
      </c>
      <c r="E2057" s="94">
        <v>6.9815664672851563</v>
      </c>
      <c r="F2057" s="94">
        <v>3.2</v>
      </c>
      <c r="G2057" s="94">
        <v>0</v>
      </c>
      <c r="H2057" s="94">
        <v>85.453816622736809</v>
      </c>
      <c r="I2057" s="94">
        <v>15.84432623449567</v>
      </c>
      <c r="J2057" s="94">
        <v>11100</v>
      </c>
      <c r="K2057" s="94">
        <v>3.5732335047141448</v>
      </c>
      <c r="L2057" s="94">
        <v>1</v>
      </c>
      <c r="M2057" s="94">
        <v>66</v>
      </c>
      <c r="N2057" s="94">
        <v>0</v>
      </c>
      <c r="O2057" s="94">
        <v>0</v>
      </c>
    </row>
    <row r="2058" spans="1:15" x14ac:dyDescent="0.25">
      <c r="A2058" s="89">
        <v>45589.833333333336</v>
      </c>
      <c r="B2058" s="94">
        <v>357.22</v>
      </c>
      <c r="C2058" s="94">
        <v>301.69684139770322</v>
      </c>
      <c r="D2058" s="94">
        <v>87.337589636879571</v>
      </c>
      <c r="E2058" s="94">
        <v>6.9689578725269348</v>
      </c>
      <c r="F2058" s="94">
        <v>3.3</v>
      </c>
      <c r="G2058" s="94">
        <v>0</v>
      </c>
      <c r="H2058" s="94">
        <v>83.346354058240806</v>
      </c>
      <c r="I2058" s="94">
        <v>15.59</v>
      </c>
      <c r="J2058" s="94">
        <v>10501</v>
      </c>
      <c r="K2058" s="94">
        <v>3.513608099960416</v>
      </c>
      <c r="L2058" s="94">
        <v>69.604065911648746</v>
      </c>
      <c r="M2058" s="94">
        <v>66</v>
      </c>
      <c r="N2058" s="94">
        <v>69</v>
      </c>
      <c r="O2058" s="94">
        <v>90</v>
      </c>
    </row>
    <row r="2059" spans="1:15" x14ac:dyDescent="0.25">
      <c r="A2059" s="89">
        <v>45590.333333333336</v>
      </c>
      <c r="B2059" s="94">
        <v>357.22</v>
      </c>
      <c r="C2059" s="94">
        <v>301.69</v>
      </c>
      <c r="D2059" s="94">
        <v>89.770977069525316</v>
      </c>
      <c r="E2059" s="94">
        <v>6.9826428495058881</v>
      </c>
      <c r="F2059" s="94">
        <v>2.9610888267266628</v>
      </c>
      <c r="G2059" s="94">
        <v>0</v>
      </c>
      <c r="H2059" s="94">
        <v>84.397630293740036</v>
      </c>
      <c r="I2059" s="94">
        <v>15.46558327755127</v>
      </c>
      <c r="J2059" s="94">
        <v>10501</v>
      </c>
      <c r="K2059" s="94">
        <v>3.5135965457522063</v>
      </c>
      <c r="L2059" s="94">
        <v>69</v>
      </c>
      <c r="M2059" s="94">
        <v>65.280521557986162</v>
      </c>
      <c r="N2059" s="94">
        <v>69.31607879527796</v>
      </c>
      <c r="O2059" s="94">
        <v>89.719707962303914</v>
      </c>
    </row>
    <row r="2060" spans="1:15" x14ac:dyDescent="0.25">
      <c r="A2060" s="89">
        <v>45590.833333333336</v>
      </c>
      <c r="B2060" s="94">
        <v>357.22</v>
      </c>
      <c r="C2060" s="94">
        <v>301.36266082913642</v>
      </c>
      <c r="D2060" s="94">
        <v>89.4</v>
      </c>
      <c r="E2060" s="94">
        <v>6.9589882887295724</v>
      </c>
      <c r="F2060" s="94">
        <v>3.3</v>
      </c>
      <c r="G2060" s="94">
        <v>0</v>
      </c>
      <c r="H2060" s="94">
        <v>83.390133002046184</v>
      </c>
      <c r="I2060" s="94">
        <v>15.542960099386145</v>
      </c>
      <c r="J2060" s="94">
        <v>7844</v>
      </c>
      <c r="K2060" s="94">
        <v>3.2204444167658082</v>
      </c>
      <c r="L2060" s="94">
        <v>61.340208536033792</v>
      </c>
      <c r="M2060" s="94">
        <v>65.178717705243102</v>
      </c>
      <c r="N2060" s="94">
        <v>62</v>
      </c>
      <c r="O2060" s="94">
        <v>0</v>
      </c>
    </row>
    <row r="2061" spans="1:15" x14ac:dyDescent="0.25">
      <c r="A2061" s="89">
        <v>45591.333333333336</v>
      </c>
      <c r="B2061" s="94">
        <v>357.22</v>
      </c>
      <c r="C2061" s="94">
        <v>301.39</v>
      </c>
      <c r="D2061" s="94">
        <v>88.959904731738362</v>
      </c>
      <c r="E2061" s="94">
        <v>6.95</v>
      </c>
      <c r="F2061" s="94">
        <v>2.9826329549153647</v>
      </c>
      <c r="G2061" s="94">
        <v>0</v>
      </c>
      <c r="H2061" s="94">
        <v>83.985081448842251</v>
      </c>
      <c r="I2061" s="94">
        <v>15.610859985351562</v>
      </c>
      <c r="J2061" s="94">
        <v>8028</v>
      </c>
      <c r="K2061" s="94">
        <v>3.242</v>
      </c>
      <c r="L2061" s="94">
        <v>68.217180847243313</v>
      </c>
      <c r="M2061" s="94">
        <v>65.072163895023238</v>
      </c>
      <c r="N2061" s="94">
        <v>62</v>
      </c>
      <c r="O2061" s="94">
        <v>0</v>
      </c>
    </row>
    <row r="2062" spans="1:15" x14ac:dyDescent="0.25">
      <c r="A2062" s="89">
        <v>45591.833333333336</v>
      </c>
      <c r="B2062" s="94">
        <v>357.22</v>
      </c>
      <c r="C2062" s="94">
        <v>301.26073373238512</v>
      </c>
      <c r="D2062" s="94">
        <v>89.053115372963902</v>
      </c>
      <c r="E2062" s="94">
        <v>6.922348251577696</v>
      </c>
      <c r="F2062" s="94">
        <v>3.3</v>
      </c>
      <c r="G2062" s="94">
        <v>0</v>
      </c>
      <c r="H2062" s="94">
        <v>83.416506493136808</v>
      </c>
      <c r="I2062" s="94">
        <v>15.5704076095241</v>
      </c>
      <c r="J2062" s="94">
        <v>7096</v>
      </c>
      <c r="K2062" s="94">
        <v>3.1253002442141389</v>
      </c>
      <c r="L2062" s="94">
        <v>47</v>
      </c>
      <c r="M2062" s="94">
        <v>66</v>
      </c>
      <c r="N2062" s="94">
        <v>46</v>
      </c>
      <c r="O2062" s="94">
        <v>0</v>
      </c>
    </row>
    <row r="2063" spans="1:15" x14ac:dyDescent="0.25">
      <c r="A2063" s="89">
        <v>45592.333333333336</v>
      </c>
      <c r="B2063" s="94">
        <v>357.22</v>
      </c>
      <c r="C2063" s="94">
        <v>301.26504740720947</v>
      </c>
      <c r="D2063" s="94">
        <v>90.164118059311832</v>
      </c>
      <c r="E2063" s="94">
        <v>6.9536199951171875</v>
      </c>
      <c r="F2063" s="94">
        <v>3</v>
      </c>
      <c r="G2063" s="94">
        <v>0</v>
      </c>
      <c r="H2063" s="94">
        <v>83.907041711670658</v>
      </c>
      <c r="I2063" s="94">
        <v>15.643492018817097</v>
      </c>
      <c r="J2063" s="94">
        <v>7135</v>
      </c>
      <c r="K2063" s="94">
        <v>3.1320000000000001</v>
      </c>
      <c r="L2063" s="94">
        <v>46</v>
      </c>
      <c r="M2063" s="94">
        <v>65</v>
      </c>
      <c r="N2063" s="94">
        <v>45</v>
      </c>
      <c r="O2063" s="94">
        <v>0</v>
      </c>
    </row>
    <row r="2064" spans="1:15" x14ac:dyDescent="0.25">
      <c r="A2064" s="89">
        <v>45592.833333333336</v>
      </c>
      <c r="B2064" s="94">
        <v>357.22</v>
      </c>
      <c r="C2064" s="94">
        <v>301.05410897690837</v>
      </c>
      <c r="D2064" s="94">
        <v>88.800177340596022</v>
      </c>
      <c r="E2064" s="94">
        <v>6.9603785829356513</v>
      </c>
      <c r="F2064" s="94">
        <v>3.4</v>
      </c>
      <c r="G2064" s="94">
        <v>0</v>
      </c>
      <c r="H2064" s="94">
        <v>82.961538787835323</v>
      </c>
      <c r="I2064" s="94">
        <v>15.783107069906405</v>
      </c>
      <c r="J2064" s="94">
        <v>5528</v>
      </c>
      <c r="K2064" s="94">
        <v>2.9105003858478118</v>
      </c>
      <c r="L2064" s="94">
        <v>1</v>
      </c>
      <c r="M2064" s="94">
        <v>66</v>
      </c>
      <c r="N2064" s="94">
        <v>41</v>
      </c>
      <c r="O2064" s="94">
        <v>0</v>
      </c>
    </row>
    <row r="2065" spans="1:15" x14ac:dyDescent="0.25">
      <c r="A2065" s="89">
        <v>45593.333333333336</v>
      </c>
      <c r="B2065" s="94">
        <v>356.6</v>
      </c>
      <c r="C2065" s="94">
        <v>301.05</v>
      </c>
      <c r="D2065" s="94">
        <v>89.926499938964852</v>
      </c>
      <c r="E2065" s="94">
        <v>6.9523399353027342</v>
      </c>
      <c r="F2065" s="94">
        <v>3.1</v>
      </c>
      <c r="G2065" s="94">
        <v>0</v>
      </c>
      <c r="H2065" s="94">
        <v>84</v>
      </c>
      <c r="I2065" s="94">
        <v>15.817168865231814</v>
      </c>
      <c r="J2065" s="94">
        <v>5555</v>
      </c>
      <c r="K2065" s="94">
        <v>2.915</v>
      </c>
      <c r="L2065" s="94">
        <v>0</v>
      </c>
      <c r="M2065" s="94">
        <v>65.215674060091231</v>
      </c>
      <c r="N2065" s="94">
        <v>41</v>
      </c>
      <c r="O2065" s="94">
        <v>0</v>
      </c>
    </row>
    <row r="2066" spans="1:15" x14ac:dyDescent="0.25">
      <c r="A2066" s="89">
        <v>45593.833333333336</v>
      </c>
      <c r="B2066" s="94">
        <v>356.6</v>
      </c>
      <c r="C2066" s="94">
        <v>300.85000000000002</v>
      </c>
      <c r="D2066" s="94">
        <v>87.940620421683818</v>
      </c>
      <c r="E2066" s="94">
        <v>6.7895494119444022</v>
      </c>
      <c r="F2066" s="94">
        <v>91.4</v>
      </c>
      <c r="G2066" s="94">
        <v>6.7976147836813006</v>
      </c>
      <c r="H2066" s="94">
        <v>44.1</v>
      </c>
      <c r="I2066" s="94">
        <v>5.4668957245232601</v>
      </c>
      <c r="J2066" s="94">
        <v>3948</v>
      </c>
      <c r="K2066" s="94">
        <v>2.6546110653511295</v>
      </c>
      <c r="L2066" s="94">
        <v>1</v>
      </c>
      <c r="M2066" s="94">
        <v>66</v>
      </c>
      <c r="N2066" s="94">
        <v>0</v>
      </c>
      <c r="O2066" s="94">
        <v>0</v>
      </c>
    </row>
    <row r="2067" spans="1:15" x14ac:dyDescent="0.25">
      <c r="A2067" s="89">
        <v>45594.333333333336</v>
      </c>
      <c r="B2067" s="94">
        <v>356.58680361856608</v>
      </c>
      <c r="C2067" s="94">
        <v>301.18533204384266</v>
      </c>
      <c r="D2067" s="94">
        <v>91.131845074717901</v>
      </c>
      <c r="E2067" s="94">
        <v>6.7890059002866714</v>
      </c>
      <c r="F2067" s="94">
        <v>91.343494633039526</v>
      </c>
      <c r="G2067" s="94">
        <v>6.74</v>
      </c>
      <c r="H2067" s="94">
        <v>85.538789935643138</v>
      </c>
      <c r="I2067" s="94">
        <v>15.877830047607421</v>
      </c>
      <c r="J2067" s="94">
        <v>6259</v>
      </c>
      <c r="K2067" s="94">
        <v>3.016</v>
      </c>
      <c r="L2067" s="94">
        <v>0</v>
      </c>
      <c r="M2067" s="94">
        <v>64.116988699417618</v>
      </c>
      <c r="N2067" s="94">
        <v>0</v>
      </c>
      <c r="O2067" s="94">
        <v>15</v>
      </c>
    </row>
    <row r="2068" spans="1:15" x14ac:dyDescent="0.25">
      <c r="A2068" s="89">
        <v>45594.833333333336</v>
      </c>
      <c r="B2068" s="94">
        <v>356.52</v>
      </c>
      <c r="C2068" s="94">
        <v>301.24</v>
      </c>
      <c r="D2068" s="94">
        <v>89.50562919845207</v>
      </c>
      <c r="E2068" s="94">
        <v>6.7791306534961357</v>
      </c>
      <c r="F2068" s="94">
        <v>91.66411348426729</v>
      </c>
      <c r="G2068" s="94">
        <v>6.719585917701048</v>
      </c>
      <c r="H2068" s="94">
        <v>84.355049032975771</v>
      </c>
      <c r="I2068" s="94">
        <v>15.809257386696867</v>
      </c>
      <c r="J2068" s="94">
        <v>6689</v>
      </c>
      <c r="K2068" s="94">
        <v>3.0739999999999998</v>
      </c>
      <c r="L2068" s="94">
        <v>0.82628109538272609</v>
      </c>
      <c r="M2068" s="94">
        <v>0</v>
      </c>
      <c r="N2068" s="94">
        <v>0</v>
      </c>
      <c r="O2068" s="94">
        <v>30</v>
      </c>
    </row>
    <row r="2069" spans="1:15" x14ac:dyDescent="0.25">
      <c r="A2069" s="89">
        <v>45595.333333333336</v>
      </c>
      <c r="B2069" s="94">
        <v>356.50047604501776</v>
      </c>
      <c r="C2069" s="94">
        <v>301.24505386352541</v>
      </c>
      <c r="D2069" s="94">
        <v>90.606088973348761</v>
      </c>
      <c r="E2069" s="94">
        <v>6.7692215267942801</v>
      </c>
      <c r="F2069" s="94">
        <v>91.441559149144695</v>
      </c>
      <c r="G2069" s="94">
        <v>6.7163914258139892</v>
      </c>
      <c r="H2069" s="94">
        <v>85.858586459891526</v>
      </c>
      <c r="I2069" s="94">
        <v>15.854701054743305</v>
      </c>
      <c r="J2069" s="94">
        <v>6667</v>
      </c>
      <c r="K2069" s="94">
        <v>3.0705793550369993</v>
      </c>
      <c r="L2069" s="94">
        <v>0</v>
      </c>
      <c r="M2069" s="94">
        <v>0</v>
      </c>
      <c r="N2069" s="94">
        <v>0</v>
      </c>
      <c r="O2069" s="94">
        <v>29</v>
      </c>
    </row>
    <row r="2070" spans="1:15" x14ac:dyDescent="0.25">
      <c r="A2070" s="89">
        <v>45595.833333333336</v>
      </c>
      <c r="B2070" s="94">
        <v>356.41</v>
      </c>
      <c r="C2070" s="94">
        <v>301.24728475356693</v>
      </c>
      <c r="D2070" s="94">
        <v>87.830733954751409</v>
      </c>
      <c r="E2070" s="94">
        <v>6.7730666097005203</v>
      </c>
      <c r="F2070" s="94">
        <v>91.614099167778946</v>
      </c>
      <c r="G2070" s="94">
        <v>6.6707400512695312</v>
      </c>
      <c r="H2070" s="94">
        <v>84.666042973342115</v>
      </c>
      <c r="I2070" s="94">
        <v>15.755786896034527</v>
      </c>
      <c r="J2070" s="94">
        <v>6667</v>
      </c>
      <c r="K2070" s="94">
        <v>3.0707797693473058</v>
      </c>
      <c r="L2070" s="94">
        <v>0</v>
      </c>
      <c r="M2070" s="94">
        <v>0</v>
      </c>
      <c r="N2070" s="94">
        <v>0</v>
      </c>
      <c r="O2070" s="94">
        <v>30</v>
      </c>
    </row>
    <row r="2071" spans="1:15" x14ac:dyDescent="0.25">
      <c r="A2071" s="89">
        <v>45596.333333333336</v>
      </c>
      <c r="B2071" s="94">
        <v>356.38946024348576</v>
      </c>
      <c r="C2071" s="94">
        <v>301.02</v>
      </c>
      <c r="D2071" s="94">
        <v>74.176358187642677</v>
      </c>
      <c r="E2071" s="94">
        <v>5.5242915172653912</v>
      </c>
      <c r="F2071" s="94">
        <v>78.048023754637185</v>
      </c>
      <c r="G2071" s="94">
        <v>5.5703503894913702</v>
      </c>
      <c r="H2071" s="94">
        <v>79.779617474010649</v>
      </c>
      <c r="I2071" s="94">
        <v>14.742135623677038</v>
      </c>
      <c r="J2071" s="94">
        <v>4996</v>
      </c>
      <c r="K2071" s="94">
        <v>2.8290000000000002</v>
      </c>
      <c r="L2071" s="94">
        <v>0</v>
      </c>
      <c r="M2071" s="94">
        <v>0</v>
      </c>
      <c r="N2071" s="94">
        <v>0</v>
      </c>
      <c r="O2071" s="94">
        <v>0</v>
      </c>
    </row>
    <row r="2072" spans="1:15" x14ac:dyDescent="0.25">
      <c r="A2072" s="89">
        <v>45596.833333333336</v>
      </c>
      <c r="B2072" s="94">
        <v>356.3</v>
      </c>
      <c r="C2072" s="94">
        <v>300.99641059399397</v>
      </c>
      <c r="D2072" s="94">
        <v>74.007175867547659</v>
      </c>
      <c r="E2072" s="94">
        <v>5.5212891375262947</v>
      </c>
      <c r="F2072" s="94">
        <v>78.400000000000006</v>
      </c>
      <c r="G2072" s="94">
        <v>5.5602200317382806</v>
      </c>
      <c r="H2072" s="94">
        <v>77.704808319376156</v>
      </c>
      <c r="I2072" s="94">
        <v>14.325562283210612</v>
      </c>
      <c r="J2072" s="94">
        <v>4934</v>
      </c>
      <c r="K2072" s="94">
        <v>2.8194425481179959</v>
      </c>
      <c r="L2072" s="94">
        <v>0.18161732430797226</v>
      </c>
      <c r="M2072" s="94">
        <v>0</v>
      </c>
      <c r="N2072" s="94">
        <v>0</v>
      </c>
      <c r="O2072" s="94">
        <v>0</v>
      </c>
    </row>
    <row r="2073" spans="1:15" x14ac:dyDescent="0.25">
      <c r="A2073" s="89">
        <v>45597.333333333336</v>
      </c>
      <c r="B2073" s="94">
        <v>356.3</v>
      </c>
      <c r="C2073" s="94">
        <v>301</v>
      </c>
      <c r="D2073" s="94">
        <v>73.674641362555178</v>
      </c>
      <c r="E2073" s="94">
        <v>5.56</v>
      </c>
      <c r="F2073" s="94">
        <v>78.052248407060759</v>
      </c>
      <c r="G2073" s="94">
        <v>5.5604397765294999</v>
      </c>
      <c r="H2073" s="94">
        <v>78.878501055372737</v>
      </c>
      <c r="I2073" s="94">
        <v>14.54623105945354</v>
      </c>
      <c r="J2073" s="94">
        <v>4977</v>
      </c>
      <c r="K2073" s="94">
        <v>2.8260000000000001</v>
      </c>
      <c r="L2073" s="94">
        <v>0</v>
      </c>
      <c r="M2073" s="94">
        <v>0</v>
      </c>
      <c r="N2073" s="94">
        <v>0</v>
      </c>
      <c r="O2073" s="94">
        <v>0</v>
      </c>
    </row>
    <row r="2074" spans="1:15" x14ac:dyDescent="0.25">
      <c r="A2074" s="89">
        <v>45597.833333333336</v>
      </c>
      <c r="B2074" s="94">
        <v>356.3</v>
      </c>
      <c r="C2074" s="94">
        <v>300.55</v>
      </c>
      <c r="D2074" s="94">
        <v>47.082741867989427</v>
      </c>
      <c r="E2074" s="94">
        <v>2.6629915331069349</v>
      </c>
      <c r="F2074" s="94">
        <v>46.65600947678314</v>
      </c>
      <c r="G2074" s="94">
        <v>2.6931855780163696</v>
      </c>
      <c r="H2074" s="94">
        <v>46.842211750160395</v>
      </c>
      <c r="I2074" s="94">
        <v>6.2455408808894894</v>
      </c>
      <c r="J2074" s="94">
        <v>2580</v>
      </c>
      <c r="K2074" s="94">
        <v>2.3782065501236009</v>
      </c>
      <c r="L2074" s="94">
        <v>0</v>
      </c>
      <c r="M2074" s="94">
        <v>0</v>
      </c>
      <c r="N2074" s="94">
        <v>0</v>
      </c>
      <c r="O2074" s="94">
        <v>0</v>
      </c>
    </row>
    <row r="2075" spans="1:15" x14ac:dyDescent="0.25">
      <c r="A2075" s="89">
        <v>45598.333333333336</v>
      </c>
      <c r="B2075" s="94">
        <v>356.3</v>
      </c>
      <c r="C2075" s="94">
        <v>300.53878840341559</v>
      </c>
      <c r="D2075" s="94">
        <v>47.908016656474764</v>
      </c>
      <c r="E2075" s="94">
        <v>2.7116836633284915</v>
      </c>
      <c r="F2075" s="94">
        <v>47.931453450708339</v>
      </c>
      <c r="G2075" s="94">
        <v>2.6701900482177732</v>
      </c>
      <c r="H2075" s="94">
        <v>47.532605794686823</v>
      </c>
      <c r="I2075" s="94">
        <v>6.1565830310051526</v>
      </c>
      <c r="J2075" s="94">
        <v>2584</v>
      </c>
      <c r="K2075" s="94">
        <v>2.3795182666949928</v>
      </c>
      <c r="L2075" s="94">
        <v>0</v>
      </c>
      <c r="M2075" s="94">
        <v>0</v>
      </c>
      <c r="N2075" s="94">
        <v>0</v>
      </c>
      <c r="O2075" s="94">
        <v>0</v>
      </c>
    </row>
    <row r="2076" spans="1:15" x14ac:dyDescent="0.25">
      <c r="A2076" s="89">
        <v>45598.833333333336</v>
      </c>
      <c r="B2076" s="94">
        <v>356.3</v>
      </c>
      <c r="C2076" s="94">
        <v>300.54922251985079</v>
      </c>
      <c r="D2076" s="94">
        <v>48.44654579890333</v>
      </c>
      <c r="E2076" s="94">
        <v>2.7161140852312253</v>
      </c>
      <c r="F2076" s="94">
        <v>47.592485692568125</v>
      </c>
      <c r="G2076" s="94">
        <v>2.698835805833081</v>
      </c>
      <c r="H2076" s="94">
        <v>47.458319384141383</v>
      </c>
      <c r="I2076" s="94">
        <v>6.2150488609249379</v>
      </c>
      <c r="J2076" s="94">
        <v>2575</v>
      </c>
      <c r="K2076" s="94">
        <v>2.3769999999999998</v>
      </c>
      <c r="L2076" s="94">
        <v>0</v>
      </c>
      <c r="M2076" s="94">
        <v>0</v>
      </c>
      <c r="N2076" s="94">
        <v>0</v>
      </c>
      <c r="O2076" s="94">
        <v>0</v>
      </c>
    </row>
    <row r="2077" spans="1:15" x14ac:dyDescent="0.25">
      <c r="A2077" s="89">
        <v>45599.333333333336</v>
      </c>
      <c r="B2077" s="94">
        <v>356.3</v>
      </c>
      <c r="C2077" s="94">
        <v>300.54000000000002</v>
      </c>
      <c r="D2077" s="94">
        <v>48.4</v>
      </c>
      <c r="E2077" s="94">
        <v>2.6861830755843243</v>
      </c>
      <c r="F2077" s="94">
        <v>48.677313784110922</v>
      </c>
      <c r="G2077" s="94">
        <v>2.6570347651397812</v>
      </c>
      <c r="H2077" s="94">
        <v>47.393391087055264</v>
      </c>
      <c r="I2077" s="94">
        <v>6.2865091716321997</v>
      </c>
      <c r="J2077" s="94">
        <v>2601</v>
      </c>
      <c r="K2077" s="94">
        <v>2.3825419793773874</v>
      </c>
      <c r="L2077" s="94">
        <v>0</v>
      </c>
      <c r="M2077" s="94">
        <v>0</v>
      </c>
      <c r="N2077" s="94">
        <v>0</v>
      </c>
      <c r="O2077" s="94">
        <v>0</v>
      </c>
    </row>
    <row r="2078" spans="1:15" x14ac:dyDescent="0.25">
      <c r="A2078" s="89">
        <v>45599.833333333336</v>
      </c>
      <c r="B2078" s="94">
        <v>356.3</v>
      </c>
      <c r="C2078" s="94">
        <v>300.41620848038929</v>
      </c>
      <c r="D2078" s="94">
        <v>68.36119047060204</v>
      </c>
      <c r="E2078" s="94">
        <v>5.24</v>
      </c>
      <c r="F2078" s="94">
        <v>75.099999999999994</v>
      </c>
      <c r="G2078" s="94">
        <v>5.2807458023024774</v>
      </c>
      <c r="H2078" s="94">
        <v>0.25160064697265627</v>
      </c>
      <c r="I2078" s="94">
        <v>0</v>
      </c>
      <c r="J2078" s="94">
        <v>1998</v>
      </c>
      <c r="K2078" s="94">
        <v>2.2290000000000001</v>
      </c>
      <c r="L2078" s="94">
        <v>1</v>
      </c>
      <c r="M2078" s="94">
        <v>0</v>
      </c>
      <c r="N2078" s="94">
        <v>0</v>
      </c>
      <c r="O2078" s="94">
        <v>0</v>
      </c>
    </row>
    <row r="2079" spans="1:15" x14ac:dyDescent="0.25">
      <c r="A2079" s="89">
        <v>45600.333333333336</v>
      </c>
      <c r="B2079" s="94">
        <v>356.06</v>
      </c>
      <c r="C2079" s="94">
        <v>300.41000000000003</v>
      </c>
      <c r="D2079" s="94">
        <v>69.013492294715917</v>
      </c>
      <c r="E2079" s="94">
        <v>5.24</v>
      </c>
      <c r="F2079" s="94">
        <v>74.980563299871932</v>
      </c>
      <c r="G2079" s="94">
        <v>5.2903798664674859</v>
      </c>
      <c r="H2079" s="94">
        <v>0.7</v>
      </c>
      <c r="I2079" s="94">
        <v>0</v>
      </c>
      <c r="J2079" s="94">
        <v>1980</v>
      </c>
      <c r="K2079" s="94">
        <v>2.226</v>
      </c>
      <c r="L2079" s="94">
        <v>0</v>
      </c>
      <c r="M2079" s="94">
        <v>0</v>
      </c>
      <c r="N2079" s="94">
        <v>0</v>
      </c>
      <c r="O2079" s="94">
        <v>0</v>
      </c>
    </row>
    <row r="2080" spans="1:15" x14ac:dyDescent="0.25">
      <c r="A2080" s="89">
        <v>45600.833333333336</v>
      </c>
      <c r="B2080" s="94">
        <v>356.06</v>
      </c>
      <c r="C2080" s="94">
        <v>300.41000000000003</v>
      </c>
      <c r="D2080" s="94">
        <v>69.926113208123269</v>
      </c>
      <c r="E2080" s="94">
        <v>5.240422187461661</v>
      </c>
      <c r="F2080" s="94">
        <v>75.099999999999994</v>
      </c>
      <c r="G2080" s="94">
        <v>5.298988436665617</v>
      </c>
      <c r="H2080" s="94">
        <v>-0.14537017430012411</v>
      </c>
      <c r="I2080" s="94">
        <v>0</v>
      </c>
      <c r="J2080" s="94">
        <v>1987</v>
      </c>
      <c r="K2080" s="94">
        <v>2.226</v>
      </c>
      <c r="L2080" s="94">
        <v>0</v>
      </c>
      <c r="M2080" s="94">
        <v>0</v>
      </c>
      <c r="N2080" s="94">
        <v>0</v>
      </c>
      <c r="O2080" s="94">
        <v>0</v>
      </c>
    </row>
    <row r="2081" spans="1:15" x14ac:dyDescent="0.25">
      <c r="A2081" s="89">
        <v>45601.333333333336</v>
      </c>
      <c r="B2081" s="94">
        <v>356.02</v>
      </c>
      <c r="C2081" s="94">
        <v>300.42</v>
      </c>
      <c r="D2081" s="94">
        <v>69.8</v>
      </c>
      <c r="E2081" s="94">
        <v>5.2802503945397703</v>
      </c>
      <c r="F2081" s="94">
        <v>74.8</v>
      </c>
      <c r="G2081" s="94">
        <v>5.2899132856895976</v>
      </c>
      <c r="H2081" s="94">
        <v>0.8</v>
      </c>
      <c r="I2081" s="94">
        <v>0</v>
      </c>
      <c r="J2081" s="94">
        <v>1980</v>
      </c>
      <c r="K2081" s="94">
        <v>2.2240000000000002</v>
      </c>
      <c r="L2081" s="94">
        <v>0</v>
      </c>
      <c r="M2081" s="94">
        <v>0</v>
      </c>
      <c r="N2081" s="94">
        <v>0</v>
      </c>
      <c r="O2081" s="94">
        <v>0</v>
      </c>
    </row>
    <row r="2082" spans="1:15" x14ac:dyDescent="0.25">
      <c r="A2082" s="89">
        <v>45601.833333333336</v>
      </c>
      <c r="B2082" s="94">
        <v>356.02</v>
      </c>
      <c r="C2082" s="94">
        <v>300.41062219829701</v>
      </c>
      <c r="D2082" s="94">
        <v>69.930896666396308</v>
      </c>
      <c r="E2082" s="94">
        <v>5.2208224796828846</v>
      </c>
      <c r="F2082" s="94">
        <v>75.116477339502893</v>
      </c>
      <c r="G2082" s="94">
        <v>5.2507624732170184</v>
      </c>
      <c r="H2082" s="94">
        <v>0.8</v>
      </c>
      <c r="I2082" s="94">
        <v>0</v>
      </c>
      <c r="J2082" s="94">
        <v>1987</v>
      </c>
      <c r="K2082" s="94">
        <v>2.2264176588423412</v>
      </c>
      <c r="L2082" s="94">
        <v>0</v>
      </c>
      <c r="M2082" s="94">
        <v>0</v>
      </c>
      <c r="N2082" s="94">
        <v>0</v>
      </c>
      <c r="O2082" s="94">
        <v>0</v>
      </c>
    </row>
    <row r="2083" spans="1:15" x14ac:dyDescent="0.25">
      <c r="A2083" s="89">
        <v>45602.333333333336</v>
      </c>
      <c r="B2083" s="94">
        <v>355.98</v>
      </c>
      <c r="C2083" s="94">
        <v>300.41574583778834</v>
      </c>
      <c r="D2083" s="94">
        <v>68.939629427929631</v>
      </c>
      <c r="E2083" s="94">
        <v>5.2769750651283962</v>
      </c>
      <c r="F2083" s="94">
        <v>74.610863414380589</v>
      </c>
      <c r="G2083" s="94">
        <v>5.2631822019842582</v>
      </c>
      <c r="H2083" s="94">
        <v>0.84820125554768022</v>
      </c>
      <c r="I2083" s="94">
        <v>0</v>
      </c>
      <c r="J2083" s="94">
        <v>1987</v>
      </c>
      <c r="K2083" s="94">
        <v>2.2272760575403838</v>
      </c>
      <c r="L2083" s="94">
        <v>0</v>
      </c>
      <c r="M2083" s="94">
        <v>0</v>
      </c>
      <c r="N2083" s="94">
        <v>0</v>
      </c>
      <c r="O2083" s="94">
        <v>0</v>
      </c>
    </row>
    <row r="2084" spans="1:15" x14ac:dyDescent="0.25">
      <c r="A2084" s="89">
        <v>45602.833333333336</v>
      </c>
      <c r="B2084" s="94">
        <v>355.98</v>
      </c>
      <c r="C2084" s="94">
        <v>300.26879161834717</v>
      </c>
      <c r="D2084" s="94">
        <v>55.7</v>
      </c>
      <c r="E2084" s="94">
        <v>3.8231834427982281</v>
      </c>
      <c r="F2084" s="94">
        <v>59.885936608386302</v>
      </c>
      <c r="G2084" s="94">
        <v>3.7723060599815277</v>
      </c>
      <c r="H2084" s="94">
        <v>0.8</v>
      </c>
      <c r="I2084" s="94">
        <v>0</v>
      </c>
      <c r="J2084" s="94">
        <v>1531</v>
      </c>
      <c r="K2084" s="94">
        <v>2.0852183895077276</v>
      </c>
      <c r="L2084" s="94">
        <v>0</v>
      </c>
      <c r="M2084" s="94">
        <v>0</v>
      </c>
      <c r="N2084" s="94">
        <v>0</v>
      </c>
      <c r="O2084" s="94">
        <v>0</v>
      </c>
    </row>
    <row r="2085" spans="1:15" x14ac:dyDescent="0.25">
      <c r="A2085" s="89">
        <v>45603.333333333336</v>
      </c>
      <c r="B2085" s="94">
        <v>355.96</v>
      </c>
      <c r="C2085" s="94">
        <v>300.27555343630792</v>
      </c>
      <c r="D2085" s="94">
        <v>55.479684946142171</v>
      </c>
      <c r="E2085" s="94">
        <v>3.8880798339843752</v>
      </c>
      <c r="F2085" s="94">
        <v>61.7</v>
      </c>
      <c r="G2085" s="94">
        <v>3.7512606811523437</v>
      </c>
      <c r="H2085" s="94">
        <v>0.89925986413468395</v>
      </c>
      <c r="I2085" s="94">
        <v>0</v>
      </c>
      <c r="J2085" s="94">
        <v>1534</v>
      </c>
      <c r="K2085" s="94">
        <v>2.0870000000000002</v>
      </c>
      <c r="L2085" s="94">
        <v>0</v>
      </c>
      <c r="M2085" s="94">
        <v>0</v>
      </c>
      <c r="N2085" s="94">
        <v>0</v>
      </c>
      <c r="O2085" s="94">
        <v>0</v>
      </c>
    </row>
    <row r="2086" spans="1:15" x14ac:dyDescent="0.25">
      <c r="A2086" s="89">
        <v>45603.833333333336</v>
      </c>
      <c r="B2086" s="94">
        <v>355.96</v>
      </c>
      <c r="C2086" s="94">
        <v>300.05</v>
      </c>
      <c r="D2086" s="94">
        <v>41.4</v>
      </c>
      <c r="E2086" s="94">
        <v>2.1881181290624889</v>
      </c>
      <c r="F2086" s="94">
        <v>45.491240395198602</v>
      </c>
      <c r="G2086" s="94">
        <v>2.2013780667445522</v>
      </c>
      <c r="H2086" s="94">
        <v>0.9</v>
      </c>
      <c r="I2086" s="94">
        <v>0</v>
      </c>
      <c r="J2086" s="94">
        <v>971</v>
      </c>
      <c r="K2086" s="94">
        <v>1.865</v>
      </c>
      <c r="L2086" s="94">
        <v>0</v>
      </c>
      <c r="M2086" s="94">
        <v>0</v>
      </c>
      <c r="N2086" s="94">
        <v>0</v>
      </c>
      <c r="O2086" s="94">
        <v>0</v>
      </c>
    </row>
    <row r="2087" spans="1:15" x14ac:dyDescent="0.25">
      <c r="A2087" s="89">
        <v>45604.333333333336</v>
      </c>
      <c r="B2087" s="94">
        <v>355.96</v>
      </c>
      <c r="C2087" s="94">
        <v>300.05</v>
      </c>
      <c r="D2087" s="94">
        <v>40.200000000000003</v>
      </c>
      <c r="E2087" s="94">
        <v>2.1788154463237199</v>
      </c>
      <c r="F2087" s="94">
        <v>44.9</v>
      </c>
      <c r="G2087" s="94">
        <v>2.1781014298344563</v>
      </c>
      <c r="H2087" s="94">
        <v>0.97540636294041194</v>
      </c>
      <c r="I2087" s="94">
        <v>0</v>
      </c>
      <c r="J2087" s="94">
        <v>968</v>
      </c>
      <c r="K2087" s="94">
        <v>1.8640000000000001</v>
      </c>
      <c r="L2087" s="94">
        <v>0</v>
      </c>
      <c r="M2087" s="94">
        <v>0</v>
      </c>
      <c r="N2087" s="94">
        <v>0</v>
      </c>
      <c r="O2087" s="94">
        <v>0</v>
      </c>
    </row>
    <row r="2088" spans="1:15" x14ac:dyDescent="0.25">
      <c r="A2088" s="89">
        <v>45604.833333333336</v>
      </c>
      <c r="B2088" s="94">
        <v>355.96</v>
      </c>
      <c r="C2088" s="94">
        <v>300.05</v>
      </c>
      <c r="D2088" s="94">
        <v>39.1</v>
      </c>
      <c r="E2088" s="94">
        <v>2.1595294099677718</v>
      </c>
      <c r="F2088" s="94">
        <v>45.318593575843551</v>
      </c>
      <c r="G2088" s="94">
        <v>2.1463185400480689</v>
      </c>
      <c r="H2088" s="94">
        <v>0.89500078213563583</v>
      </c>
      <c r="I2088" s="94">
        <v>0</v>
      </c>
      <c r="J2088" s="94">
        <v>971</v>
      </c>
      <c r="K2088" s="94">
        <v>1.8641275061118547</v>
      </c>
      <c r="L2088" s="94">
        <v>0</v>
      </c>
      <c r="M2088" s="94">
        <v>0</v>
      </c>
      <c r="N2088" s="94">
        <v>0</v>
      </c>
      <c r="O2088" s="94">
        <v>0</v>
      </c>
    </row>
    <row r="2089" spans="1:15" x14ac:dyDescent="0.25">
      <c r="A2089" s="89">
        <v>45605.333333333336</v>
      </c>
      <c r="B2089" s="94">
        <v>355.96</v>
      </c>
      <c r="C2089" s="94">
        <v>300.05</v>
      </c>
      <c r="D2089" s="94">
        <v>40.650659202846157</v>
      </c>
      <c r="E2089" s="94">
        <v>2.1703800964355469</v>
      </c>
      <c r="F2089" s="94">
        <v>44.721690888072338</v>
      </c>
      <c r="G2089" s="94">
        <v>2.1796402521283813</v>
      </c>
      <c r="H2089" s="94">
        <v>1</v>
      </c>
      <c r="I2089" s="94">
        <v>0</v>
      </c>
      <c r="J2089" s="94">
        <v>968</v>
      </c>
      <c r="K2089" s="94">
        <v>1.865</v>
      </c>
      <c r="L2089" s="94">
        <v>0</v>
      </c>
      <c r="M2089" s="94">
        <v>0</v>
      </c>
      <c r="N2089" s="94">
        <v>0</v>
      </c>
      <c r="O2089" s="94">
        <v>0</v>
      </c>
    </row>
    <row r="2090" spans="1:15" x14ac:dyDescent="0.25">
      <c r="A2090" s="89">
        <v>45605.833333333336</v>
      </c>
      <c r="B2090" s="94">
        <v>355.96</v>
      </c>
      <c r="C2090" s="94">
        <v>300.05</v>
      </c>
      <c r="D2090" s="94">
        <v>39.6</v>
      </c>
      <c r="E2090" s="94">
        <v>2.1031352483906232</v>
      </c>
      <c r="F2090" s="94">
        <v>45.320502190765083</v>
      </c>
      <c r="G2090" s="94">
        <v>2.1516473439346568</v>
      </c>
      <c r="H2090" s="94">
        <v>0.982020104079385</v>
      </c>
      <c r="I2090" s="94">
        <v>0</v>
      </c>
      <c r="J2090" s="94">
        <v>971</v>
      </c>
      <c r="K2090" s="94">
        <v>1.865</v>
      </c>
      <c r="L2090" s="94">
        <v>0</v>
      </c>
      <c r="M2090" s="94">
        <v>0</v>
      </c>
      <c r="N2090" s="94">
        <v>0</v>
      </c>
      <c r="O2090" s="94">
        <v>0</v>
      </c>
    </row>
    <row r="2091" spans="1:15" x14ac:dyDescent="0.25">
      <c r="A2091" s="89">
        <v>45606.333333333336</v>
      </c>
      <c r="B2091" s="94">
        <v>355.96</v>
      </c>
      <c r="C2091" s="94">
        <v>300.05</v>
      </c>
      <c r="D2091" s="94">
        <v>40.758896405926734</v>
      </c>
      <c r="E2091" s="94">
        <v>2.1645603376719706</v>
      </c>
      <c r="F2091" s="94">
        <v>44.922378241633638</v>
      </c>
      <c r="G2091" s="94">
        <v>2.1573700508286393</v>
      </c>
      <c r="H2091" s="94">
        <v>0.97176555066870118</v>
      </c>
      <c r="I2091" s="94">
        <v>0</v>
      </c>
      <c r="J2091" s="94">
        <v>971</v>
      </c>
      <c r="K2091" s="94">
        <v>1.8645817761287429</v>
      </c>
      <c r="L2091" s="94">
        <v>0</v>
      </c>
      <c r="M2091" s="94">
        <v>0</v>
      </c>
      <c r="N2091" s="94">
        <v>0</v>
      </c>
      <c r="O2091" s="94">
        <v>0</v>
      </c>
    </row>
    <row r="2092" spans="1:15" x14ac:dyDescent="0.25">
      <c r="A2092" s="89">
        <v>45606.833333333336</v>
      </c>
      <c r="B2092" s="94">
        <v>355.96</v>
      </c>
      <c r="C2092" s="94">
        <v>300.05695329449856</v>
      </c>
      <c r="D2092" s="94">
        <v>41.3</v>
      </c>
      <c r="E2092" s="94">
        <v>2.2354941882665611</v>
      </c>
      <c r="F2092" s="94">
        <v>45.5</v>
      </c>
      <c r="G2092" s="94">
        <v>2.122102457576637</v>
      </c>
      <c r="H2092" s="94">
        <v>0.9</v>
      </c>
      <c r="I2092" s="94">
        <v>0</v>
      </c>
      <c r="J2092" s="94">
        <v>968</v>
      </c>
      <c r="K2092" s="94">
        <v>1.863530600161778</v>
      </c>
      <c r="L2092" s="94">
        <v>0</v>
      </c>
      <c r="M2092" s="94">
        <v>0</v>
      </c>
      <c r="N2092" s="94">
        <v>0</v>
      </c>
      <c r="O2092" s="94">
        <v>0</v>
      </c>
    </row>
    <row r="2093" spans="1:15" x14ac:dyDescent="0.25">
      <c r="A2093" s="89">
        <v>45607.333333333336</v>
      </c>
      <c r="B2093" s="94">
        <v>355.95249511796067</v>
      </c>
      <c r="C2093" s="94">
        <v>300.05</v>
      </c>
      <c r="D2093" s="94">
        <v>40.200000000000003</v>
      </c>
      <c r="E2093" s="94">
        <v>2.1595996093749998</v>
      </c>
      <c r="F2093" s="94">
        <v>45.012049865722659</v>
      </c>
      <c r="G2093" s="94">
        <v>2.1617133585611978</v>
      </c>
      <c r="H2093" s="94">
        <v>0.97265218729100389</v>
      </c>
      <c r="I2093" s="94">
        <v>0</v>
      </c>
      <c r="J2093" s="94">
        <v>968</v>
      </c>
      <c r="K2093" s="94">
        <v>1.8620000000000001</v>
      </c>
      <c r="L2093" s="94">
        <v>0</v>
      </c>
      <c r="M2093" s="94">
        <v>0</v>
      </c>
      <c r="N2093" s="94">
        <v>0</v>
      </c>
      <c r="O2093" s="94">
        <v>0</v>
      </c>
    </row>
    <row r="2094" spans="1:15" x14ac:dyDescent="0.25">
      <c r="A2094" s="89">
        <v>45607.833333333336</v>
      </c>
      <c r="B2094" s="94">
        <v>355.92</v>
      </c>
      <c r="C2094" s="94">
        <v>300.05</v>
      </c>
      <c r="D2094" s="94">
        <v>41.460219937266132</v>
      </c>
      <c r="E2094" s="94">
        <v>2.1637275437657673</v>
      </c>
      <c r="F2094" s="94">
        <v>45.2</v>
      </c>
      <c r="G2094" s="94">
        <v>2.1855601253726777</v>
      </c>
      <c r="H2094" s="94">
        <v>-1.6037559509277349E-2</v>
      </c>
      <c r="I2094" s="94">
        <v>0</v>
      </c>
      <c r="J2094" s="94">
        <v>971</v>
      </c>
      <c r="K2094" s="94">
        <v>1.865</v>
      </c>
      <c r="L2094" s="94">
        <v>0</v>
      </c>
      <c r="M2094" s="94">
        <v>0</v>
      </c>
      <c r="N2094" s="94">
        <v>0</v>
      </c>
      <c r="O2094" s="94">
        <v>0</v>
      </c>
    </row>
    <row r="2095" spans="1:15" x14ac:dyDescent="0.25">
      <c r="A2095" s="89">
        <v>45608.333333333336</v>
      </c>
      <c r="B2095" s="94">
        <v>355.91797992751395</v>
      </c>
      <c r="C2095" s="94">
        <v>300.05</v>
      </c>
      <c r="D2095" s="94">
        <v>40.125669174615943</v>
      </c>
      <c r="E2095" s="94">
        <v>2.1408200073242187</v>
      </c>
      <c r="F2095" s="94">
        <v>44.9</v>
      </c>
      <c r="G2095" s="94">
        <v>2.1754894784995424</v>
      </c>
      <c r="H2095" s="94">
        <v>0.8930308881150274</v>
      </c>
      <c r="I2095" s="94">
        <v>0</v>
      </c>
      <c r="J2095" s="94">
        <v>968</v>
      </c>
      <c r="K2095" s="94">
        <v>1.8627124500132071</v>
      </c>
      <c r="L2095" s="94">
        <v>0</v>
      </c>
      <c r="M2095" s="94">
        <v>0</v>
      </c>
      <c r="N2095" s="94">
        <v>0</v>
      </c>
      <c r="O2095" s="94">
        <v>0</v>
      </c>
    </row>
    <row r="2096" spans="1:15" x14ac:dyDescent="0.25">
      <c r="A2096" s="89">
        <v>45608.833333333336</v>
      </c>
      <c r="B2096" s="94">
        <v>355.91</v>
      </c>
      <c r="C2096" s="94">
        <v>300.05</v>
      </c>
      <c r="D2096" s="94">
        <v>41.6</v>
      </c>
      <c r="E2096" s="94">
        <v>2.1805001831054689</v>
      </c>
      <c r="F2096" s="94">
        <v>45.429479738065432</v>
      </c>
      <c r="G2096" s="94">
        <v>2.1789463185160929</v>
      </c>
      <c r="H2096" s="94">
        <v>0.89369439244669513</v>
      </c>
      <c r="I2096" s="94">
        <v>0</v>
      </c>
      <c r="J2096" s="94">
        <v>971</v>
      </c>
      <c r="K2096" s="94">
        <v>1.865</v>
      </c>
      <c r="L2096" s="94">
        <v>0</v>
      </c>
      <c r="M2096" s="94">
        <v>0</v>
      </c>
      <c r="N2096" s="94">
        <v>0</v>
      </c>
      <c r="O2096" s="94">
        <v>0</v>
      </c>
    </row>
    <row r="2097" spans="1:15" x14ac:dyDescent="0.25">
      <c r="A2097" s="89">
        <v>45609.333333333336</v>
      </c>
      <c r="B2097" s="94">
        <v>355.9</v>
      </c>
      <c r="C2097" s="94">
        <v>300.05</v>
      </c>
      <c r="D2097" s="94">
        <v>40.329497019678286</v>
      </c>
      <c r="E2097" s="94">
        <v>2.13028127585256</v>
      </c>
      <c r="F2097" s="94">
        <v>45.0282483318828</v>
      </c>
      <c r="G2097" s="94">
        <v>2.1803113031222234</v>
      </c>
      <c r="H2097" s="94">
        <v>0.9</v>
      </c>
      <c r="I2097" s="94">
        <v>0</v>
      </c>
      <c r="J2097" s="94">
        <v>971</v>
      </c>
      <c r="K2097" s="94">
        <v>1.865</v>
      </c>
      <c r="L2097" s="94">
        <v>0</v>
      </c>
      <c r="M2097" s="94">
        <v>0</v>
      </c>
      <c r="N2097" s="94">
        <v>0</v>
      </c>
      <c r="O2097" s="94">
        <v>0</v>
      </c>
    </row>
    <row r="2098" spans="1:15" x14ac:dyDescent="0.25">
      <c r="A2098" s="89">
        <v>45609.833333333336</v>
      </c>
      <c r="B2098" s="94">
        <v>355.9</v>
      </c>
      <c r="C2098" s="94">
        <v>300.27</v>
      </c>
      <c r="D2098" s="94">
        <v>60.134980670346678</v>
      </c>
      <c r="E2098" s="94">
        <v>3.8477133269415149</v>
      </c>
      <c r="F2098" s="94">
        <v>60.4</v>
      </c>
      <c r="G2098" s="94">
        <v>3.7397127625959414</v>
      </c>
      <c r="H2098" s="94">
        <v>0.83011621931454327</v>
      </c>
      <c r="I2098" s="94">
        <v>0</v>
      </c>
      <c r="J2098" s="94">
        <v>1531</v>
      </c>
      <c r="K2098" s="94">
        <v>2.0862047008236932</v>
      </c>
      <c r="L2098" s="94">
        <v>0</v>
      </c>
      <c r="M2098" s="94">
        <v>0</v>
      </c>
      <c r="N2098" s="94">
        <v>0</v>
      </c>
      <c r="O2098" s="94">
        <v>0</v>
      </c>
    </row>
    <row r="2099" spans="1:15" x14ac:dyDescent="0.25">
      <c r="A2099" s="89">
        <v>45610.333333333336</v>
      </c>
      <c r="B2099" s="94">
        <v>355.89</v>
      </c>
      <c r="C2099" s="94">
        <v>300.25459913104595</v>
      </c>
      <c r="D2099" s="94">
        <v>52.1</v>
      </c>
      <c r="E2099" s="94">
        <v>3.491851993279365</v>
      </c>
      <c r="F2099" s="94">
        <v>60.985464624361782</v>
      </c>
      <c r="G2099" s="94">
        <v>3.7949200439453126</v>
      </c>
      <c r="H2099" s="94">
        <v>0.8</v>
      </c>
      <c r="I2099" s="94">
        <v>0</v>
      </c>
      <c r="J2099" s="94">
        <v>1481</v>
      </c>
      <c r="K2099" s="94">
        <v>2.0680000000000001</v>
      </c>
      <c r="L2099" s="94">
        <v>0</v>
      </c>
      <c r="M2099" s="94">
        <v>0</v>
      </c>
      <c r="N2099" s="94">
        <v>0</v>
      </c>
      <c r="O2099" s="94">
        <v>0</v>
      </c>
    </row>
    <row r="2100" spans="1:15" x14ac:dyDescent="0.25">
      <c r="A2100" s="89">
        <v>45610.833333333336</v>
      </c>
      <c r="B2100" s="94">
        <v>355.89</v>
      </c>
      <c r="C2100" s="94">
        <v>300.05975090428279</v>
      </c>
      <c r="D2100" s="94">
        <v>68.612205547837505</v>
      </c>
      <c r="E2100" s="94">
        <v>5.4724350130202382</v>
      </c>
      <c r="F2100" s="94">
        <v>3</v>
      </c>
      <c r="G2100" s="94">
        <v>0</v>
      </c>
      <c r="H2100" s="94">
        <v>0.87116707451010622</v>
      </c>
      <c r="I2100" s="94">
        <v>0</v>
      </c>
      <c r="J2100" s="94">
        <v>979</v>
      </c>
      <c r="K2100" s="94">
        <v>1.869461180892557</v>
      </c>
      <c r="L2100" s="94">
        <v>0</v>
      </c>
      <c r="M2100" s="94">
        <v>0</v>
      </c>
      <c r="N2100" s="94">
        <v>0</v>
      </c>
      <c r="O2100" s="94">
        <v>0</v>
      </c>
    </row>
    <row r="2101" spans="1:15" x14ac:dyDescent="0.25">
      <c r="A2101" s="89">
        <v>45611.333333333336</v>
      </c>
      <c r="B2101" s="94">
        <v>355.89</v>
      </c>
      <c r="C2101" s="94">
        <v>300.05</v>
      </c>
      <c r="D2101" s="94">
        <v>68.914219274283894</v>
      </c>
      <c r="E2101" s="94">
        <v>5.4291145678849597</v>
      </c>
      <c r="F2101" s="94">
        <v>2.9</v>
      </c>
      <c r="G2101" s="94">
        <v>0</v>
      </c>
      <c r="H2101" s="94">
        <v>0.9</v>
      </c>
      <c r="I2101" s="94">
        <v>0</v>
      </c>
      <c r="J2101" s="94">
        <v>962</v>
      </c>
      <c r="K2101" s="94">
        <v>1.861</v>
      </c>
      <c r="L2101" s="94">
        <v>0</v>
      </c>
      <c r="M2101" s="94">
        <v>0</v>
      </c>
      <c r="N2101" s="94">
        <v>0</v>
      </c>
      <c r="O2101" s="94">
        <v>0</v>
      </c>
    </row>
    <row r="2102" spans="1:15" x14ac:dyDescent="0.25">
      <c r="A2102" s="89">
        <v>45611.833333333336</v>
      </c>
      <c r="B2102" s="94">
        <v>355.89</v>
      </c>
      <c r="C2102" s="94">
        <v>300.0586431479644</v>
      </c>
      <c r="D2102" s="94">
        <v>70.400000000000006</v>
      </c>
      <c r="E2102" s="94">
        <v>5.4108796498905907</v>
      </c>
      <c r="F2102" s="94">
        <v>3.2</v>
      </c>
      <c r="G2102" s="94">
        <v>0</v>
      </c>
      <c r="H2102" s="94">
        <v>0.88650858993358583</v>
      </c>
      <c r="I2102" s="94">
        <v>0</v>
      </c>
      <c r="J2102" s="94">
        <v>962</v>
      </c>
      <c r="K2102" s="94">
        <v>1.861</v>
      </c>
      <c r="L2102" s="94">
        <v>0</v>
      </c>
      <c r="M2102" s="94">
        <v>0</v>
      </c>
      <c r="N2102" s="94">
        <v>0</v>
      </c>
      <c r="O2102" s="94">
        <v>0</v>
      </c>
    </row>
    <row r="2103" spans="1:15" x14ac:dyDescent="0.25">
      <c r="A2103" s="89">
        <v>45612.333333333336</v>
      </c>
      <c r="B2103" s="94">
        <v>355.89</v>
      </c>
      <c r="C2103" s="94">
        <v>300.05</v>
      </c>
      <c r="D2103" s="94">
        <v>70.176276519374994</v>
      </c>
      <c r="E2103" s="94">
        <v>5.4384273462734019</v>
      </c>
      <c r="F2103" s="94">
        <v>3.0880012965730854</v>
      </c>
      <c r="G2103" s="94">
        <v>0</v>
      </c>
      <c r="H2103" s="94">
        <v>0.9</v>
      </c>
      <c r="I2103" s="94">
        <v>0</v>
      </c>
      <c r="J2103" s="94">
        <v>962</v>
      </c>
      <c r="K2103" s="94">
        <v>1.861</v>
      </c>
      <c r="L2103" s="94">
        <v>0</v>
      </c>
      <c r="M2103" s="94">
        <v>0</v>
      </c>
      <c r="N2103" s="94">
        <v>0</v>
      </c>
      <c r="O2103" s="94">
        <v>0</v>
      </c>
    </row>
    <row r="2104" spans="1:15" x14ac:dyDescent="0.25">
      <c r="A2104" s="89">
        <v>45612.833333333336</v>
      </c>
      <c r="B2104" s="94">
        <v>355.89</v>
      </c>
      <c r="C2104" s="94">
        <v>300.05661856343755</v>
      </c>
      <c r="D2104" s="94">
        <v>69.557631275047441</v>
      </c>
      <c r="E2104" s="94">
        <v>5.4476499938964844</v>
      </c>
      <c r="F2104" s="94">
        <v>3.3</v>
      </c>
      <c r="G2104" s="94">
        <v>0</v>
      </c>
      <c r="H2104" s="94">
        <v>0.8</v>
      </c>
      <c r="I2104" s="94">
        <v>0</v>
      </c>
      <c r="J2104" s="94">
        <v>962</v>
      </c>
      <c r="K2104" s="94">
        <v>1.861</v>
      </c>
      <c r="L2104" s="94">
        <v>0</v>
      </c>
      <c r="M2104" s="94">
        <v>0</v>
      </c>
      <c r="N2104" s="94">
        <v>0</v>
      </c>
      <c r="O2104" s="94">
        <v>0</v>
      </c>
    </row>
    <row r="2105" spans="1:15" x14ac:dyDescent="0.25">
      <c r="A2105" s="89">
        <v>45613.333333333336</v>
      </c>
      <c r="B2105" s="94">
        <v>355.89</v>
      </c>
      <c r="C2105" s="94">
        <v>300.05</v>
      </c>
      <c r="D2105" s="94">
        <v>70.8</v>
      </c>
      <c r="E2105" s="94">
        <v>5.44</v>
      </c>
      <c r="F2105" s="94">
        <v>3.2</v>
      </c>
      <c r="G2105" s="94">
        <v>0</v>
      </c>
      <c r="H2105" s="94">
        <v>0.9</v>
      </c>
      <c r="I2105" s="94">
        <v>0</v>
      </c>
      <c r="J2105" s="94">
        <v>962</v>
      </c>
      <c r="K2105" s="94">
        <v>1.861</v>
      </c>
      <c r="L2105" s="94">
        <v>0</v>
      </c>
      <c r="M2105" s="94">
        <v>0</v>
      </c>
      <c r="N2105" s="94">
        <v>0</v>
      </c>
      <c r="O2105" s="94">
        <v>0</v>
      </c>
    </row>
    <row r="2106" spans="1:15" x14ac:dyDescent="0.25">
      <c r="A2106" s="89">
        <v>45613.833333333336</v>
      </c>
      <c r="B2106" s="94">
        <v>355.86</v>
      </c>
      <c r="C2106" s="94">
        <v>300.05</v>
      </c>
      <c r="D2106" s="94">
        <v>70.228050819577618</v>
      </c>
      <c r="E2106" s="94">
        <v>5.4321099853515626</v>
      </c>
      <c r="F2106" s="94">
        <v>3.1981212899400289</v>
      </c>
      <c r="G2106" s="94">
        <v>0</v>
      </c>
      <c r="H2106" s="94">
        <v>0.8</v>
      </c>
      <c r="I2106" s="94">
        <v>0</v>
      </c>
      <c r="J2106" s="94">
        <v>962</v>
      </c>
      <c r="K2106" s="94">
        <v>1.861</v>
      </c>
      <c r="L2106" s="94">
        <v>0</v>
      </c>
      <c r="M2106" s="94">
        <v>0</v>
      </c>
      <c r="N2106" s="94">
        <v>0</v>
      </c>
      <c r="O2106" s="94">
        <v>0</v>
      </c>
    </row>
    <row r="2107" spans="1:15" x14ac:dyDescent="0.25">
      <c r="A2107" s="89">
        <v>45614.333333333336</v>
      </c>
      <c r="B2107" s="94">
        <v>355.84</v>
      </c>
      <c r="C2107" s="94">
        <v>300.05</v>
      </c>
      <c r="D2107" s="94">
        <v>69.13155878251564</v>
      </c>
      <c r="E2107" s="94">
        <v>5.4289192438405989</v>
      </c>
      <c r="F2107" s="94">
        <v>2.8600011408687713</v>
      </c>
      <c r="G2107" s="94">
        <v>0</v>
      </c>
      <c r="H2107" s="94">
        <v>0.9</v>
      </c>
      <c r="I2107" s="94">
        <v>0</v>
      </c>
      <c r="J2107" s="94">
        <v>962</v>
      </c>
      <c r="K2107" s="94">
        <v>1.861</v>
      </c>
      <c r="L2107" s="94">
        <v>0</v>
      </c>
      <c r="M2107" s="94">
        <v>0</v>
      </c>
      <c r="N2107" s="94">
        <v>0</v>
      </c>
      <c r="O2107" s="94">
        <v>0</v>
      </c>
    </row>
    <row r="2108" spans="1:15" x14ac:dyDescent="0.25">
      <c r="A2108" s="89">
        <v>45614.833333333336</v>
      </c>
      <c r="B2108" s="94">
        <v>355.84</v>
      </c>
      <c r="C2108" s="94">
        <v>300.05</v>
      </c>
      <c r="D2108" s="94">
        <v>69</v>
      </c>
      <c r="E2108" s="94">
        <v>5.4404105697265921</v>
      </c>
      <c r="F2108" s="94">
        <v>3.2206957532273957</v>
      </c>
      <c r="G2108" s="94">
        <v>0</v>
      </c>
      <c r="H2108" s="94">
        <v>0.8462730779829154</v>
      </c>
      <c r="I2108" s="94">
        <v>0</v>
      </c>
      <c r="J2108" s="94">
        <v>962</v>
      </c>
      <c r="K2108" s="94">
        <v>1.861</v>
      </c>
      <c r="L2108" s="94">
        <v>0</v>
      </c>
      <c r="M2108" s="94">
        <v>0</v>
      </c>
      <c r="N2108" s="94">
        <v>0</v>
      </c>
      <c r="O2108" s="94">
        <v>0</v>
      </c>
    </row>
    <row r="2109" spans="1:15" x14ac:dyDescent="0.25">
      <c r="A2109" s="89">
        <v>45615.333333333336</v>
      </c>
      <c r="B2109" s="94">
        <v>355.83</v>
      </c>
      <c r="C2109" s="94">
        <v>300.05</v>
      </c>
      <c r="D2109" s="94">
        <v>69.323476418401881</v>
      </c>
      <c r="E2109" s="94">
        <v>5.4464626747560008</v>
      </c>
      <c r="F2109" s="94">
        <v>2.93699618308968</v>
      </c>
      <c r="G2109" s="94">
        <v>0</v>
      </c>
      <c r="H2109" s="94">
        <v>0.9</v>
      </c>
      <c r="I2109" s="94">
        <v>0</v>
      </c>
      <c r="J2109" s="94">
        <v>962</v>
      </c>
      <c r="K2109" s="94">
        <v>1.861</v>
      </c>
      <c r="L2109" s="94">
        <v>0</v>
      </c>
      <c r="M2109" s="94">
        <v>0</v>
      </c>
      <c r="N2109" s="94">
        <v>0</v>
      </c>
      <c r="O2109" s="94">
        <v>0</v>
      </c>
    </row>
    <row r="2110" spans="1:15" x14ac:dyDescent="0.25">
      <c r="A2110" s="89">
        <v>45615.833333333336</v>
      </c>
      <c r="B2110" s="94">
        <v>355.83</v>
      </c>
      <c r="C2110" s="94">
        <v>300.05</v>
      </c>
      <c r="D2110" s="94">
        <v>69.406548567941726</v>
      </c>
      <c r="E2110" s="94">
        <v>5.4426174506874796</v>
      </c>
      <c r="F2110" s="94">
        <v>3.3</v>
      </c>
      <c r="G2110" s="94">
        <v>0</v>
      </c>
      <c r="H2110" s="94">
        <v>0.85748378127896208</v>
      </c>
      <c r="I2110" s="94">
        <v>0</v>
      </c>
      <c r="J2110" s="94">
        <v>962</v>
      </c>
      <c r="K2110" s="94">
        <v>1.861</v>
      </c>
      <c r="L2110" s="94">
        <v>0</v>
      </c>
      <c r="M2110" s="94">
        <v>0</v>
      </c>
      <c r="N2110" s="94">
        <v>0</v>
      </c>
      <c r="O2110" s="94">
        <v>0</v>
      </c>
    </row>
    <row r="2111" spans="1:15" x14ac:dyDescent="0.25">
      <c r="A2111" s="89">
        <v>45616.333333333336</v>
      </c>
      <c r="B2111" s="94">
        <v>355.83</v>
      </c>
      <c r="C2111" s="94">
        <v>300.05</v>
      </c>
      <c r="D2111" s="94">
        <v>69.400000000000006</v>
      </c>
      <c r="E2111" s="94">
        <v>5.4301251078186663</v>
      </c>
      <c r="F2111" s="94">
        <v>3.0808480522253747</v>
      </c>
      <c r="G2111" s="94">
        <v>0</v>
      </c>
      <c r="H2111" s="94">
        <v>0.87277982456140357</v>
      </c>
      <c r="I2111" s="94">
        <v>0</v>
      </c>
      <c r="J2111" s="94">
        <v>962</v>
      </c>
      <c r="K2111" s="94">
        <v>1.861</v>
      </c>
      <c r="L2111" s="94">
        <v>0</v>
      </c>
      <c r="M2111" s="94">
        <v>0</v>
      </c>
      <c r="N2111" s="94">
        <v>0</v>
      </c>
      <c r="O2111" s="94">
        <v>0</v>
      </c>
    </row>
    <row r="2112" spans="1:15" x14ac:dyDescent="0.25">
      <c r="A2112" s="89">
        <v>45616.833333333336</v>
      </c>
      <c r="B2112" s="94">
        <v>355.83</v>
      </c>
      <c r="C2112" s="94">
        <v>300.05</v>
      </c>
      <c r="D2112" s="94">
        <v>68.779212976869928</v>
      </c>
      <c r="E2112" s="94">
        <v>5.4254714127628176</v>
      </c>
      <c r="F2112" s="94">
        <v>3.3</v>
      </c>
      <c r="G2112" s="94">
        <v>0</v>
      </c>
      <c r="H2112" s="94">
        <v>0.81661584273818033</v>
      </c>
      <c r="I2112" s="94">
        <v>0</v>
      </c>
      <c r="J2112" s="94">
        <v>962</v>
      </c>
      <c r="K2112" s="94">
        <v>1.861</v>
      </c>
      <c r="L2112" s="94">
        <v>0</v>
      </c>
      <c r="M2112" s="94">
        <v>0</v>
      </c>
      <c r="N2112" s="94">
        <v>0</v>
      </c>
      <c r="O2112" s="94">
        <v>0</v>
      </c>
    </row>
    <row r="2113" spans="1:15" x14ac:dyDescent="0.25">
      <c r="A2113" s="89">
        <v>45617.333333333336</v>
      </c>
      <c r="B2113" s="94">
        <v>355.84478860620084</v>
      </c>
      <c r="C2113" s="94">
        <v>300.05</v>
      </c>
      <c r="D2113" s="94">
        <v>69.599999999999994</v>
      </c>
      <c r="E2113" s="94">
        <v>5.4283470342499731</v>
      </c>
      <c r="F2113" s="94">
        <v>3.2111899595915361</v>
      </c>
      <c r="G2113" s="94">
        <v>0</v>
      </c>
      <c r="H2113" s="94">
        <v>0.84542983083341849</v>
      </c>
      <c r="I2113" s="94">
        <v>0</v>
      </c>
      <c r="J2113" s="94">
        <v>962</v>
      </c>
      <c r="K2113" s="94">
        <v>1.861</v>
      </c>
      <c r="L2113" s="94">
        <v>0</v>
      </c>
      <c r="M2113" s="94">
        <v>0</v>
      </c>
      <c r="N2113" s="94">
        <v>0</v>
      </c>
      <c r="O2113" s="94">
        <v>0</v>
      </c>
    </row>
    <row r="2114" spans="1:15" x14ac:dyDescent="0.25">
      <c r="A2114" s="89">
        <v>45617.833333333336</v>
      </c>
      <c r="B2114" s="94">
        <v>355.86</v>
      </c>
      <c r="C2114" s="94">
        <v>300.87</v>
      </c>
      <c r="D2114" s="94">
        <v>84.514786184662441</v>
      </c>
      <c r="E2114" s="94">
        <v>6.43515912337761</v>
      </c>
      <c r="F2114" s="94">
        <v>3.4184845790094385</v>
      </c>
      <c r="G2114" s="94">
        <v>0</v>
      </c>
      <c r="H2114" s="94">
        <v>83.188615609260395</v>
      </c>
      <c r="I2114" s="94">
        <v>15.372773008725021</v>
      </c>
      <c r="J2114" s="94">
        <v>4498</v>
      </c>
      <c r="K2114" s="94">
        <v>2.7490000000000001</v>
      </c>
      <c r="L2114" s="94">
        <v>10</v>
      </c>
      <c r="M2114" s="94">
        <v>0</v>
      </c>
      <c r="N2114" s="94">
        <v>0</v>
      </c>
      <c r="O2114" s="94">
        <v>0</v>
      </c>
    </row>
    <row r="2115" spans="1:15" x14ac:dyDescent="0.25">
      <c r="A2115" s="89">
        <v>45618.333333333336</v>
      </c>
      <c r="B2115" s="94">
        <v>355.86</v>
      </c>
      <c r="C2115" s="94">
        <v>300.88855710895837</v>
      </c>
      <c r="D2115" s="94">
        <v>83.371771365286406</v>
      </c>
      <c r="E2115" s="94">
        <v>6.4330772326369088</v>
      </c>
      <c r="F2115" s="94">
        <v>3.3</v>
      </c>
      <c r="G2115" s="94">
        <v>0</v>
      </c>
      <c r="H2115" s="94">
        <v>82.9</v>
      </c>
      <c r="I2115" s="94">
        <v>15.278711526193041</v>
      </c>
      <c r="J2115" s="94">
        <v>4504</v>
      </c>
      <c r="K2115" s="94">
        <v>2.75</v>
      </c>
      <c r="L2115" s="94">
        <v>11.733106530461647</v>
      </c>
      <c r="M2115" s="94">
        <v>0</v>
      </c>
      <c r="N2115" s="94">
        <v>0</v>
      </c>
      <c r="O2115" s="94">
        <v>0</v>
      </c>
    </row>
    <row r="2116" spans="1:15" x14ac:dyDescent="0.25">
      <c r="A2116" s="89">
        <v>45618.833333333336</v>
      </c>
      <c r="B2116" s="94">
        <v>355.86</v>
      </c>
      <c r="C2116" s="94">
        <v>300.72823669433598</v>
      </c>
      <c r="D2116" s="94">
        <v>66.8</v>
      </c>
      <c r="E2116" s="94">
        <v>4.7907183212267954</v>
      </c>
      <c r="F2116" s="94">
        <v>3.6963012695312503</v>
      </c>
      <c r="G2116" s="94">
        <v>0</v>
      </c>
      <c r="H2116" s="94">
        <v>76.209161953423532</v>
      </c>
      <c r="I2116" s="94">
        <v>14.031402645057717</v>
      </c>
      <c r="J2116" s="94">
        <v>3578</v>
      </c>
      <c r="K2116" s="94">
        <v>2.5868627086913709</v>
      </c>
      <c r="L2116" s="94">
        <v>1</v>
      </c>
      <c r="M2116" s="94">
        <v>0</v>
      </c>
      <c r="N2116" s="94">
        <v>0</v>
      </c>
      <c r="O2116" s="94">
        <v>0</v>
      </c>
    </row>
    <row r="2117" spans="1:15" x14ac:dyDescent="0.25">
      <c r="A2117" s="89">
        <v>45619.333333333336</v>
      </c>
      <c r="B2117" s="94">
        <v>355.86</v>
      </c>
      <c r="C2117" s="94">
        <v>300.7264748552962</v>
      </c>
      <c r="D2117" s="94">
        <v>66.496178069318375</v>
      </c>
      <c r="E2117" s="94">
        <v>4.7545824721867991</v>
      </c>
      <c r="F2117" s="94">
        <v>3.5</v>
      </c>
      <c r="G2117" s="94">
        <v>0</v>
      </c>
      <c r="H2117" s="94">
        <v>76.643547749816804</v>
      </c>
      <c r="I2117" s="94">
        <v>14.084123803783791</v>
      </c>
      <c r="J2117" s="94">
        <v>3583</v>
      </c>
      <c r="K2117" s="94">
        <v>2.5877753021254453</v>
      </c>
      <c r="L2117" s="94">
        <v>0.8069082080418557</v>
      </c>
      <c r="M2117" s="94">
        <v>0</v>
      </c>
      <c r="N2117" s="94">
        <v>0</v>
      </c>
      <c r="O2117" s="94">
        <v>0</v>
      </c>
    </row>
    <row r="2118" spans="1:15" x14ac:dyDescent="0.25">
      <c r="A2118" s="89">
        <v>45619.833333333336</v>
      </c>
      <c r="B2118" s="94">
        <v>355.86</v>
      </c>
      <c r="C2118" s="94">
        <v>300.52</v>
      </c>
      <c r="D2118" s="94">
        <v>91.205798200016432</v>
      </c>
      <c r="E2118" s="94">
        <v>6.9963651776605991</v>
      </c>
      <c r="F2118" s="94">
        <v>3.7426260346389215</v>
      </c>
      <c r="G2118" s="94">
        <v>0</v>
      </c>
      <c r="H2118" s="94">
        <v>39.960093301522519</v>
      </c>
      <c r="I2118" s="94">
        <v>4.4639738251041043</v>
      </c>
      <c r="J2118" s="94">
        <v>2467</v>
      </c>
      <c r="K2118" s="94">
        <v>2.3493136186069705</v>
      </c>
      <c r="L2118" s="94">
        <v>1</v>
      </c>
      <c r="M2118" s="94">
        <v>0</v>
      </c>
      <c r="N2118" s="94">
        <v>0</v>
      </c>
      <c r="O2118" s="94">
        <v>0</v>
      </c>
    </row>
    <row r="2119" spans="1:15" x14ac:dyDescent="0.25">
      <c r="A2119" s="89">
        <v>45620.333333333336</v>
      </c>
      <c r="B2119" s="94">
        <v>355.86</v>
      </c>
      <c r="C2119" s="94">
        <v>300.51397312456265</v>
      </c>
      <c r="D2119" s="94">
        <v>89.3</v>
      </c>
      <c r="E2119" s="94">
        <v>6.9992509374714187</v>
      </c>
      <c r="F2119" s="94">
        <v>3.5</v>
      </c>
      <c r="G2119" s="94">
        <v>0</v>
      </c>
      <c r="H2119" s="94">
        <v>40.093398565312171</v>
      </c>
      <c r="I2119" s="94">
        <v>4.3651308876604693</v>
      </c>
      <c r="J2119" s="94">
        <v>2467</v>
      </c>
      <c r="K2119" s="94">
        <v>2.3496923804546994</v>
      </c>
      <c r="L2119" s="94">
        <v>0</v>
      </c>
      <c r="M2119" s="94">
        <v>0</v>
      </c>
      <c r="N2119" s="94">
        <v>0</v>
      </c>
      <c r="O2119" s="94">
        <v>0</v>
      </c>
    </row>
    <row r="2120" spans="1:15" x14ac:dyDescent="0.25">
      <c r="A2120" s="89">
        <v>45620.833333333336</v>
      </c>
      <c r="B2120" s="94">
        <v>355.86</v>
      </c>
      <c r="C2120" s="94">
        <v>300.24936909643628</v>
      </c>
      <c r="D2120" s="94">
        <v>80.8</v>
      </c>
      <c r="E2120" s="94">
        <v>6.4341362101864084</v>
      </c>
      <c r="F2120" s="94">
        <v>3.9</v>
      </c>
      <c r="G2120" s="94">
        <v>0</v>
      </c>
      <c r="H2120" s="94">
        <v>0.57297834283443605</v>
      </c>
      <c r="I2120" s="94">
        <v>0</v>
      </c>
      <c r="J2120" s="94">
        <v>1496</v>
      </c>
      <c r="K2120" s="94">
        <v>2.0739999999999998</v>
      </c>
      <c r="L2120" s="94">
        <v>1</v>
      </c>
      <c r="M2120" s="94">
        <v>0</v>
      </c>
      <c r="N2120" s="94">
        <v>10</v>
      </c>
      <c r="O2120" s="94">
        <v>0</v>
      </c>
    </row>
    <row r="2121" spans="1:15" x14ac:dyDescent="0.25">
      <c r="A2121" s="89">
        <v>45621.333333333336</v>
      </c>
      <c r="B2121" s="94">
        <v>355.86</v>
      </c>
      <c r="C2121" s="94">
        <v>300.24814922496381</v>
      </c>
      <c r="D2121" s="94">
        <v>81.885935713436865</v>
      </c>
      <c r="E2121" s="94">
        <v>6.4371842167555853</v>
      </c>
      <c r="F2121" s="94">
        <v>3.7235461659288562</v>
      </c>
      <c r="G2121" s="94">
        <v>0</v>
      </c>
      <c r="H2121" s="94">
        <v>0.7</v>
      </c>
      <c r="I2121" s="94">
        <v>0</v>
      </c>
      <c r="J2121" s="94">
        <v>1502</v>
      </c>
      <c r="K2121" s="94">
        <v>2.0735216166899821</v>
      </c>
      <c r="L2121" s="94">
        <v>0</v>
      </c>
      <c r="M2121" s="94">
        <v>0</v>
      </c>
      <c r="N2121" s="94">
        <v>10</v>
      </c>
      <c r="O2121" s="94">
        <v>0</v>
      </c>
    </row>
    <row r="2122" spans="1:15" x14ac:dyDescent="0.25">
      <c r="A2122" s="89">
        <v>45621.833333333336</v>
      </c>
      <c r="B2122" s="94">
        <v>355.86</v>
      </c>
      <c r="C2122" s="94">
        <v>300.24</v>
      </c>
      <c r="D2122" s="94">
        <v>80.917542921223898</v>
      </c>
      <c r="E2122" s="94">
        <v>6.4064063478486659</v>
      </c>
      <c r="F2122" s="94">
        <v>3.9426666259765626</v>
      </c>
      <c r="G2122" s="94">
        <v>0</v>
      </c>
      <c r="H2122" s="94">
        <v>0.7</v>
      </c>
      <c r="I2122" s="94">
        <v>0</v>
      </c>
      <c r="J2122" s="94">
        <v>1502</v>
      </c>
      <c r="K2122" s="94">
        <v>2.0749364540205177</v>
      </c>
      <c r="L2122" s="94">
        <v>1</v>
      </c>
      <c r="M2122" s="94">
        <v>0</v>
      </c>
      <c r="N2122" s="94">
        <v>10</v>
      </c>
      <c r="O2122" s="94">
        <v>0</v>
      </c>
    </row>
    <row r="2123" spans="1:15" x14ac:dyDescent="0.25">
      <c r="A2123" s="89">
        <v>45622.333333333336</v>
      </c>
      <c r="B2123" s="94">
        <v>355.86</v>
      </c>
      <c r="C2123" s="94">
        <v>300.26798631324311</v>
      </c>
      <c r="D2123" s="94">
        <v>82.479583231608075</v>
      </c>
      <c r="E2123" s="94">
        <v>6.44</v>
      </c>
      <c r="F2123" s="94">
        <v>3.8</v>
      </c>
      <c r="G2123" s="94">
        <v>0</v>
      </c>
      <c r="H2123" s="94">
        <v>0.73765365046659193</v>
      </c>
      <c r="I2123" s="94">
        <v>0</v>
      </c>
      <c r="J2123" s="94">
        <v>1570</v>
      </c>
      <c r="K2123" s="94">
        <v>2.0979999999999999</v>
      </c>
      <c r="L2123" s="94">
        <v>11.612950809334587</v>
      </c>
      <c r="M2123" s="94">
        <v>11.571182913662801</v>
      </c>
      <c r="N2123" s="94">
        <v>0</v>
      </c>
      <c r="O2123" s="94">
        <v>0</v>
      </c>
    </row>
    <row r="2124" spans="1:15" x14ac:dyDescent="0.25">
      <c r="A2124" s="89">
        <v>45622.833333333336</v>
      </c>
      <c r="B2124" s="94">
        <v>355.86</v>
      </c>
      <c r="C2124" s="94">
        <v>300.24</v>
      </c>
      <c r="D2124" s="94">
        <v>82.488352369313816</v>
      </c>
      <c r="E2124" s="94">
        <v>6.4344814015876022</v>
      </c>
      <c r="F2124" s="94">
        <v>3.9</v>
      </c>
      <c r="G2124" s="94">
        <v>0</v>
      </c>
      <c r="H2124" s="94">
        <v>0.7</v>
      </c>
      <c r="I2124" s="94">
        <v>0</v>
      </c>
      <c r="J2124" s="94">
        <v>1478</v>
      </c>
      <c r="K2124" s="94">
        <v>2.0669482680379816</v>
      </c>
      <c r="L2124" s="94">
        <v>11</v>
      </c>
      <c r="M2124" s="94">
        <v>0</v>
      </c>
      <c r="N2124" s="94">
        <v>0</v>
      </c>
      <c r="O2124" s="94">
        <v>0</v>
      </c>
    </row>
    <row r="2125" spans="1:15" x14ac:dyDescent="0.25">
      <c r="A2125" s="89">
        <v>45623.333333333336</v>
      </c>
      <c r="B2125" s="94">
        <v>355.72468497963786</v>
      </c>
      <c r="C2125" s="94">
        <v>300.24</v>
      </c>
      <c r="D2125" s="94">
        <v>81.418376257709099</v>
      </c>
      <c r="E2125" s="94">
        <v>6.4235970372907474</v>
      </c>
      <c r="F2125" s="94">
        <v>3.5</v>
      </c>
      <c r="G2125" s="94">
        <v>0</v>
      </c>
      <c r="H2125" s="94">
        <v>0.72406176685002321</v>
      </c>
      <c r="I2125" s="94">
        <v>0</v>
      </c>
      <c r="J2125" s="94">
        <v>1475</v>
      </c>
      <c r="K2125" s="94">
        <v>2.0667563685511801</v>
      </c>
      <c r="L2125" s="94">
        <v>11</v>
      </c>
      <c r="M2125" s="94">
        <v>0</v>
      </c>
      <c r="N2125" s="94">
        <v>0</v>
      </c>
      <c r="O2125" s="94">
        <v>0</v>
      </c>
    </row>
    <row r="2126" spans="1:15" x14ac:dyDescent="0.25">
      <c r="A2126" s="89">
        <v>45623.833333333336</v>
      </c>
      <c r="B2126" s="94">
        <v>355.59</v>
      </c>
      <c r="C2126" s="94">
        <v>300.06</v>
      </c>
      <c r="D2126" s="94">
        <v>70.171175040921369</v>
      </c>
      <c r="E2126" s="94">
        <v>5.4638306675552588</v>
      </c>
      <c r="F2126" s="94">
        <v>3.5</v>
      </c>
      <c r="G2126" s="94">
        <v>0</v>
      </c>
      <c r="H2126" s="94">
        <v>0.8</v>
      </c>
      <c r="I2126" s="94">
        <v>0</v>
      </c>
      <c r="J2126" s="94">
        <v>985</v>
      </c>
      <c r="K2126" s="94">
        <v>1.8705488096636045</v>
      </c>
      <c r="L2126" s="94">
        <v>1</v>
      </c>
      <c r="M2126" s="94">
        <v>0</v>
      </c>
      <c r="N2126" s="94">
        <v>0</v>
      </c>
      <c r="O2126" s="94">
        <v>0</v>
      </c>
    </row>
    <row r="2127" spans="1:15" x14ac:dyDescent="0.25">
      <c r="A2127" s="89">
        <v>45624.333333333336</v>
      </c>
      <c r="B2127" s="94">
        <v>355.58005584944885</v>
      </c>
      <c r="C2127" s="94">
        <v>300.05377893289341</v>
      </c>
      <c r="D2127" s="94">
        <v>71.164873266589211</v>
      </c>
      <c r="E2127" s="94">
        <v>5.4284622024985563</v>
      </c>
      <c r="F2127" s="94">
        <v>3.4</v>
      </c>
      <c r="G2127" s="94">
        <v>0</v>
      </c>
      <c r="H2127" s="94">
        <v>0.82797000626041939</v>
      </c>
      <c r="I2127" s="94">
        <v>0</v>
      </c>
      <c r="J2127" s="94">
        <v>981</v>
      </c>
      <c r="K2127" s="94">
        <v>1.8680000000000001</v>
      </c>
      <c r="L2127" s="94">
        <v>1</v>
      </c>
      <c r="M2127" s="94">
        <v>0</v>
      </c>
      <c r="N2127" s="94">
        <v>80</v>
      </c>
      <c r="O2127" s="94">
        <v>0</v>
      </c>
    </row>
    <row r="2128" spans="1:15" x14ac:dyDescent="0.25">
      <c r="A2128" s="89">
        <v>45624.833333333336</v>
      </c>
      <c r="B2128" s="94">
        <v>355.58</v>
      </c>
      <c r="C2128" s="94">
        <v>300.05287477317665</v>
      </c>
      <c r="D2128" s="94">
        <v>71.627036305854574</v>
      </c>
      <c r="E2128" s="94">
        <v>5.4343887317483377</v>
      </c>
      <c r="F2128" s="94">
        <v>3.7170622342374351</v>
      </c>
      <c r="G2128" s="94">
        <v>0</v>
      </c>
      <c r="H2128" s="94">
        <v>0.79058928811595408</v>
      </c>
      <c r="I2128" s="94">
        <v>0</v>
      </c>
      <c r="J2128" s="94">
        <v>979</v>
      </c>
      <c r="K2128" s="94">
        <v>1.8707438095788116</v>
      </c>
      <c r="L2128" s="94">
        <v>1</v>
      </c>
      <c r="M2128" s="94">
        <v>0</v>
      </c>
      <c r="N2128" s="94">
        <v>0</v>
      </c>
      <c r="O2128" s="94">
        <v>0</v>
      </c>
    </row>
    <row r="2129" spans="1:15" x14ac:dyDescent="0.25">
      <c r="A2129" s="89">
        <v>45625.333333333336</v>
      </c>
      <c r="B2129" s="94">
        <v>355.58</v>
      </c>
      <c r="C2129" s="94">
        <v>300.05366272252428</v>
      </c>
      <c r="D2129" s="94">
        <v>70.589907807375411</v>
      </c>
      <c r="E2129" s="94">
        <v>5.4333124991507802</v>
      </c>
      <c r="F2129" s="94">
        <v>3.5</v>
      </c>
      <c r="G2129" s="94">
        <v>0</v>
      </c>
      <c r="H2129" s="94">
        <v>0.7220578003806607</v>
      </c>
      <c r="I2129" s="94">
        <v>0</v>
      </c>
      <c r="J2129" s="94">
        <v>981</v>
      </c>
      <c r="K2129" s="94">
        <v>1.8696209947308204</v>
      </c>
      <c r="L2129" s="94">
        <v>1</v>
      </c>
      <c r="M2129" s="94">
        <v>0</v>
      </c>
      <c r="N2129" s="94">
        <v>0</v>
      </c>
      <c r="O2129" s="94">
        <v>0</v>
      </c>
    </row>
    <row r="2130" spans="1:15" x14ac:dyDescent="0.25">
      <c r="A2130" s="89">
        <v>45625.833333333336</v>
      </c>
      <c r="B2130" s="94">
        <v>355.58</v>
      </c>
      <c r="C2130" s="94">
        <v>300.06</v>
      </c>
      <c r="D2130" s="94">
        <v>72.148762951279863</v>
      </c>
      <c r="E2130" s="94">
        <v>5.4411561917242075</v>
      </c>
      <c r="F2130" s="94">
        <v>3.5</v>
      </c>
      <c r="G2130" s="94">
        <v>0</v>
      </c>
      <c r="H2130" s="94">
        <v>0.84423359049122382</v>
      </c>
      <c r="I2130" s="94">
        <v>0</v>
      </c>
      <c r="J2130" s="94">
        <v>979</v>
      </c>
      <c r="K2130" s="94">
        <v>1.8685600010787127</v>
      </c>
      <c r="L2130" s="94">
        <v>1</v>
      </c>
      <c r="M2130" s="94">
        <v>0</v>
      </c>
      <c r="N2130" s="94">
        <v>0</v>
      </c>
      <c r="O2130" s="94">
        <v>0</v>
      </c>
    </row>
    <row r="2131" spans="1:15" x14ac:dyDescent="0.25">
      <c r="A2131" s="89">
        <v>45626.333333333336</v>
      </c>
      <c r="B2131" s="94">
        <v>355.58</v>
      </c>
      <c r="C2131" s="94">
        <v>300.07846180715137</v>
      </c>
      <c r="D2131" s="94">
        <v>71.3</v>
      </c>
      <c r="E2131" s="94">
        <v>5.4470703509930409</v>
      </c>
      <c r="F2131" s="94">
        <v>3.3</v>
      </c>
      <c r="G2131" s="94">
        <v>0</v>
      </c>
      <c r="H2131" s="94">
        <v>0.87900789446562921</v>
      </c>
      <c r="I2131" s="94">
        <v>0</v>
      </c>
      <c r="J2131" s="94">
        <v>1018</v>
      </c>
      <c r="K2131" s="94">
        <v>1.887</v>
      </c>
      <c r="L2131" s="94">
        <v>0</v>
      </c>
      <c r="M2131" s="94">
        <v>0</v>
      </c>
      <c r="N2131" s="94">
        <v>0</v>
      </c>
      <c r="O2131" s="94">
        <v>0</v>
      </c>
    </row>
    <row r="2132" spans="1:15" x14ac:dyDescent="0.25">
      <c r="A2132" s="89">
        <v>45626.833333333336</v>
      </c>
      <c r="B2132" s="94">
        <v>355.58</v>
      </c>
      <c r="C2132" s="94">
        <v>300.05181479887494</v>
      </c>
      <c r="D2132" s="94">
        <v>69.155988180079959</v>
      </c>
      <c r="E2132" s="94">
        <v>5.4327405521714089</v>
      </c>
      <c r="F2132" s="94">
        <v>3.3</v>
      </c>
      <c r="G2132" s="94">
        <v>0</v>
      </c>
      <c r="H2132" s="94">
        <v>0.8</v>
      </c>
      <c r="I2132" s="94">
        <v>0</v>
      </c>
      <c r="J2132" s="94">
        <v>981</v>
      </c>
      <c r="K2132" s="94">
        <v>1.8700485640371116</v>
      </c>
      <c r="L2132" s="94">
        <v>0</v>
      </c>
      <c r="M2132" s="94">
        <v>0</v>
      </c>
      <c r="N2132" s="94">
        <v>0</v>
      </c>
      <c r="O2132" s="94">
        <v>0</v>
      </c>
    </row>
    <row r="2133" spans="1:15" x14ac:dyDescent="0.25">
      <c r="A2133" s="89">
        <v>45627.333333333336</v>
      </c>
      <c r="B2133" s="94">
        <v>355.58</v>
      </c>
      <c r="C2133" s="94">
        <v>300.0505428618419</v>
      </c>
      <c r="D2133" s="94">
        <v>68.048705480989355</v>
      </c>
      <c r="E2133" s="94">
        <v>5.4542312478325616</v>
      </c>
      <c r="F2133" s="94">
        <v>3.1</v>
      </c>
      <c r="G2133" s="94">
        <v>0</v>
      </c>
      <c r="H2133" s="94">
        <v>0.8</v>
      </c>
      <c r="I2133" s="94">
        <v>0</v>
      </c>
      <c r="J2133" s="94">
        <v>988</v>
      </c>
      <c r="K2133" s="94">
        <v>1.8720000000000001</v>
      </c>
      <c r="L2133" s="94">
        <v>0</v>
      </c>
      <c r="M2133" s="94">
        <v>0</v>
      </c>
      <c r="N2133" s="94">
        <v>0</v>
      </c>
      <c r="O2133" s="94">
        <v>0</v>
      </c>
    </row>
    <row r="2134" spans="1:15" x14ac:dyDescent="0.25">
      <c r="A2134" s="89">
        <v>45627.833333333336</v>
      </c>
      <c r="B2134" s="94">
        <v>355.58</v>
      </c>
      <c r="C2134" s="94">
        <v>299.77</v>
      </c>
      <c r="D2134" s="94">
        <v>38.612053189321379</v>
      </c>
      <c r="E2134" s="94">
        <v>2.292873324661278</v>
      </c>
      <c r="F2134" s="94">
        <v>3.391151879073897</v>
      </c>
      <c r="G2134" s="94">
        <v>0</v>
      </c>
      <c r="H2134" s="94">
        <v>0.87592000230540912</v>
      </c>
      <c r="I2134" s="94">
        <v>0</v>
      </c>
      <c r="J2134" s="94">
        <v>505</v>
      </c>
      <c r="K2134" s="94">
        <v>1.5928633909754482</v>
      </c>
      <c r="L2134" s="94">
        <v>1</v>
      </c>
      <c r="M2134" s="94">
        <v>0</v>
      </c>
      <c r="N2134" s="94">
        <v>0</v>
      </c>
      <c r="O2134" s="94">
        <v>0</v>
      </c>
    </row>
    <row r="2135" spans="1:15" x14ac:dyDescent="0.25">
      <c r="A2135" s="89">
        <v>45628.333333333336</v>
      </c>
      <c r="B2135" s="94">
        <v>355.58</v>
      </c>
      <c r="C2135" s="94">
        <v>299.77075140816822</v>
      </c>
      <c r="D2135" s="94">
        <v>37.93057165726055</v>
      </c>
      <c r="E2135" s="94">
        <v>2.276994419386897</v>
      </c>
      <c r="F2135" s="94">
        <v>3.0920528683051134</v>
      </c>
      <c r="G2135" s="94">
        <v>0</v>
      </c>
      <c r="H2135" s="94">
        <v>0.9</v>
      </c>
      <c r="I2135" s="94">
        <v>0</v>
      </c>
      <c r="J2135" s="94">
        <v>509</v>
      </c>
      <c r="K2135" s="94">
        <v>1.5929872103058116</v>
      </c>
      <c r="L2135" s="94">
        <v>0</v>
      </c>
      <c r="M2135" s="94">
        <v>0</v>
      </c>
      <c r="N2135" s="94">
        <v>0</v>
      </c>
      <c r="O2135" s="94">
        <v>0</v>
      </c>
    </row>
    <row r="2136" spans="1:15" x14ac:dyDescent="0.25">
      <c r="A2136" s="89">
        <v>45628.833333333336</v>
      </c>
      <c r="B2136" s="94">
        <v>355.58</v>
      </c>
      <c r="C2136" s="94">
        <v>299.77</v>
      </c>
      <c r="D2136" s="94">
        <v>41.379327392578126</v>
      </c>
      <c r="E2136" s="94">
        <v>2.2909301970368108</v>
      </c>
      <c r="F2136" s="94">
        <v>3.5</v>
      </c>
      <c r="G2136" s="94">
        <v>0</v>
      </c>
      <c r="H2136" s="94">
        <v>0.85884027083156278</v>
      </c>
      <c r="I2136" s="94">
        <v>0</v>
      </c>
      <c r="J2136" s="94">
        <v>503</v>
      </c>
      <c r="K2136" s="94">
        <v>1.5891667030579479</v>
      </c>
      <c r="L2136" s="94">
        <v>1</v>
      </c>
      <c r="M2136" s="94">
        <v>0</v>
      </c>
      <c r="N2136" s="94">
        <v>0</v>
      </c>
      <c r="O2136" s="94">
        <v>0</v>
      </c>
    </row>
    <row r="2137" spans="1:15" x14ac:dyDescent="0.25">
      <c r="A2137" s="89">
        <v>45629.333333333336</v>
      </c>
      <c r="B2137" s="94">
        <v>356.0129534252045</v>
      </c>
      <c r="C2137" s="94">
        <v>299.77835536222182</v>
      </c>
      <c r="D2137" s="94">
        <v>37.221080330013187</v>
      </c>
      <c r="E2137" s="94">
        <v>2.2426650867670666</v>
      </c>
      <c r="F2137" s="94">
        <v>3.3</v>
      </c>
      <c r="G2137" s="94">
        <v>0</v>
      </c>
      <c r="H2137" s="94">
        <v>0.88947939759957195</v>
      </c>
      <c r="I2137" s="94">
        <v>0</v>
      </c>
      <c r="J2137" s="94">
        <v>506</v>
      </c>
      <c r="K2137" s="94">
        <v>1.5920000000000001</v>
      </c>
      <c r="L2137" s="94">
        <v>0</v>
      </c>
      <c r="M2137" s="94">
        <v>0</v>
      </c>
      <c r="N2137" s="94">
        <v>0</v>
      </c>
      <c r="O2137" s="94">
        <v>0</v>
      </c>
    </row>
    <row r="2138" spans="1:15" x14ac:dyDescent="0.25">
      <c r="A2138" s="89">
        <v>45629.833333333336</v>
      </c>
      <c r="B2138" s="94">
        <v>356.11</v>
      </c>
      <c r="C2138" s="94">
        <v>299.79201614987863</v>
      </c>
      <c r="D2138" s="94">
        <v>38.863110354736584</v>
      </c>
      <c r="E2138" s="94">
        <v>2.2455686125570624</v>
      </c>
      <c r="F2138" s="94">
        <v>3.3017573277278398</v>
      </c>
      <c r="G2138" s="94">
        <v>0</v>
      </c>
      <c r="H2138" s="94">
        <v>0.86310119628906257</v>
      </c>
      <c r="I2138" s="94">
        <v>0</v>
      </c>
      <c r="J2138" s="94">
        <v>544</v>
      </c>
      <c r="K2138" s="94">
        <v>1.6231868756096086</v>
      </c>
      <c r="L2138" s="94">
        <v>1</v>
      </c>
      <c r="M2138" s="94">
        <v>0</v>
      </c>
      <c r="N2138" s="94">
        <v>0</v>
      </c>
      <c r="O2138" s="94">
        <v>0</v>
      </c>
    </row>
    <row r="2139" spans="1:15" x14ac:dyDescent="0.25">
      <c r="A2139" s="89">
        <v>45630.333333333336</v>
      </c>
      <c r="B2139" s="94">
        <v>356.36</v>
      </c>
      <c r="C2139" s="94">
        <v>299.77058496319216</v>
      </c>
      <c r="D2139" s="94">
        <v>38.304195058002165</v>
      </c>
      <c r="E2139" s="94">
        <v>2.2408390116004333</v>
      </c>
      <c r="F2139" s="94">
        <v>3.297901431327543</v>
      </c>
      <c r="G2139" s="94">
        <v>0</v>
      </c>
      <c r="H2139" s="94">
        <v>0.9</v>
      </c>
      <c r="I2139" s="94">
        <v>0</v>
      </c>
      <c r="J2139" s="94">
        <v>509</v>
      </c>
      <c r="K2139" s="94">
        <v>1.5941585534965079</v>
      </c>
      <c r="L2139" s="94">
        <v>0</v>
      </c>
      <c r="M2139" s="94">
        <v>0</v>
      </c>
      <c r="N2139" s="94">
        <v>0</v>
      </c>
      <c r="O2139" s="94">
        <v>0</v>
      </c>
    </row>
    <row r="2140" spans="1:15" x14ac:dyDescent="0.25">
      <c r="A2140" s="89">
        <v>45630.833333333336</v>
      </c>
      <c r="B2140" s="94">
        <v>356.36</v>
      </c>
      <c r="C2140" s="94">
        <v>300.7907936265691</v>
      </c>
      <c r="D2140" s="94">
        <v>41.372000122070311</v>
      </c>
      <c r="E2140" s="94">
        <v>2.2635082041932546</v>
      </c>
      <c r="F2140" s="94">
        <v>47.689714268275672</v>
      </c>
      <c r="G2140" s="94">
        <v>2.370467325846354</v>
      </c>
      <c r="H2140" s="94">
        <v>82.407618401199471</v>
      </c>
      <c r="I2140" s="94">
        <v>15.710807286053027</v>
      </c>
      <c r="J2140" s="94">
        <v>3954</v>
      </c>
      <c r="K2140" s="94">
        <v>2.6565937087664331</v>
      </c>
      <c r="L2140" s="94">
        <v>1</v>
      </c>
      <c r="M2140" s="94">
        <v>0</v>
      </c>
      <c r="N2140" s="94">
        <v>0</v>
      </c>
      <c r="O2140" s="94">
        <v>0</v>
      </c>
    </row>
    <row r="2141" spans="1:15" x14ac:dyDescent="0.25">
      <c r="A2141" s="89">
        <v>45631.333333333336</v>
      </c>
      <c r="B2141" s="94">
        <v>356.48</v>
      </c>
      <c r="C2141" s="94">
        <v>300.8</v>
      </c>
      <c r="D2141" s="94">
        <v>42.5</v>
      </c>
      <c r="E2141" s="94">
        <v>2.2662694683653504</v>
      </c>
      <c r="F2141" s="94">
        <v>47.463302224296157</v>
      </c>
      <c r="G2141" s="94">
        <v>2.2571401977539063</v>
      </c>
      <c r="H2141" s="94">
        <v>81.754714998304905</v>
      </c>
      <c r="I2141" s="94">
        <v>15.565260407647724</v>
      </c>
      <c r="J2141" s="94">
        <v>3959</v>
      </c>
      <c r="K2141" s="94">
        <v>2.6568731578452489</v>
      </c>
      <c r="L2141" s="94">
        <v>0</v>
      </c>
      <c r="M2141" s="94">
        <v>0</v>
      </c>
      <c r="N2141" s="94">
        <v>0</v>
      </c>
      <c r="O2141" s="94">
        <v>0</v>
      </c>
    </row>
    <row r="2142" spans="1:15" x14ac:dyDescent="0.25">
      <c r="A2142" s="89">
        <v>45631.833333333336</v>
      </c>
      <c r="B2142" s="94">
        <v>356.48</v>
      </c>
      <c r="C2142" s="94">
        <v>301.31541255230235</v>
      </c>
      <c r="D2142" s="94">
        <v>93.094416148339391</v>
      </c>
      <c r="E2142" s="94">
        <v>6.922635739833904</v>
      </c>
      <c r="F2142" s="94">
        <v>91.635898705635128</v>
      </c>
      <c r="G2142" s="94">
        <v>6.7507761781586675</v>
      </c>
      <c r="H2142" s="94">
        <v>83.161769044226105</v>
      </c>
      <c r="I2142" s="94">
        <v>15.65294062998475</v>
      </c>
      <c r="J2142" s="94">
        <v>7127</v>
      </c>
      <c r="K2142" s="94">
        <v>3.1312359612775147</v>
      </c>
      <c r="L2142" s="94">
        <v>23</v>
      </c>
      <c r="M2142" s="94">
        <v>0</v>
      </c>
      <c r="N2142" s="94">
        <v>0</v>
      </c>
      <c r="O2142" s="94">
        <v>20</v>
      </c>
    </row>
    <row r="2143" spans="1:15" x14ac:dyDescent="0.25">
      <c r="A2143" s="89">
        <v>45632.333333333336</v>
      </c>
      <c r="B2143" s="94">
        <v>356.48</v>
      </c>
      <c r="C2143" s="94">
        <v>301.32</v>
      </c>
      <c r="D2143" s="94">
        <v>94</v>
      </c>
      <c r="E2143" s="94">
        <v>6.9762546408786088</v>
      </c>
      <c r="F2143" s="94">
        <v>91.689610863692778</v>
      </c>
      <c r="G2143" s="94">
        <v>6.7416645832093183</v>
      </c>
      <c r="H2143" s="94">
        <v>83.3</v>
      </c>
      <c r="I2143" s="94">
        <v>15.643469848632813</v>
      </c>
      <c r="J2143" s="94">
        <v>7103</v>
      </c>
      <c r="K2143" s="94">
        <v>3.1282536281768798</v>
      </c>
      <c r="L2143" s="94">
        <v>23</v>
      </c>
      <c r="M2143" s="94">
        <v>0</v>
      </c>
      <c r="N2143" s="94">
        <v>0</v>
      </c>
      <c r="O2143" s="94">
        <v>20</v>
      </c>
    </row>
    <row r="2144" spans="1:15" x14ac:dyDescent="0.25">
      <c r="A2144" s="89">
        <v>45632.833333333336</v>
      </c>
      <c r="B2144" s="94">
        <v>356.48</v>
      </c>
      <c r="C2144" s="94">
        <v>301.32</v>
      </c>
      <c r="D2144" s="94">
        <v>94.2</v>
      </c>
      <c r="E2144" s="94">
        <v>6.942894822235032</v>
      </c>
      <c r="F2144" s="94">
        <v>92.217895276265068</v>
      </c>
      <c r="G2144" s="94">
        <v>6.7872127251586054</v>
      </c>
      <c r="H2144" s="94">
        <v>83.06957157679966</v>
      </c>
      <c r="I2144" s="94">
        <v>15.746598994680591</v>
      </c>
      <c r="J2144" s="94">
        <v>7181</v>
      </c>
      <c r="K2144" s="94">
        <v>3.1379999999999999</v>
      </c>
      <c r="L2144" s="94">
        <v>24</v>
      </c>
      <c r="M2144" s="94">
        <v>0</v>
      </c>
      <c r="N2144" s="94">
        <v>0</v>
      </c>
      <c r="O2144" s="94">
        <v>20</v>
      </c>
    </row>
    <row r="2145" spans="1:15" x14ac:dyDescent="0.25">
      <c r="A2145" s="89">
        <v>45633.333333333336</v>
      </c>
      <c r="B2145" s="94">
        <v>356.48</v>
      </c>
      <c r="C2145" s="94">
        <v>301.32</v>
      </c>
      <c r="D2145" s="94">
        <v>94.204200236002606</v>
      </c>
      <c r="E2145" s="94">
        <v>6.9935114323878373</v>
      </c>
      <c r="F2145" s="94">
        <v>92.3</v>
      </c>
      <c r="G2145" s="94">
        <v>6.7574129933957918</v>
      </c>
      <c r="H2145" s="94">
        <v>83.52435445594547</v>
      </c>
      <c r="I2145" s="94">
        <v>15.720258217621813</v>
      </c>
      <c r="J2145" s="94">
        <v>7174</v>
      </c>
      <c r="K2145" s="94">
        <v>3.137</v>
      </c>
      <c r="L2145" s="94">
        <v>23</v>
      </c>
      <c r="M2145" s="94">
        <v>0</v>
      </c>
      <c r="N2145" s="94">
        <v>0</v>
      </c>
      <c r="O2145" s="94">
        <v>20</v>
      </c>
    </row>
    <row r="2146" spans="1:15" x14ac:dyDescent="0.25">
      <c r="A2146" s="89">
        <v>45633.833333333336</v>
      </c>
      <c r="B2146" s="94">
        <v>356.48</v>
      </c>
      <c r="C2146" s="94">
        <v>301.32</v>
      </c>
      <c r="D2146" s="94">
        <v>91.4</v>
      </c>
      <c r="E2146" s="94">
        <v>6.94</v>
      </c>
      <c r="F2146" s="94">
        <v>92.495433044433597</v>
      </c>
      <c r="G2146" s="94">
        <v>6.7919598388671876</v>
      </c>
      <c r="H2146" s="94">
        <v>82.781009808708632</v>
      </c>
      <c r="I2146" s="94">
        <v>15.587239830745279</v>
      </c>
      <c r="J2146" s="94">
        <v>7150</v>
      </c>
      <c r="K2146" s="94">
        <v>3.1349285408240801</v>
      </c>
      <c r="L2146" s="94">
        <v>24</v>
      </c>
      <c r="M2146" s="94">
        <v>0</v>
      </c>
      <c r="N2146" s="94">
        <v>0</v>
      </c>
      <c r="O2146" s="94">
        <v>20</v>
      </c>
    </row>
    <row r="2147" spans="1:15" x14ac:dyDescent="0.25">
      <c r="A2147" s="89">
        <v>45634.333333333336</v>
      </c>
      <c r="B2147" s="94">
        <v>356.48</v>
      </c>
      <c r="C2147" s="94">
        <v>301.32</v>
      </c>
      <c r="D2147" s="94">
        <v>93.14430000998756</v>
      </c>
      <c r="E2147" s="94">
        <v>6.967478470652904</v>
      </c>
      <c r="F2147" s="94">
        <v>92.2</v>
      </c>
      <c r="G2147" s="94">
        <v>6.8187100219726569</v>
      </c>
      <c r="H2147" s="94">
        <v>82.510250697512348</v>
      </c>
      <c r="I2147" s="94">
        <v>15.4752978515625</v>
      </c>
      <c r="J2147" s="94">
        <v>7181</v>
      </c>
      <c r="K2147" s="94">
        <v>3.1376018585718306</v>
      </c>
      <c r="L2147" s="94">
        <v>23</v>
      </c>
      <c r="M2147" s="94">
        <v>0</v>
      </c>
      <c r="N2147" s="94">
        <v>0</v>
      </c>
      <c r="O2147" s="94">
        <v>20</v>
      </c>
    </row>
    <row r="2148" spans="1:15" x14ac:dyDescent="0.25">
      <c r="A2148" s="89">
        <v>45634.833333333336</v>
      </c>
      <c r="B2148" s="94">
        <v>356.48</v>
      </c>
      <c r="C2148" s="94">
        <v>301.32</v>
      </c>
      <c r="D2148" s="94">
        <v>92.802011366155355</v>
      </c>
      <c r="E2148" s="94">
        <v>6.9564636212754491</v>
      </c>
      <c r="F2148" s="94">
        <v>90.692849472608557</v>
      </c>
      <c r="G2148" s="94">
        <v>6.8142285446302955</v>
      </c>
      <c r="H2148" s="94">
        <v>82.423604913098956</v>
      </c>
      <c r="I2148" s="94">
        <v>15.642421305370444</v>
      </c>
      <c r="J2148" s="94">
        <v>7174</v>
      </c>
      <c r="K2148" s="94">
        <v>3.135835191278872</v>
      </c>
      <c r="L2148" s="94">
        <v>24</v>
      </c>
      <c r="M2148" s="94">
        <v>0</v>
      </c>
      <c r="N2148" s="94">
        <v>0</v>
      </c>
      <c r="O2148" s="94">
        <v>20</v>
      </c>
    </row>
    <row r="2149" spans="1:15" x14ac:dyDescent="0.25">
      <c r="A2149" s="89">
        <v>45635.333333333336</v>
      </c>
      <c r="B2149" s="94">
        <v>356.7691668385026</v>
      </c>
      <c r="C2149" s="94">
        <v>301.31759846566854</v>
      </c>
      <c r="D2149" s="94">
        <v>92.663604107520669</v>
      </c>
      <c r="E2149" s="94">
        <v>6.9386644225117742</v>
      </c>
      <c r="F2149" s="94">
        <v>89.282676312134669</v>
      </c>
      <c r="G2149" s="94">
        <v>6.8227398681640627</v>
      </c>
      <c r="H2149" s="94">
        <v>82.769152999586794</v>
      </c>
      <c r="I2149" s="94">
        <v>15.570811614990234</v>
      </c>
      <c r="J2149" s="94">
        <v>7119</v>
      </c>
      <c r="K2149" s="94">
        <v>3.13</v>
      </c>
      <c r="L2149" s="94">
        <v>23.187351667729651</v>
      </c>
      <c r="M2149" s="94">
        <v>0</v>
      </c>
      <c r="N2149" s="94">
        <v>0</v>
      </c>
      <c r="O2149" s="94">
        <v>20</v>
      </c>
    </row>
    <row r="2150" spans="1:15" x14ac:dyDescent="0.25">
      <c r="A2150" s="89">
        <v>45635.833333333336</v>
      </c>
      <c r="B2150" s="94">
        <v>356.63</v>
      </c>
      <c r="C2150" s="94">
        <v>301.36</v>
      </c>
      <c r="D2150" s="94">
        <v>90.017357114481584</v>
      </c>
      <c r="E2150" s="94">
        <v>6.9672253929006907</v>
      </c>
      <c r="F2150" s="94">
        <v>3.3</v>
      </c>
      <c r="G2150" s="94">
        <v>0</v>
      </c>
      <c r="H2150" s="94">
        <v>82.553140831207585</v>
      </c>
      <c r="I2150" s="94">
        <v>15.538301435406698</v>
      </c>
      <c r="J2150" s="94">
        <v>7695</v>
      </c>
      <c r="K2150" s="94">
        <v>3.2014167203105699</v>
      </c>
      <c r="L2150" s="94">
        <v>36</v>
      </c>
      <c r="M2150" s="94">
        <v>0</v>
      </c>
      <c r="N2150" s="94">
        <v>37</v>
      </c>
      <c r="O2150" s="94">
        <v>36</v>
      </c>
    </row>
    <row r="2151" spans="1:15" x14ac:dyDescent="0.25">
      <c r="A2151" s="89">
        <v>45636.333333333336</v>
      </c>
      <c r="B2151" s="94">
        <v>356.63</v>
      </c>
      <c r="C2151" s="94">
        <v>301.35415583382394</v>
      </c>
      <c r="D2151" s="94">
        <v>91.275435901911166</v>
      </c>
      <c r="E2151" s="94">
        <v>6.95</v>
      </c>
      <c r="F2151" s="94">
        <v>3</v>
      </c>
      <c r="G2151" s="94">
        <v>0</v>
      </c>
      <c r="H2151" s="94">
        <v>83.652392307640781</v>
      </c>
      <c r="I2151" s="94">
        <v>15.684993551943769</v>
      </c>
      <c r="J2151" s="94">
        <v>7695</v>
      </c>
      <c r="K2151" s="94">
        <v>3.2015106491182896</v>
      </c>
      <c r="L2151" s="94">
        <v>35</v>
      </c>
      <c r="M2151" s="94">
        <v>0</v>
      </c>
      <c r="N2151" s="94">
        <v>37</v>
      </c>
      <c r="O2151" s="94">
        <v>36</v>
      </c>
    </row>
    <row r="2152" spans="1:15" x14ac:dyDescent="0.25">
      <c r="A2152" s="89">
        <v>45636.833333333336</v>
      </c>
      <c r="B2152" s="94">
        <v>356.63</v>
      </c>
      <c r="C2152" s="94">
        <v>301.53083326792358</v>
      </c>
      <c r="D2152" s="94">
        <v>91.542731261403645</v>
      </c>
      <c r="E2152" s="94">
        <v>6.9727527111654197</v>
      </c>
      <c r="F2152" s="94">
        <v>3.4</v>
      </c>
      <c r="G2152" s="94">
        <v>0</v>
      </c>
      <c r="H2152" s="94">
        <v>79.400000000000006</v>
      </c>
      <c r="I2152" s="94">
        <v>14.982371758499594</v>
      </c>
      <c r="J2152" s="94">
        <v>8800</v>
      </c>
      <c r="K2152" s="94">
        <v>3.331</v>
      </c>
      <c r="L2152" s="94">
        <v>53</v>
      </c>
      <c r="M2152" s="94">
        <v>0</v>
      </c>
      <c r="N2152" s="94">
        <v>51</v>
      </c>
      <c r="O2152" s="94">
        <v>51</v>
      </c>
    </row>
    <row r="2153" spans="1:15" x14ac:dyDescent="0.25">
      <c r="A2153" s="89">
        <v>45637.333333333336</v>
      </c>
      <c r="B2153" s="94">
        <v>356.63</v>
      </c>
      <c r="C2153" s="94">
        <v>301.5</v>
      </c>
      <c r="D2153" s="94">
        <v>90.818832547595662</v>
      </c>
      <c r="E2153" s="94">
        <v>6.94</v>
      </c>
      <c r="F2153" s="94">
        <v>3.2083111823549704</v>
      </c>
      <c r="G2153" s="94">
        <v>0</v>
      </c>
      <c r="H2153" s="94">
        <v>80.133741475705193</v>
      </c>
      <c r="I2153" s="94">
        <v>14.939205832718601</v>
      </c>
      <c r="J2153" s="94">
        <v>8773</v>
      </c>
      <c r="K2153" s="94">
        <v>3.3278358788001143</v>
      </c>
      <c r="L2153" s="94">
        <v>52.821990392270095</v>
      </c>
      <c r="M2153" s="94">
        <v>0</v>
      </c>
      <c r="N2153" s="94">
        <v>50.874807258738493</v>
      </c>
      <c r="O2153" s="94">
        <v>50</v>
      </c>
    </row>
    <row r="2154" spans="1:15" x14ac:dyDescent="0.25">
      <c r="A2154" s="89">
        <v>45637.833333333336</v>
      </c>
      <c r="B2154" s="94">
        <v>356.63</v>
      </c>
      <c r="C2154" s="94">
        <v>301.72000000000003</v>
      </c>
      <c r="D2154" s="94">
        <v>92</v>
      </c>
      <c r="E2154" s="94">
        <v>6.9139303588867191</v>
      </c>
      <c r="F2154" s="94">
        <v>3.6</v>
      </c>
      <c r="G2154" s="94">
        <v>0</v>
      </c>
      <c r="H2154" s="94">
        <v>80.200298127768221</v>
      </c>
      <c r="I2154" s="94">
        <v>14.823435787021147</v>
      </c>
      <c r="J2154" s="94">
        <v>10788</v>
      </c>
      <c r="K2154" s="94">
        <v>3.5425820792487377</v>
      </c>
      <c r="L2154" s="94">
        <v>56</v>
      </c>
      <c r="M2154" s="94">
        <v>56</v>
      </c>
      <c r="N2154" s="94">
        <v>56</v>
      </c>
      <c r="O2154" s="94">
        <v>56</v>
      </c>
    </row>
    <row r="2155" spans="1:15" x14ac:dyDescent="0.25">
      <c r="A2155" s="89">
        <v>45638.333333333336</v>
      </c>
      <c r="B2155" s="94">
        <v>356.63</v>
      </c>
      <c r="C2155" s="94">
        <v>301.76</v>
      </c>
      <c r="D2155" s="94">
        <v>92.7</v>
      </c>
      <c r="E2155" s="94">
        <v>6.9536287383700808</v>
      </c>
      <c r="F2155" s="94">
        <v>3.3</v>
      </c>
      <c r="G2155" s="94">
        <v>0</v>
      </c>
      <c r="H2155" s="94">
        <v>81.365478321659253</v>
      </c>
      <c r="I2155" s="94">
        <v>15.05732483364657</v>
      </c>
      <c r="J2155" s="94">
        <v>11130</v>
      </c>
      <c r="K2155" s="94">
        <v>3.5760000000000001</v>
      </c>
      <c r="L2155" s="94">
        <v>60</v>
      </c>
      <c r="M2155" s="94">
        <v>60.384571258604574</v>
      </c>
      <c r="N2155" s="94">
        <v>60</v>
      </c>
      <c r="O2155" s="94">
        <v>60</v>
      </c>
    </row>
    <row r="2156" spans="1:15" x14ac:dyDescent="0.25">
      <c r="A2156" s="89">
        <v>45638.833333333336</v>
      </c>
      <c r="B2156" s="94">
        <v>356.63</v>
      </c>
      <c r="C2156" s="94">
        <v>301.45999999999998</v>
      </c>
      <c r="D2156" s="94">
        <v>89.116815812134888</v>
      </c>
      <c r="E2156" s="94">
        <v>6.96</v>
      </c>
      <c r="F2156" s="94">
        <v>3.6974015349266924</v>
      </c>
      <c r="G2156" s="94">
        <v>0</v>
      </c>
      <c r="H2156" s="94">
        <v>80.219140915528115</v>
      </c>
      <c r="I2156" s="94">
        <v>15.020260730105392</v>
      </c>
      <c r="J2156" s="94">
        <v>8448</v>
      </c>
      <c r="K2156" s="94">
        <v>3.2909999999999999</v>
      </c>
      <c r="L2156" s="94">
        <v>35</v>
      </c>
      <c r="M2156" s="94">
        <v>35</v>
      </c>
      <c r="N2156" s="94">
        <v>35</v>
      </c>
      <c r="O2156" s="94">
        <v>35</v>
      </c>
    </row>
    <row r="2157" spans="1:15" x14ac:dyDescent="0.25">
      <c r="A2157" s="89">
        <v>45639.333333333336</v>
      </c>
      <c r="B2157" s="94">
        <v>356.63</v>
      </c>
      <c r="C2157" s="94">
        <v>301.45999999999998</v>
      </c>
      <c r="D2157" s="94">
        <v>91.3</v>
      </c>
      <c r="E2157" s="94">
        <v>6.9010169646392345</v>
      </c>
      <c r="F2157" s="94">
        <v>3.4559881800799581</v>
      </c>
      <c r="G2157" s="94">
        <v>0</v>
      </c>
      <c r="H2157" s="94">
        <v>81.262599182128909</v>
      </c>
      <c r="I2157" s="94">
        <v>15.049920654296875</v>
      </c>
      <c r="J2157" s="94">
        <v>8465</v>
      </c>
      <c r="K2157" s="94">
        <v>3.2930000000000001</v>
      </c>
      <c r="L2157" s="94">
        <v>35</v>
      </c>
      <c r="M2157" s="94">
        <v>35</v>
      </c>
      <c r="N2157" s="94">
        <v>35</v>
      </c>
      <c r="O2157" s="94">
        <v>35</v>
      </c>
    </row>
    <row r="2158" spans="1:15" x14ac:dyDescent="0.25">
      <c r="A2158" s="89">
        <v>45639.833333333336</v>
      </c>
      <c r="B2158" s="94">
        <v>356.63</v>
      </c>
      <c r="C2158" s="94">
        <v>301.45999999999998</v>
      </c>
      <c r="D2158" s="94">
        <v>91.460242143203587</v>
      </c>
      <c r="E2158" s="94">
        <v>6.9875231370955451</v>
      </c>
      <c r="F2158" s="94">
        <v>3.8897736493374815</v>
      </c>
      <c r="G2158" s="94">
        <v>0</v>
      </c>
      <c r="H2158" s="94">
        <v>80.2</v>
      </c>
      <c r="I2158" s="94">
        <v>14.891638669552757</v>
      </c>
      <c r="J2158" s="94">
        <v>8448</v>
      </c>
      <c r="K2158" s="94">
        <v>3.2909999999999999</v>
      </c>
      <c r="L2158" s="94">
        <v>35</v>
      </c>
      <c r="M2158" s="94">
        <v>35.046266752132695</v>
      </c>
      <c r="N2158" s="94">
        <v>35</v>
      </c>
      <c r="O2158" s="94">
        <v>35</v>
      </c>
    </row>
    <row r="2159" spans="1:15" x14ac:dyDescent="0.25">
      <c r="A2159" s="89">
        <v>45640.333333333336</v>
      </c>
      <c r="B2159" s="94">
        <v>356.63</v>
      </c>
      <c r="C2159" s="94">
        <v>301.45999999999998</v>
      </c>
      <c r="D2159" s="94">
        <v>92.603598131731957</v>
      </c>
      <c r="E2159" s="94">
        <v>6.91</v>
      </c>
      <c r="F2159" s="94">
        <v>3.5087850536523986</v>
      </c>
      <c r="G2159" s="94">
        <v>0</v>
      </c>
      <c r="H2159" s="94">
        <v>80.646943445336859</v>
      </c>
      <c r="I2159" s="94">
        <v>14.892019191936928</v>
      </c>
      <c r="J2159" s="94">
        <v>8439</v>
      </c>
      <c r="K2159" s="94">
        <v>3.2897565077293534</v>
      </c>
      <c r="L2159" s="94">
        <v>35</v>
      </c>
      <c r="M2159" s="94">
        <v>35</v>
      </c>
      <c r="N2159" s="94">
        <v>35</v>
      </c>
      <c r="O2159" s="94">
        <v>35</v>
      </c>
    </row>
    <row r="2160" spans="1:15" x14ac:dyDescent="0.25">
      <c r="A2160" s="89">
        <v>45640.833333333336</v>
      </c>
      <c r="B2160" s="94">
        <v>356.63</v>
      </c>
      <c r="C2160" s="94">
        <v>301.32</v>
      </c>
      <c r="D2160" s="94">
        <v>90.960546791511888</v>
      </c>
      <c r="E2160" s="94">
        <v>6.9363321415173065</v>
      </c>
      <c r="F2160" s="94">
        <v>3.8431503295898435</v>
      </c>
      <c r="G2160" s="94">
        <v>0</v>
      </c>
      <c r="H2160" s="94">
        <v>80.14403783541988</v>
      </c>
      <c r="I2160" s="94">
        <v>14.883121840281513</v>
      </c>
      <c r="J2160" s="94">
        <v>7388</v>
      </c>
      <c r="K2160" s="94">
        <v>3.1630745399601188</v>
      </c>
      <c r="L2160" s="94">
        <v>35</v>
      </c>
      <c r="M2160" s="94">
        <v>35</v>
      </c>
      <c r="N2160" s="94">
        <v>35</v>
      </c>
      <c r="O2160" s="94">
        <v>0</v>
      </c>
    </row>
    <row r="2161" spans="1:15" x14ac:dyDescent="0.25">
      <c r="A2161" s="89">
        <v>45641.333333333336</v>
      </c>
      <c r="B2161" s="94">
        <v>356.63</v>
      </c>
      <c r="C2161" s="94">
        <v>301.3347083166006</v>
      </c>
      <c r="D2161" s="94">
        <v>92.310841269366492</v>
      </c>
      <c r="E2161" s="94">
        <v>6.9482575491438956</v>
      </c>
      <c r="F2161" s="94">
        <v>3.5144863379636697</v>
      </c>
      <c r="G2161" s="94">
        <v>0</v>
      </c>
      <c r="H2161" s="94">
        <v>80.900000000000006</v>
      </c>
      <c r="I2161" s="94">
        <v>14.955386536685792</v>
      </c>
      <c r="J2161" s="94">
        <v>7524</v>
      </c>
      <c r="K2161" s="94">
        <v>3.1796804016800246</v>
      </c>
      <c r="L2161" s="94">
        <v>35</v>
      </c>
      <c r="M2161" s="94">
        <v>40</v>
      </c>
      <c r="N2161" s="94">
        <v>35</v>
      </c>
      <c r="O2161" s="94">
        <v>0</v>
      </c>
    </row>
    <row r="2162" spans="1:15" x14ac:dyDescent="0.25">
      <c r="A2162" s="89">
        <v>45641.833333333336</v>
      </c>
      <c r="B2162" s="94">
        <v>356.63</v>
      </c>
      <c r="C2162" s="94">
        <v>301.23</v>
      </c>
      <c r="D2162" s="94">
        <v>92.027701129539096</v>
      </c>
      <c r="E2162" s="94">
        <v>6.9423846800703313</v>
      </c>
      <c r="F2162" s="94">
        <v>3.952488543252711</v>
      </c>
      <c r="G2162" s="94">
        <v>0</v>
      </c>
      <c r="H2162" s="94">
        <v>79.830289811334978</v>
      </c>
      <c r="I2162" s="94">
        <v>14.894644160308797</v>
      </c>
      <c r="J2162" s="94">
        <v>6651</v>
      </c>
      <c r="K2162" s="94">
        <v>3.0687364621393116</v>
      </c>
      <c r="L2162" s="94">
        <v>41</v>
      </c>
      <c r="M2162" s="94">
        <v>44</v>
      </c>
      <c r="N2162" s="94">
        <v>0</v>
      </c>
      <c r="O2162" s="94">
        <v>0</v>
      </c>
    </row>
    <row r="2163" spans="1:15" x14ac:dyDescent="0.25">
      <c r="A2163" s="89">
        <v>45642.333333333336</v>
      </c>
      <c r="B2163" s="94">
        <v>356.65</v>
      </c>
      <c r="C2163" s="94">
        <v>301.23116444405605</v>
      </c>
      <c r="D2163" s="94">
        <v>93.732976450547298</v>
      </c>
      <c r="E2163" s="94">
        <v>6.9691885941441782</v>
      </c>
      <c r="F2163" s="94">
        <v>3.7920751093015501</v>
      </c>
      <c r="G2163" s="94">
        <v>0</v>
      </c>
      <c r="H2163" s="94">
        <v>80.731297456880924</v>
      </c>
      <c r="I2163" s="94">
        <v>15.03935203374602</v>
      </c>
      <c r="J2163" s="94">
        <v>6757</v>
      </c>
      <c r="K2163" s="94">
        <v>3.0832429244851518</v>
      </c>
      <c r="L2163" s="94">
        <v>44</v>
      </c>
      <c r="M2163" s="94">
        <v>43</v>
      </c>
      <c r="N2163" s="94">
        <v>0</v>
      </c>
      <c r="O2163" s="94">
        <v>0</v>
      </c>
    </row>
    <row r="2164" spans="1:15" x14ac:dyDescent="0.25">
      <c r="A2164" s="89">
        <v>45642.833333333336</v>
      </c>
      <c r="B2164" s="94">
        <v>356.65</v>
      </c>
      <c r="C2164" s="94">
        <v>301.23469946659162</v>
      </c>
      <c r="D2164" s="94">
        <v>93.565223310010154</v>
      </c>
      <c r="E2164" s="94">
        <v>6.9397391676604592</v>
      </c>
      <c r="F2164" s="94">
        <v>4.0999999999999996</v>
      </c>
      <c r="G2164" s="94">
        <v>0</v>
      </c>
      <c r="H2164" s="94">
        <v>80.340495426405639</v>
      </c>
      <c r="I2164" s="94">
        <v>14.98</v>
      </c>
      <c r="J2164" s="94">
        <v>6833</v>
      </c>
      <c r="K2164" s="94">
        <v>3.093</v>
      </c>
      <c r="L2164" s="94">
        <v>45</v>
      </c>
      <c r="M2164" s="94">
        <v>44</v>
      </c>
      <c r="N2164" s="94">
        <v>0</v>
      </c>
      <c r="O2164" s="94">
        <v>0</v>
      </c>
    </row>
    <row r="2165" spans="1:15" x14ac:dyDescent="0.25">
      <c r="A2165" s="89">
        <v>45643.333333333336</v>
      </c>
      <c r="B2165" s="94">
        <v>356.5</v>
      </c>
      <c r="C2165" s="94">
        <v>301.23103755360887</v>
      </c>
      <c r="D2165" s="94">
        <v>93.9</v>
      </c>
      <c r="E2165" s="94">
        <v>6.9353098505641961</v>
      </c>
      <c r="F2165" s="94">
        <v>3.9</v>
      </c>
      <c r="G2165" s="94">
        <v>0</v>
      </c>
      <c r="H2165" s="94">
        <v>80.816127291592679</v>
      </c>
      <c r="I2165" s="94">
        <v>14.914433812618329</v>
      </c>
      <c r="J2165" s="94">
        <v>6682</v>
      </c>
      <c r="K2165" s="94">
        <v>3.073</v>
      </c>
      <c r="L2165" s="94">
        <v>42</v>
      </c>
      <c r="M2165" s="94">
        <v>43</v>
      </c>
      <c r="N2165" s="94">
        <v>0</v>
      </c>
      <c r="O2165" s="94">
        <v>0</v>
      </c>
    </row>
    <row r="2166" spans="1:15" x14ac:dyDescent="0.25">
      <c r="A2166" s="89">
        <v>45643.833333333336</v>
      </c>
      <c r="B2166" s="94">
        <v>355.5</v>
      </c>
      <c r="C2166" s="94">
        <v>301.13570571586786</v>
      </c>
      <c r="D2166" s="94">
        <v>90.7</v>
      </c>
      <c r="E2166" s="94">
        <v>6.91</v>
      </c>
      <c r="F2166" s="94">
        <v>4.0999999999999996</v>
      </c>
      <c r="G2166" s="94">
        <v>0</v>
      </c>
      <c r="H2166" s="94">
        <v>80.114057818803559</v>
      </c>
      <c r="I2166" s="94">
        <v>14.82752197265625</v>
      </c>
      <c r="J2166" s="94">
        <v>6002</v>
      </c>
      <c r="K2166" s="94">
        <v>2.9788312744539449</v>
      </c>
      <c r="L2166" s="94">
        <v>30</v>
      </c>
      <c r="M2166" s="94">
        <v>30</v>
      </c>
      <c r="N2166" s="94">
        <v>0</v>
      </c>
      <c r="O2166" s="94">
        <v>0</v>
      </c>
    </row>
    <row r="2167" spans="1:15" x14ac:dyDescent="0.25">
      <c r="A2167" s="89">
        <v>45644.333333333336</v>
      </c>
      <c r="B2167" s="94">
        <v>355.47373892405056</v>
      </c>
      <c r="C2167" s="94">
        <v>301.13421965643084</v>
      </c>
      <c r="D2167" s="94">
        <v>93.456414287295061</v>
      </c>
      <c r="E2167" s="94">
        <v>6.9511486780027898</v>
      </c>
      <c r="F2167" s="94">
        <v>3.7773902528988099</v>
      </c>
      <c r="G2167" s="94">
        <v>0</v>
      </c>
      <c r="H2167" s="94">
        <v>81.073461796265207</v>
      </c>
      <c r="I2167" s="94">
        <v>14.87598681847288</v>
      </c>
      <c r="J2167" s="94">
        <v>5967</v>
      </c>
      <c r="K2167" s="94">
        <v>2.9762206109042744</v>
      </c>
      <c r="L2167" s="94">
        <v>29.68678813380399</v>
      </c>
      <c r="M2167" s="94">
        <v>29</v>
      </c>
      <c r="N2167" s="94">
        <v>0</v>
      </c>
      <c r="O2167" s="94">
        <v>0</v>
      </c>
    </row>
    <row r="2168" spans="1:15" x14ac:dyDescent="0.25">
      <c r="A2168" s="89">
        <v>45644.833333333336</v>
      </c>
      <c r="B2168" s="94">
        <v>355.47</v>
      </c>
      <c r="C2168" s="94">
        <v>301.17</v>
      </c>
      <c r="D2168" s="94">
        <v>64.986209926372879</v>
      </c>
      <c r="E2168" s="94">
        <v>4.2617251564915284</v>
      </c>
      <c r="F2168" s="94">
        <v>51.860451951546544</v>
      </c>
      <c r="G2168" s="94">
        <v>2.5439866982646584</v>
      </c>
      <c r="H2168" s="94">
        <v>81.003790715372901</v>
      </c>
      <c r="I2168" s="94">
        <v>14.89</v>
      </c>
      <c r="J2168" s="94">
        <v>6137</v>
      </c>
      <c r="K2168" s="94">
        <v>2.9993632021806631</v>
      </c>
      <c r="L2168" s="94">
        <v>30</v>
      </c>
      <c r="M2168" s="94">
        <v>30.904398654008258</v>
      </c>
      <c r="N2168" s="94">
        <v>0</v>
      </c>
      <c r="O2168" s="94">
        <v>0</v>
      </c>
    </row>
    <row r="2169" spans="1:15" x14ac:dyDescent="0.25">
      <c r="A2169" s="89">
        <v>45645.333333333336</v>
      </c>
      <c r="B2169" s="94">
        <v>355.47</v>
      </c>
      <c r="C2169" s="94">
        <v>301.12839452253814</v>
      </c>
      <c r="D2169" s="94">
        <v>94.8</v>
      </c>
      <c r="E2169" s="94">
        <v>6.9203817752857191</v>
      </c>
      <c r="F2169" s="94">
        <v>2.2320231624930158</v>
      </c>
      <c r="G2169" s="94">
        <v>0</v>
      </c>
      <c r="H2169" s="94">
        <v>81.599999999999994</v>
      </c>
      <c r="I2169" s="94">
        <v>14.9</v>
      </c>
      <c r="J2169" s="94">
        <v>5911</v>
      </c>
      <c r="K2169" s="94">
        <v>2.9670000000000001</v>
      </c>
      <c r="L2169" s="94">
        <v>30</v>
      </c>
      <c r="M2169" s="94">
        <v>28</v>
      </c>
      <c r="N2169" s="94">
        <v>0</v>
      </c>
      <c r="O2169" s="94">
        <v>0</v>
      </c>
    </row>
    <row r="2170" spans="1:15" x14ac:dyDescent="0.25">
      <c r="A2170" s="89">
        <v>45645.833333333336</v>
      </c>
      <c r="B2170" s="94">
        <v>355.47</v>
      </c>
      <c r="C2170" s="94">
        <v>301.05</v>
      </c>
      <c r="D2170" s="94">
        <v>92.895794016840867</v>
      </c>
      <c r="E2170" s="94">
        <v>6.9854554967280453</v>
      </c>
      <c r="F2170" s="94">
        <v>3.8243227646347568</v>
      </c>
      <c r="G2170" s="94">
        <v>0</v>
      </c>
      <c r="H2170" s="94">
        <v>81.3</v>
      </c>
      <c r="I2170" s="94">
        <v>15.018276560040135</v>
      </c>
      <c r="J2170" s="94">
        <v>5514</v>
      </c>
      <c r="K2170" s="94">
        <v>2.9089999999999998</v>
      </c>
      <c r="L2170" s="94">
        <v>41</v>
      </c>
      <c r="M2170" s="94">
        <v>0</v>
      </c>
      <c r="N2170" s="94">
        <v>0</v>
      </c>
      <c r="O2170" s="94">
        <v>0</v>
      </c>
    </row>
    <row r="2171" spans="1:15" x14ac:dyDescent="0.25">
      <c r="A2171" s="89">
        <v>45646.333333333336</v>
      </c>
      <c r="B2171" s="94">
        <v>355.47</v>
      </c>
      <c r="C2171" s="94">
        <v>301.05</v>
      </c>
      <c r="D2171" s="94">
        <v>92.9</v>
      </c>
      <c r="E2171" s="94">
        <v>6.9594799804687497</v>
      </c>
      <c r="F2171" s="94">
        <v>3.4391803348087242</v>
      </c>
      <c r="G2171" s="94">
        <v>0</v>
      </c>
      <c r="H2171" s="94">
        <v>81.599999999999994</v>
      </c>
      <c r="I2171" s="94">
        <v>14.884182808626859</v>
      </c>
      <c r="J2171" s="94">
        <v>5508</v>
      </c>
      <c r="K2171" s="94">
        <v>2.9075148940165363</v>
      </c>
      <c r="L2171" s="94">
        <v>40</v>
      </c>
      <c r="M2171" s="94">
        <v>0</v>
      </c>
      <c r="N2171" s="94">
        <v>0</v>
      </c>
      <c r="O2171" s="94">
        <v>0</v>
      </c>
    </row>
    <row r="2172" spans="1:15" x14ac:dyDescent="0.25">
      <c r="A2172" s="89">
        <v>45646.833333333336</v>
      </c>
      <c r="B2172" s="94">
        <v>355.47</v>
      </c>
      <c r="C2172" s="94">
        <v>301.05</v>
      </c>
      <c r="D2172" s="94">
        <v>94.2</v>
      </c>
      <c r="E2172" s="94">
        <v>6.9516826223575299</v>
      </c>
      <c r="F2172" s="94">
        <v>3.8884620011671229</v>
      </c>
      <c r="G2172" s="94">
        <v>0</v>
      </c>
      <c r="H2172" s="94">
        <v>81.2</v>
      </c>
      <c r="I2172" s="94">
        <v>14.785633355928292</v>
      </c>
      <c r="J2172" s="94">
        <v>5534</v>
      </c>
      <c r="K2172" s="94">
        <v>2.9119999999999999</v>
      </c>
      <c r="L2172" s="94">
        <v>41</v>
      </c>
      <c r="M2172" s="94">
        <v>0</v>
      </c>
      <c r="N2172" s="94">
        <v>0</v>
      </c>
      <c r="O2172" s="94">
        <v>0</v>
      </c>
    </row>
    <row r="2173" spans="1:15" x14ac:dyDescent="0.25">
      <c r="A2173" s="89">
        <v>45647.333333333336</v>
      </c>
      <c r="B2173" s="94">
        <v>355.47</v>
      </c>
      <c r="C2173" s="94">
        <v>301.05705666617513</v>
      </c>
      <c r="D2173" s="94">
        <v>92.570731054401094</v>
      </c>
      <c r="E2173" s="94">
        <v>6.9416352905423784</v>
      </c>
      <c r="F2173" s="94">
        <v>3.5005996537210908</v>
      </c>
      <c r="G2173" s="94">
        <v>0</v>
      </c>
      <c r="H2173" s="94">
        <v>81.950349526292015</v>
      </c>
      <c r="I2173" s="94">
        <v>14.941193858149456</v>
      </c>
      <c r="J2173" s="94">
        <v>5548</v>
      </c>
      <c r="K2173" s="94">
        <v>2.9140000000000001</v>
      </c>
      <c r="L2173" s="94">
        <v>40</v>
      </c>
      <c r="M2173" s="94">
        <v>0</v>
      </c>
      <c r="N2173" s="94">
        <v>0</v>
      </c>
      <c r="O2173" s="94">
        <v>0</v>
      </c>
    </row>
    <row r="2174" spans="1:15" x14ac:dyDescent="0.25">
      <c r="A2174" s="89">
        <v>45647.833333333336</v>
      </c>
      <c r="B2174" s="94">
        <v>355.47</v>
      </c>
      <c r="C2174" s="94">
        <v>300.97738497454139</v>
      </c>
      <c r="D2174" s="94">
        <v>95.047209726443768</v>
      </c>
      <c r="E2174" s="94">
        <v>6.9452790273556237</v>
      </c>
      <c r="F2174" s="94">
        <v>4</v>
      </c>
      <c r="G2174" s="94">
        <v>0</v>
      </c>
      <c r="H2174" s="94">
        <v>81.285125643923777</v>
      </c>
      <c r="I2174" s="94">
        <v>15.020699074709226</v>
      </c>
      <c r="J2174" s="94">
        <v>5021</v>
      </c>
      <c r="K2174" s="94">
        <v>2.8330000000000002</v>
      </c>
      <c r="L2174" s="94">
        <v>23.456196348264047</v>
      </c>
      <c r="M2174" s="94">
        <v>0</v>
      </c>
      <c r="N2174" s="94">
        <v>0</v>
      </c>
      <c r="O2174" s="94">
        <v>0</v>
      </c>
    </row>
    <row r="2175" spans="1:15" x14ac:dyDescent="0.25">
      <c r="A2175" s="89">
        <v>45648.333333333336</v>
      </c>
      <c r="B2175" s="94">
        <v>355.47</v>
      </c>
      <c r="C2175" s="94">
        <v>300.97765114045313</v>
      </c>
      <c r="D2175" s="94">
        <v>94.89798531568259</v>
      </c>
      <c r="E2175" s="94">
        <v>6.9787948465976575</v>
      </c>
      <c r="F2175" s="94">
        <v>3.6092913835157603</v>
      </c>
      <c r="G2175" s="94">
        <v>0</v>
      </c>
      <c r="H2175" s="94">
        <v>82.17822186400403</v>
      </c>
      <c r="I2175" s="94">
        <v>14.923466796874999</v>
      </c>
      <c r="J2175" s="94">
        <v>4996</v>
      </c>
      <c r="K2175" s="94">
        <v>2.8285161440757194</v>
      </c>
      <c r="L2175" s="94">
        <v>23</v>
      </c>
      <c r="M2175" s="94">
        <v>0</v>
      </c>
      <c r="N2175" s="94">
        <v>0</v>
      </c>
      <c r="O2175" s="94">
        <v>0</v>
      </c>
    </row>
    <row r="2176" spans="1:15" x14ac:dyDescent="0.25">
      <c r="A2176" s="89">
        <v>45648.833333333336</v>
      </c>
      <c r="B2176" s="94">
        <v>355.47</v>
      </c>
      <c r="C2176" s="94">
        <v>300.80322011825365</v>
      </c>
      <c r="D2176" s="94">
        <v>77.854598070739556</v>
      </c>
      <c r="E2176" s="94">
        <v>5.9354505061763936</v>
      </c>
      <c r="F2176" s="94">
        <v>4</v>
      </c>
      <c r="G2176" s="94">
        <v>0</v>
      </c>
      <c r="H2176" s="94">
        <v>81.098664744131185</v>
      </c>
      <c r="I2176" s="94">
        <v>14.947919733774997</v>
      </c>
      <c r="J2176" s="94">
        <v>3987</v>
      </c>
      <c r="K2176" s="94">
        <v>2.6624832730323487</v>
      </c>
      <c r="L2176" s="94">
        <v>1</v>
      </c>
      <c r="M2176" s="94">
        <v>0</v>
      </c>
      <c r="N2176" s="94">
        <v>0</v>
      </c>
      <c r="O2176" s="94">
        <v>0</v>
      </c>
    </row>
    <row r="2177" spans="1:15" x14ac:dyDescent="0.25">
      <c r="A2177" s="89">
        <v>45649.333333333336</v>
      </c>
      <c r="B2177" s="94">
        <v>354.97</v>
      </c>
      <c r="C2177" s="94">
        <v>300.80748965749547</v>
      </c>
      <c r="D2177" s="94">
        <v>79.081653187503363</v>
      </c>
      <c r="E2177" s="94">
        <v>5.95</v>
      </c>
      <c r="F2177" s="94">
        <v>3.5</v>
      </c>
      <c r="G2177" s="94">
        <v>0</v>
      </c>
      <c r="H2177" s="94">
        <v>81.676176923379614</v>
      </c>
      <c r="I2177" s="94">
        <v>14.914234088375006</v>
      </c>
      <c r="J2177" s="94">
        <v>4021</v>
      </c>
      <c r="K2177" s="94">
        <v>2.6680000000000001</v>
      </c>
      <c r="L2177" s="94">
        <v>0</v>
      </c>
      <c r="M2177" s="94">
        <v>0</v>
      </c>
      <c r="N2177" s="94">
        <v>0</v>
      </c>
      <c r="O2177" s="94">
        <v>0</v>
      </c>
    </row>
    <row r="2178" spans="1:15" x14ac:dyDescent="0.25">
      <c r="A2178" s="89">
        <v>45649.833333333336</v>
      </c>
      <c r="B2178" s="94">
        <v>354.97</v>
      </c>
      <c r="C2178" s="94">
        <v>300.97000000000003</v>
      </c>
      <c r="D2178" s="94">
        <v>48.831935716388664</v>
      </c>
      <c r="E2178" s="94">
        <v>2.6568064283611337</v>
      </c>
      <c r="F2178" s="94">
        <v>49.3</v>
      </c>
      <c r="G2178" s="94">
        <v>2.7039275719285936</v>
      </c>
      <c r="H2178" s="94">
        <v>82.5</v>
      </c>
      <c r="I2178" s="94">
        <v>14.893259289080447</v>
      </c>
      <c r="J2178" s="94">
        <v>4959</v>
      </c>
      <c r="K2178" s="94">
        <v>2.8231390642502032</v>
      </c>
      <c r="L2178" s="94">
        <v>1</v>
      </c>
      <c r="M2178" s="94">
        <v>0</v>
      </c>
      <c r="N2178" s="94">
        <v>24.4826196936007</v>
      </c>
      <c r="O2178" s="94">
        <v>0</v>
      </c>
    </row>
    <row r="2179" spans="1:15" x14ac:dyDescent="0.25">
      <c r="A2179" s="89">
        <v>45650.333333333336</v>
      </c>
      <c r="B2179" s="94">
        <v>354.97</v>
      </c>
      <c r="C2179" s="94">
        <v>300.97000000000003</v>
      </c>
      <c r="D2179" s="94">
        <v>50.645505470459518</v>
      </c>
      <c r="E2179" s="94">
        <v>2.6827886768789755</v>
      </c>
      <c r="F2179" s="94">
        <v>52</v>
      </c>
      <c r="G2179" s="94">
        <v>2.6794526517164416</v>
      </c>
      <c r="H2179" s="94">
        <v>82.935461198038126</v>
      </c>
      <c r="I2179" s="94">
        <v>14.883614959716798</v>
      </c>
      <c r="J2179" s="94">
        <v>4971</v>
      </c>
      <c r="K2179" s="94">
        <v>2.8250000000000002</v>
      </c>
      <c r="L2179" s="94">
        <v>0</v>
      </c>
      <c r="M2179" s="94">
        <v>0</v>
      </c>
      <c r="N2179" s="94">
        <v>24</v>
      </c>
      <c r="O2179" s="94">
        <v>0</v>
      </c>
    </row>
    <row r="2180" spans="1:15" x14ac:dyDescent="0.25">
      <c r="A2180" s="89">
        <v>45650.833333333336</v>
      </c>
      <c r="B2180" s="94">
        <v>354.97</v>
      </c>
      <c r="C2180" s="94">
        <v>300.9176107204778</v>
      </c>
      <c r="D2180" s="94">
        <v>49.6</v>
      </c>
      <c r="E2180" s="94">
        <v>2.6504396274447033</v>
      </c>
      <c r="F2180" s="94">
        <v>51.61149658531707</v>
      </c>
      <c r="G2180" s="94">
        <v>2.6896201335325141</v>
      </c>
      <c r="H2180" s="94">
        <v>82.174754818918544</v>
      </c>
      <c r="I2180" s="94">
        <v>14.959022698229173</v>
      </c>
      <c r="J2180" s="94">
        <v>4590</v>
      </c>
      <c r="K2180" s="94">
        <v>2.7649132899523865</v>
      </c>
      <c r="L2180" s="94">
        <v>1</v>
      </c>
      <c r="M2180" s="94">
        <v>0</v>
      </c>
      <c r="N2180" s="94">
        <v>12</v>
      </c>
      <c r="O2180" s="94">
        <v>0</v>
      </c>
    </row>
    <row r="2181" spans="1:15" x14ac:dyDescent="0.25">
      <c r="A2181" s="89">
        <v>45651.333333333336</v>
      </c>
      <c r="B2181" s="94">
        <v>354.97</v>
      </c>
      <c r="C2181" s="94">
        <v>300.91363179066769</v>
      </c>
      <c r="D2181" s="94">
        <v>49.1</v>
      </c>
      <c r="E2181" s="94">
        <v>2.6989185517617806</v>
      </c>
      <c r="F2181" s="94">
        <v>51.3</v>
      </c>
      <c r="G2181" s="94">
        <v>2.6887031735396238</v>
      </c>
      <c r="H2181" s="94">
        <v>82.739036096957037</v>
      </c>
      <c r="I2181" s="94">
        <v>14.89</v>
      </c>
      <c r="J2181" s="94">
        <v>4565</v>
      </c>
      <c r="K2181" s="94">
        <v>2.7601368505839399</v>
      </c>
      <c r="L2181" s="94">
        <v>0</v>
      </c>
      <c r="M2181" s="94">
        <v>0</v>
      </c>
      <c r="N2181" s="94">
        <v>12</v>
      </c>
      <c r="O2181" s="94">
        <v>0</v>
      </c>
    </row>
    <row r="2182" spans="1:15" x14ac:dyDescent="0.25">
      <c r="A2182" s="89">
        <v>45651.833333333336</v>
      </c>
      <c r="B2182" s="94">
        <v>354.97</v>
      </c>
      <c r="C2182" s="94">
        <v>300.91718316309397</v>
      </c>
      <c r="D2182" s="94">
        <v>50.013298759157905</v>
      </c>
      <c r="E2182" s="94">
        <v>2.7077060720465629</v>
      </c>
      <c r="F2182" s="94">
        <v>53.839482377173468</v>
      </c>
      <c r="G2182" s="94">
        <v>2.7058297694795033</v>
      </c>
      <c r="H2182" s="94">
        <v>81.940441438579896</v>
      </c>
      <c r="I2182" s="94">
        <v>14.843602667307461</v>
      </c>
      <c r="J2182" s="94">
        <v>4584</v>
      </c>
      <c r="K2182" s="94">
        <v>2.7632483724577122</v>
      </c>
      <c r="L2182" s="94">
        <v>1</v>
      </c>
      <c r="M2182" s="94">
        <v>0</v>
      </c>
      <c r="N2182" s="94">
        <v>11</v>
      </c>
      <c r="O2182" s="94">
        <v>0</v>
      </c>
    </row>
    <row r="2183" spans="1:15" x14ac:dyDescent="0.25">
      <c r="A2183" s="89">
        <v>45652.333333333336</v>
      </c>
      <c r="B2183" s="94">
        <v>354.97</v>
      </c>
      <c r="C2183" s="94">
        <v>300.92</v>
      </c>
      <c r="D2183" s="94">
        <v>49.8</v>
      </c>
      <c r="E2183" s="94">
        <v>2.6408731456251893</v>
      </c>
      <c r="F2183" s="94">
        <v>52.376521295551889</v>
      </c>
      <c r="G2183" s="94">
        <v>2.6956529803750944</v>
      </c>
      <c r="H2183" s="94">
        <v>82.678883153008471</v>
      </c>
      <c r="I2183" s="94">
        <v>14.811811516725218</v>
      </c>
      <c r="J2183" s="94">
        <v>4559</v>
      </c>
      <c r="K2183" s="94">
        <v>2.7589999999999999</v>
      </c>
      <c r="L2183" s="94">
        <v>0</v>
      </c>
      <c r="M2183" s="94">
        <v>0</v>
      </c>
      <c r="N2183" s="94">
        <v>11</v>
      </c>
      <c r="O2183" s="94">
        <v>0</v>
      </c>
    </row>
    <row r="2184" spans="1:15" x14ac:dyDescent="0.25">
      <c r="A2184" s="89">
        <v>45652.833333333336</v>
      </c>
      <c r="B2184" s="94">
        <v>354.47</v>
      </c>
      <c r="C2184" s="94">
        <v>300.61</v>
      </c>
      <c r="D2184" s="94">
        <v>38.5</v>
      </c>
      <c r="E2184" s="94">
        <v>1.9342001931123269</v>
      </c>
      <c r="F2184" s="94">
        <v>3.7992164090780034</v>
      </c>
      <c r="G2184" s="94">
        <v>0</v>
      </c>
      <c r="H2184" s="94">
        <v>75.017059134644313</v>
      </c>
      <c r="I2184" s="94">
        <v>13.391046938902614</v>
      </c>
      <c r="J2184" s="94">
        <v>3107</v>
      </c>
      <c r="K2184" s="94">
        <v>2.4940000000000002</v>
      </c>
      <c r="L2184" s="94">
        <v>1</v>
      </c>
      <c r="M2184" s="94">
        <v>0</v>
      </c>
      <c r="N2184" s="94">
        <v>0</v>
      </c>
      <c r="O2184" s="94">
        <v>0</v>
      </c>
    </row>
    <row r="2185" spans="1:15" x14ac:dyDescent="0.25">
      <c r="A2185" s="89">
        <v>45653.333333333336</v>
      </c>
      <c r="B2185" s="94">
        <v>354.47</v>
      </c>
      <c r="C2185" s="94">
        <v>300.61</v>
      </c>
      <c r="D2185" s="94">
        <v>39.5</v>
      </c>
      <c r="E2185" s="94">
        <v>1.9792684896904189</v>
      </c>
      <c r="F2185" s="94">
        <v>3.6073151030958117</v>
      </c>
      <c r="G2185" s="94">
        <v>0</v>
      </c>
      <c r="H2185" s="94">
        <v>75.796698960973814</v>
      </c>
      <c r="I2185" s="94">
        <v>13.433488813845504</v>
      </c>
      <c r="J2185" s="94">
        <v>3078</v>
      </c>
      <c r="K2185" s="94">
        <v>2.489620252176771</v>
      </c>
      <c r="L2185" s="94">
        <v>1</v>
      </c>
      <c r="M2185" s="94">
        <v>0</v>
      </c>
      <c r="N2185" s="94">
        <v>0</v>
      </c>
      <c r="O2185" s="94">
        <v>0</v>
      </c>
    </row>
    <row r="2186" spans="1:15" x14ac:dyDescent="0.25">
      <c r="A2186" s="89">
        <v>45653.833333333336</v>
      </c>
      <c r="B2186" s="94">
        <v>354.47</v>
      </c>
      <c r="C2186" s="94">
        <v>300.49074004566666</v>
      </c>
      <c r="D2186" s="94">
        <v>66.058811995151416</v>
      </c>
      <c r="E2186" s="94">
        <v>4.5763529566519603</v>
      </c>
      <c r="F2186" s="94">
        <v>3.8294916806594412</v>
      </c>
      <c r="G2186" s="94">
        <v>0</v>
      </c>
      <c r="H2186" s="94">
        <v>50.837126655815844</v>
      </c>
      <c r="I2186" s="94">
        <v>6.9542590332031251</v>
      </c>
      <c r="J2186" s="94">
        <v>2488</v>
      </c>
      <c r="K2186" s="94">
        <v>2.3554599562819525</v>
      </c>
      <c r="L2186" s="94">
        <v>1</v>
      </c>
      <c r="M2186" s="94">
        <v>0</v>
      </c>
      <c r="N2186" s="94">
        <v>0</v>
      </c>
      <c r="O2186" s="94">
        <v>0</v>
      </c>
    </row>
    <row r="2187" spans="1:15" x14ac:dyDescent="0.25">
      <c r="A2187" s="89">
        <v>45654.333333333336</v>
      </c>
      <c r="B2187" s="94">
        <v>354.47</v>
      </c>
      <c r="C2187" s="94">
        <v>300.49844923604172</v>
      </c>
      <c r="D2187" s="94">
        <v>66.798058081546415</v>
      </c>
      <c r="E2187" s="94">
        <v>4.5755342100170111</v>
      </c>
      <c r="F2187" s="94">
        <v>3.3447773998835677</v>
      </c>
      <c r="G2187" s="94">
        <v>0</v>
      </c>
      <c r="H2187" s="94">
        <v>51.89449054436767</v>
      </c>
      <c r="I2187" s="94">
        <v>7.0592797851562503</v>
      </c>
      <c r="J2187" s="94">
        <v>2488</v>
      </c>
      <c r="K2187" s="94">
        <v>2.3556729596517201</v>
      </c>
      <c r="L2187" s="94">
        <v>0</v>
      </c>
      <c r="M2187" s="94">
        <v>0</v>
      </c>
      <c r="N2187" s="94">
        <v>0</v>
      </c>
      <c r="O2187" s="94">
        <v>0</v>
      </c>
    </row>
    <row r="2188" spans="1:15" x14ac:dyDescent="0.25">
      <c r="A2188" s="89">
        <v>45654.833333333336</v>
      </c>
      <c r="B2188" s="94">
        <v>354.47</v>
      </c>
      <c r="C2188" s="94">
        <v>300.4938245744807</v>
      </c>
      <c r="D2188" s="94">
        <v>67.476306033029999</v>
      </c>
      <c r="E2188" s="94">
        <v>4.5884805297851567</v>
      </c>
      <c r="F2188" s="94">
        <v>3.7634849745992551</v>
      </c>
      <c r="G2188" s="94">
        <v>0</v>
      </c>
      <c r="H2188" s="94">
        <v>51.4</v>
      </c>
      <c r="I2188" s="94">
        <v>7.0425901794433594</v>
      </c>
      <c r="J2188" s="94">
        <v>2488</v>
      </c>
      <c r="K2188" s="94">
        <v>2.3559999999999999</v>
      </c>
      <c r="L2188" s="94">
        <v>1</v>
      </c>
      <c r="M2188" s="94">
        <v>0</v>
      </c>
      <c r="N2188" s="94">
        <v>0</v>
      </c>
      <c r="O2188" s="94">
        <v>0</v>
      </c>
    </row>
    <row r="2189" spans="1:15" x14ac:dyDescent="0.25">
      <c r="A2189" s="89">
        <v>45655.333333333336</v>
      </c>
      <c r="B2189" s="94">
        <v>354.47</v>
      </c>
      <c r="C2189" s="94">
        <v>300.49661132732018</v>
      </c>
      <c r="D2189" s="94">
        <v>68.591133117675781</v>
      </c>
      <c r="E2189" s="94">
        <v>4.6236366823676462</v>
      </c>
      <c r="F2189" s="94">
        <v>3.3</v>
      </c>
      <c r="G2189" s="94">
        <v>0</v>
      </c>
      <c r="H2189" s="94">
        <v>51.816198555036124</v>
      </c>
      <c r="I2189" s="94">
        <v>6.9700311279296878</v>
      </c>
      <c r="J2189" s="94">
        <v>2479</v>
      </c>
      <c r="K2189" s="94">
        <v>2.3559999999999999</v>
      </c>
      <c r="L2189" s="94">
        <v>0</v>
      </c>
      <c r="M2189" s="94">
        <v>0</v>
      </c>
      <c r="N2189" s="94">
        <v>0</v>
      </c>
      <c r="O2189" s="94">
        <v>0</v>
      </c>
    </row>
    <row r="2190" spans="1:15" x14ac:dyDescent="0.25">
      <c r="A2190" s="89">
        <v>45655.833333333336</v>
      </c>
      <c r="B2190" s="94">
        <v>354.47</v>
      </c>
      <c r="C2190" s="94">
        <v>300.49</v>
      </c>
      <c r="D2190" s="94">
        <v>68</v>
      </c>
      <c r="E2190" s="94">
        <v>4.5785185185185187</v>
      </c>
      <c r="F2190" s="94">
        <v>3.7247035318139501</v>
      </c>
      <c r="G2190" s="94">
        <v>0</v>
      </c>
      <c r="H2190" s="94">
        <v>51.2</v>
      </c>
      <c r="I2190" s="94">
        <v>7.0367344727380186</v>
      </c>
      <c r="J2190" s="94">
        <v>2488</v>
      </c>
      <c r="K2190" s="94">
        <v>2.3559999999999999</v>
      </c>
      <c r="L2190" s="94">
        <v>1</v>
      </c>
      <c r="M2190" s="94">
        <v>0</v>
      </c>
      <c r="N2190" s="94">
        <v>0</v>
      </c>
      <c r="O2190" s="94">
        <v>0</v>
      </c>
    </row>
    <row r="2191" spans="1:15" x14ac:dyDescent="0.25">
      <c r="A2191" s="89">
        <v>45656.333333333336</v>
      </c>
      <c r="B2191" s="94">
        <v>354.22</v>
      </c>
      <c r="C2191" s="94">
        <v>300.5</v>
      </c>
      <c r="D2191" s="94">
        <v>68.925890150192842</v>
      </c>
      <c r="E2191" s="94">
        <v>4.6107502746582032</v>
      </c>
      <c r="F2191" s="94">
        <v>3.5</v>
      </c>
      <c r="G2191" s="94">
        <v>0</v>
      </c>
      <c r="H2191" s="94">
        <v>51.7</v>
      </c>
      <c r="I2191" s="94">
        <v>7.0070929441592975</v>
      </c>
      <c r="J2191" s="94">
        <v>2475</v>
      </c>
      <c r="K2191" s="94">
        <v>2.3530000000000002</v>
      </c>
      <c r="L2191" s="94">
        <v>0</v>
      </c>
      <c r="M2191" s="94">
        <v>0</v>
      </c>
      <c r="N2191" s="94">
        <v>0</v>
      </c>
      <c r="O2191" s="94">
        <v>0</v>
      </c>
    </row>
    <row r="2192" spans="1:15" x14ac:dyDescent="0.25">
      <c r="A2192" s="89">
        <v>45656.833333333336</v>
      </c>
      <c r="B2192" s="94">
        <v>354.22</v>
      </c>
      <c r="C2192" s="94">
        <v>300.86104303533153</v>
      </c>
      <c r="D2192" s="94">
        <v>63.63131363311232</v>
      </c>
      <c r="E2192" s="94">
        <v>4.0142817990578052</v>
      </c>
      <c r="F2192" s="94">
        <v>45.352250030279336</v>
      </c>
      <c r="G2192" s="94">
        <v>1.9665467153396159</v>
      </c>
      <c r="H2192" s="94">
        <v>83.5</v>
      </c>
      <c r="I2192" s="94">
        <v>14.982750289284889</v>
      </c>
      <c r="J2192" s="94">
        <v>4329</v>
      </c>
      <c r="K2192" s="94">
        <v>2.7210000000000001</v>
      </c>
      <c r="L2192" s="94">
        <v>1</v>
      </c>
      <c r="M2192" s="94">
        <v>0</v>
      </c>
      <c r="N2192" s="94">
        <v>0</v>
      </c>
      <c r="O2192" s="94">
        <v>0</v>
      </c>
    </row>
    <row r="2193" spans="1:15" x14ac:dyDescent="0.25">
      <c r="A2193" s="89">
        <v>45657.333333333336</v>
      </c>
      <c r="B2193" s="94">
        <v>354.2176741032464</v>
      </c>
      <c r="C2193" s="94">
        <v>300.88</v>
      </c>
      <c r="D2193" s="94">
        <v>63.6</v>
      </c>
      <c r="E2193" s="94">
        <v>4.0960441556626845</v>
      </c>
      <c r="F2193" s="94">
        <v>45.230932617187499</v>
      </c>
      <c r="G2193" s="94">
        <v>1.9789753303567401</v>
      </c>
      <c r="H2193" s="94">
        <v>83.874045532248203</v>
      </c>
      <c r="I2193" s="94">
        <v>14.898860977383908</v>
      </c>
      <c r="J2193" s="94">
        <v>4759</v>
      </c>
      <c r="K2193" s="94">
        <v>2.7909999999999999</v>
      </c>
      <c r="L2193" s="94">
        <v>0</v>
      </c>
      <c r="M2193" s="94">
        <v>0</v>
      </c>
      <c r="N2193" s="94">
        <v>0</v>
      </c>
      <c r="O2193" s="94">
        <v>0</v>
      </c>
    </row>
    <row r="2194" spans="1:15" x14ac:dyDescent="0.25">
      <c r="A2194" s="89">
        <v>45657.833333333336</v>
      </c>
      <c r="B2194" s="94">
        <v>354.12</v>
      </c>
      <c r="C2194" s="94">
        <v>301.00352445164157</v>
      </c>
      <c r="D2194" s="94">
        <v>94.61195529432203</v>
      </c>
      <c r="E2194" s="94">
        <v>6.748804470567797</v>
      </c>
      <c r="F2194" s="94">
        <v>48.214842032063451</v>
      </c>
      <c r="G2194" s="94">
        <v>2.7072173419658148</v>
      </c>
      <c r="H2194" s="94">
        <v>83.6</v>
      </c>
      <c r="I2194" s="94">
        <v>14.779612906093062</v>
      </c>
      <c r="J2194" s="94">
        <v>5021</v>
      </c>
      <c r="K2194" s="94">
        <v>2.8330000000000002</v>
      </c>
      <c r="L2194" s="94">
        <v>1</v>
      </c>
      <c r="M2194" s="94">
        <v>0</v>
      </c>
      <c r="N2194" s="94">
        <v>0</v>
      </c>
      <c r="O2194" s="94">
        <v>0</v>
      </c>
    </row>
    <row r="2195" spans="1:15" x14ac:dyDescent="0.25">
      <c r="A2195" s="89">
        <v>45658.333333333336</v>
      </c>
      <c r="B2195" s="94">
        <v>354.12</v>
      </c>
      <c r="C2195" s="94">
        <v>300.93</v>
      </c>
      <c r="D2195" s="94">
        <v>2.1024983994390416</v>
      </c>
      <c r="E2195" s="94">
        <v>0</v>
      </c>
      <c r="F2195" s="94">
        <v>46.942189212701173</v>
      </c>
      <c r="G2195" s="94">
        <v>2.6806594411670557</v>
      </c>
      <c r="H2195" s="94">
        <v>83.838140065541936</v>
      </c>
      <c r="I2195" s="94">
        <v>14.914756025060592</v>
      </c>
      <c r="J2195" s="94">
        <v>4878</v>
      </c>
      <c r="K2195" s="94">
        <v>2.81</v>
      </c>
      <c r="L2195" s="94">
        <v>43</v>
      </c>
      <c r="M2195" s="94">
        <v>0</v>
      </c>
      <c r="N2195" s="94">
        <v>0</v>
      </c>
      <c r="O2195" s="94">
        <v>0</v>
      </c>
    </row>
    <row r="2196" spans="1:15" x14ac:dyDescent="0.25">
      <c r="A2196" s="89">
        <v>45658.833333333336</v>
      </c>
      <c r="B2196" s="94">
        <v>354.12</v>
      </c>
      <c r="C2196" s="94">
        <v>301.12801723169906</v>
      </c>
      <c r="D2196" s="94">
        <v>2.3514984467320459</v>
      </c>
      <c r="E2196" s="94">
        <v>0</v>
      </c>
      <c r="F2196" s="94">
        <v>48.649237442116657</v>
      </c>
      <c r="G2196" s="94">
        <v>2.6618292465712758</v>
      </c>
      <c r="H2196" s="94">
        <v>85.2</v>
      </c>
      <c r="I2196" s="94">
        <v>14.98903584924931</v>
      </c>
      <c r="J2196" s="94">
        <v>6173</v>
      </c>
      <c r="K2196" s="94">
        <v>3.0051506974208557</v>
      </c>
      <c r="L2196" s="94">
        <v>47</v>
      </c>
      <c r="M2196" s="94">
        <v>0</v>
      </c>
      <c r="N2196" s="94">
        <v>40</v>
      </c>
      <c r="O2196" s="94">
        <v>0</v>
      </c>
    </row>
    <row r="2197" spans="1:15" x14ac:dyDescent="0.25">
      <c r="A2197" s="89">
        <v>45659.333333333336</v>
      </c>
      <c r="B2197" s="94">
        <v>354.12</v>
      </c>
      <c r="C2197" s="94">
        <v>301.09848273681661</v>
      </c>
      <c r="D2197" s="94">
        <v>2.2733858290324664</v>
      </c>
      <c r="E2197" s="94">
        <v>0</v>
      </c>
      <c r="F2197" s="94">
        <v>50.40159800883832</v>
      </c>
      <c r="G2197" s="94">
        <v>2.6312014663204519</v>
      </c>
      <c r="H2197" s="94">
        <v>85.67594533513325</v>
      </c>
      <c r="I2197" s="94">
        <v>14.894519348144531</v>
      </c>
      <c r="J2197" s="94">
        <v>5981</v>
      </c>
      <c r="K2197" s="94">
        <v>2.9769999999999999</v>
      </c>
      <c r="L2197" s="94">
        <v>46</v>
      </c>
      <c r="M2197" s="94">
        <v>0</v>
      </c>
      <c r="N2197" s="94">
        <v>33</v>
      </c>
      <c r="O2197" s="94">
        <v>0</v>
      </c>
    </row>
    <row r="2198" spans="1:15" x14ac:dyDescent="0.25">
      <c r="A2198" s="89">
        <v>45659.833333333336</v>
      </c>
      <c r="B2198" s="94">
        <v>353.86</v>
      </c>
      <c r="C2198" s="94">
        <v>300.99410627537895</v>
      </c>
      <c r="D2198" s="94">
        <v>93.197526987322377</v>
      </c>
      <c r="E2198" s="94">
        <v>6.7498679671126878</v>
      </c>
      <c r="F2198" s="94">
        <v>3.7856256987474652</v>
      </c>
      <c r="G2198" s="94">
        <v>0</v>
      </c>
      <c r="H2198" s="94">
        <v>82.044102945381752</v>
      </c>
      <c r="I2198" s="94">
        <v>14.508612883309322</v>
      </c>
      <c r="J2198" s="94">
        <v>5084</v>
      </c>
      <c r="K2198" s="94">
        <v>2.843</v>
      </c>
      <c r="L2198" s="94">
        <v>29</v>
      </c>
      <c r="M2198" s="94">
        <v>0</v>
      </c>
      <c r="N2198" s="94">
        <v>0</v>
      </c>
      <c r="O2198" s="94">
        <v>0</v>
      </c>
    </row>
    <row r="2199" spans="1:15" x14ac:dyDescent="0.25">
      <c r="A2199" s="89">
        <v>45660.333333333336</v>
      </c>
      <c r="B2199" s="94">
        <v>353.86</v>
      </c>
      <c r="C2199" s="94">
        <v>300.99836826946392</v>
      </c>
      <c r="D2199" s="94">
        <v>93.76403318209006</v>
      </c>
      <c r="E2199" s="94">
        <v>6.7554889772697342</v>
      </c>
      <c r="F2199" s="94">
        <v>3.5751020516946221</v>
      </c>
      <c r="G2199" s="94">
        <v>0</v>
      </c>
      <c r="H2199" s="94">
        <v>82.232626740411945</v>
      </c>
      <c r="I2199" s="94">
        <v>14.448389949238578</v>
      </c>
      <c r="J2199" s="94">
        <v>5110</v>
      </c>
      <c r="K2199" s="94">
        <v>2.847</v>
      </c>
      <c r="L2199" s="94">
        <v>29</v>
      </c>
      <c r="M2199" s="94">
        <v>0</v>
      </c>
      <c r="N2199" s="94">
        <v>0</v>
      </c>
      <c r="O2199" s="94">
        <v>0</v>
      </c>
    </row>
    <row r="2200" spans="1:15" x14ac:dyDescent="0.25">
      <c r="A2200" s="89">
        <v>45660.833333333336</v>
      </c>
      <c r="B2200" s="94">
        <v>353.86</v>
      </c>
      <c r="C2200" s="94">
        <v>301.14</v>
      </c>
      <c r="D2200" s="94">
        <v>96.192573022773573</v>
      </c>
      <c r="E2200" s="94">
        <v>6.7507452709866769</v>
      </c>
      <c r="F2200" s="94">
        <v>3.9171104539044075</v>
      </c>
      <c r="G2200" s="94">
        <v>0</v>
      </c>
      <c r="H2200" s="94">
        <v>81.864396328095665</v>
      </c>
      <c r="I2200" s="94">
        <v>14.367427371315106</v>
      </c>
      <c r="J2200" s="94">
        <v>6030</v>
      </c>
      <c r="K2200" s="94">
        <v>2.9842533902931767</v>
      </c>
      <c r="L2200" s="94">
        <v>29</v>
      </c>
      <c r="M2200" s="94">
        <v>33</v>
      </c>
      <c r="N2200" s="94">
        <v>0</v>
      </c>
      <c r="O2200" s="94">
        <v>0</v>
      </c>
    </row>
    <row r="2201" spans="1:15" x14ac:dyDescent="0.25">
      <c r="A2201" s="89">
        <v>45661.333333333336</v>
      </c>
      <c r="B2201" s="94">
        <v>353.86</v>
      </c>
      <c r="C2201" s="94">
        <v>301.14</v>
      </c>
      <c r="D2201" s="94">
        <v>93.864496742321606</v>
      </c>
      <c r="E2201" s="94">
        <v>6.76</v>
      </c>
      <c r="F2201" s="94">
        <v>3.7009672183695175</v>
      </c>
      <c r="G2201" s="94">
        <v>0</v>
      </c>
      <c r="H2201" s="94">
        <v>82.436201337912067</v>
      </c>
      <c r="I2201" s="94">
        <v>14.358841258420275</v>
      </c>
      <c r="J2201" s="94">
        <v>40</v>
      </c>
      <c r="K2201" s="94">
        <v>2.9870000000000001</v>
      </c>
      <c r="L2201" s="94">
        <v>29</v>
      </c>
      <c r="M2201" s="94">
        <v>33</v>
      </c>
      <c r="N2201" s="94">
        <v>0</v>
      </c>
      <c r="O2201" s="94">
        <v>0</v>
      </c>
    </row>
    <row r="2202" spans="1:15" x14ac:dyDescent="0.25">
      <c r="A2202" s="89">
        <v>45661.833333333336</v>
      </c>
      <c r="B2202" s="94">
        <v>353.86</v>
      </c>
      <c r="C2202" s="94">
        <v>301.0869041461479</v>
      </c>
      <c r="D2202" s="94">
        <v>96.024299621582031</v>
      </c>
      <c r="E2202" s="94">
        <v>6.7483811121276815</v>
      </c>
      <c r="F2202" s="94">
        <v>3.9498998941436314</v>
      </c>
      <c r="G2202" s="94">
        <v>0</v>
      </c>
      <c r="H2202" s="94">
        <v>82.423016806095831</v>
      </c>
      <c r="I2202" s="94">
        <v>14.458399047087738</v>
      </c>
      <c r="J2202" s="94">
        <v>2185.3195760039339</v>
      </c>
      <c r="K2202" s="94">
        <v>2.9350000000000001</v>
      </c>
      <c r="L2202" s="94">
        <v>48</v>
      </c>
      <c r="M2202" s="94">
        <v>0</v>
      </c>
      <c r="N2202" s="94">
        <v>0</v>
      </c>
      <c r="O2202" s="94">
        <v>0</v>
      </c>
    </row>
    <row r="2203" spans="1:15" x14ac:dyDescent="0.25">
      <c r="A2203" s="89">
        <v>45662.333333333336</v>
      </c>
      <c r="B2203" s="94">
        <v>353.86</v>
      </c>
      <c r="C2203" s="94">
        <v>301.05</v>
      </c>
      <c r="D2203" s="94">
        <v>93.14886084555242</v>
      </c>
      <c r="E2203" s="94">
        <v>6.75</v>
      </c>
      <c r="F2203" s="94">
        <v>3.8083182257674641</v>
      </c>
      <c r="G2203" s="94">
        <v>0</v>
      </c>
      <c r="H2203" s="94">
        <v>83.1</v>
      </c>
      <c r="I2203" s="94">
        <v>14.436579589843749</v>
      </c>
      <c r="J2203" s="94">
        <v>2336.6506104265463</v>
      </c>
      <c r="K2203" s="94">
        <v>2.8969999999999998</v>
      </c>
      <c r="L2203" s="94">
        <v>40</v>
      </c>
      <c r="M2203" s="94">
        <v>0</v>
      </c>
      <c r="N2203" s="94">
        <v>0</v>
      </c>
      <c r="O2203" s="94">
        <v>0</v>
      </c>
    </row>
    <row r="2204" spans="1:15" x14ac:dyDescent="0.25">
      <c r="A2204" s="89">
        <v>45662.833333333336</v>
      </c>
      <c r="B2204" s="94">
        <v>353.86</v>
      </c>
      <c r="C2204" s="94">
        <v>300.86</v>
      </c>
      <c r="D2204" s="94">
        <v>93.598334941839781</v>
      </c>
      <c r="E2204" s="94">
        <v>6.7301250457763677</v>
      </c>
      <c r="F2204" s="94">
        <v>4.0888782584492089</v>
      </c>
      <c r="G2204" s="94">
        <v>0</v>
      </c>
      <c r="H2204" s="94">
        <v>82.241122929411063</v>
      </c>
      <c r="I2204" s="94">
        <v>14.381400764844628</v>
      </c>
      <c r="J2204" s="94">
        <v>4195.1192197163546</v>
      </c>
      <c r="K2204" s="94">
        <v>2.8969999999999998</v>
      </c>
      <c r="L2204" s="94">
        <v>40</v>
      </c>
      <c r="M2204" s="94">
        <v>0</v>
      </c>
      <c r="N2204" s="94">
        <v>0</v>
      </c>
      <c r="O2204" s="94">
        <v>0</v>
      </c>
    </row>
    <row r="2205" spans="1:15" x14ac:dyDescent="0.25">
      <c r="A2205" s="89">
        <v>45663.333333333336</v>
      </c>
      <c r="B2205" s="94">
        <v>353.86</v>
      </c>
      <c r="C2205" s="94">
        <v>300.86</v>
      </c>
      <c r="D2205" s="94">
        <v>94.757293461804124</v>
      </c>
      <c r="E2205" s="94">
        <v>6.7323524056039394</v>
      </c>
      <c r="F2205" s="94">
        <v>3.9</v>
      </c>
      <c r="G2205" s="94">
        <v>0</v>
      </c>
      <c r="H2205" s="94">
        <v>82.606231778425652</v>
      </c>
      <c r="I2205" s="94">
        <v>14.460623177842566</v>
      </c>
      <c r="J2205" s="94">
        <v>3680.3368579838734</v>
      </c>
      <c r="K2205" s="94">
        <v>2.8969999999999998</v>
      </c>
      <c r="L2205" s="94">
        <v>40</v>
      </c>
      <c r="M2205" s="94">
        <v>0</v>
      </c>
      <c r="N2205" s="94">
        <v>0</v>
      </c>
      <c r="O2205" s="94">
        <v>0</v>
      </c>
    </row>
    <row r="2206" spans="1:15" x14ac:dyDescent="0.25">
      <c r="A2206" s="89">
        <v>45663.833333333336</v>
      </c>
      <c r="B2206" s="94">
        <v>353.86</v>
      </c>
      <c r="C2206" s="94">
        <v>300.71677753422819</v>
      </c>
      <c r="D2206" s="94">
        <v>56.591696042312989</v>
      </c>
      <c r="E2206" s="94">
        <v>3.4835281706291568</v>
      </c>
      <c r="F2206" s="94">
        <v>4.0544102132864461</v>
      </c>
      <c r="G2206" s="94">
        <v>0</v>
      </c>
      <c r="H2206" s="94">
        <v>79.599999999999994</v>
      </c>
      <c r="I2206" s="94">
        <v>13.957685860338026</v>
      </c>
      <c r="J2206" s="94">
        <v>3557</v>
      </c>
      <c r="K2206" s="94">
        <v>2.5830000000000002</v>
      </c>
      <c r="L2206" s="94">
        <v>1</v>
      </c>
      <c r="M2206" s="94">
        <v>0</v>
      </c>
      <c r="N2206" s="94">
        <v>0</v>
      </c>
      <c r="O2206" s="94">
        <v>0</v>
      </c>
    </row>
    <row r="2207" spans="1:15" x14ac:dyDescent="0.25">
      <c r="A2207" s="89">
        <v>45664.333333333336</v>
      </c>
      <c r="B2207" s="94">
        <v>353.86</v>
      </c>
      <c r="C2207" s="94">
        <v>300.71016641569969</v>
      </c>
      <c r="D2207" s="94">
        <v>58.4</v>
      </c>
      <c r="E2207" s="94">
        <v>3.4373684210526316</v>
      </c>
      <c r="F2207" s="94">
        <v>3.8</v>
      </c>
      <c r="G2207" s="94">
        <v>0</v>
      </c>
      <c r="H2207" s="94">
        <v>80</v>
      </c>
      <c r="I2207" s="94">
        <v>13.78352602469884</v>
      </c>
      <c r="J2207" s="94">
        <v>3515</v>
      </c>
      <c r="K2207" s="94">
        <v>2.5750000000000002</v>
      </c>
      <c r="L2207" s="94">
        <v>0</v>
      </c>
      <c r="M2207" s="94">
        <v>0</v>
      </c>
      <c r="N2207" s="94">
        <v>0</v>
      </c>
      <c r="O2207" s="94">
        <v>0</v>
      </c>
    </row>
    <row r="2208" spans="1:15" x14ac:dyDescent="0.25">
      <c r="A2208" s="89">
        <v>45664.833333333336</v>
      </c>
      <c r="B2208" s="94">
        <v>353.86</v>
      </c>
      <c r="C2208" s="94">
        <v>300.62</v>
      </c>
      <c r="D2208" s="94">
        <v>47.2</v>
      </c>
      <c r="E2208" s="94">
        <v>2.4994077203951788</v>
      </c>
      <c r="F2208" s="94">
        <v>3.8</v>
      </c>
      <c r="G2208" s="94">
        <v>0</v>
      </c>
      <c r="H2208" s="94">
        <v>74.3</v>
      </c>
      <c r="I2208" s="94">
        <v>12.513231480987477</v>
      </c>
      <c r="J2208" s="94">
        <v>3064</v>
      </c>
      <c r="K2208" s="94">
        <v>2.4860000000000002</v>
      </c>
      <c r="L2208" s="94">
        <v>1</v>
      </c>
      <c r="M2208" s="94">
        <v>0</v>
      </c>
      <c r="N2208" s="94">
        <v>0</v>
      </c>
      <c r="O2208" s="94">
        <v>0</v>
      </c>
    </row>
    <row r="2209" spans="1:15" x14ac:dyDescent="0.25">
      <c r="A2209" s="89">
        <v>45665.333333333336</v>
      </c>
      <c r="B2209" s="94">
        <v>353.86</v>
      </c>
      <c r="C2209" s="94">
        <v>300.62</v>
      </c>
      <c r="D2209" s="94">
        <v>44.39396101682609</v>
      </c>
      <c r="E2209" s="94">
        <v>2.4656331718789373</v>
      </c>
      <c r="F2209" s="94">
        <v>3.5340431302463169</v>
      </c>
      <c r="G2209" s="94">
        <v>0</v>
      </c>
      <c r="H2209" s="94">
        <v>74.8</v>
      </c>
      <c r="I2209" s="94">
        <v>12.461661187214611</v>
      </c>
      <c r="J2209" s="94">
        <v>1633.2615236328222</v>
      </c>
      <c r="K2209" s="94">
        <v>2.4845012987532855</v>
      </c>
      <c r="L2209" s="94">
        <v>0</v>
      </c>
      <c r="M2209" s="94">
        <v>0</v>
      </c>
      <c r="N2209" s="94">
        <v>0</v>
      </c>
      <c r="O2209" s="94">
        <v>0</v>
      </c>
    </row>
    <row r="2210" spans="1:15" x14ac:dyDescent="0.25">
      <c r="A2210" s="89">
        <v>45665.833333333336</v>
      </c>
      <c r="B2210" s="94">
        <v>353.86</v>
      </c>
      <c r="C2210" s="94">
        <v>300.72763414786345</v>
      </c>
      <c r="D2210" s="94">
        <v>58.9</v>
      </c>
      <c r="E2210" s="94">
        <v>3.5552600097656248</v>
      </c>
      <c r="F2210" s="94">
        <v>3.7</v>
      </c>
      <c r="G2210" s="94">
        <v>0</v>
      </c>
      <c r="H2210" s="94">
        <v>80.329748853097442</v>
      </c>
      <c r="I2210" s="94">
        <v>13.929280509740556</v>
      </c>
      <c r="J2210" s="94">
        <v>1514.6490537819009</v>
      </c>
      <c r="K2210" s="94">
        <v>2.585</v>
      </c>
      <c r="L2210" s="94">
        <v>1</v>
      </c>
      <c r="M2210" s="94">
        <v>0</v>
      </c>
      <c r="N2210" s="94">
        <v>0</v>
      </c>
      <c r="O2210" s="94">
        <v>0</v>
      </c>
    </row>
    <row r="2211" spans="1:15" x14ac:dyDescent="0.25">
      <c r="A2211" s="89">
        <v>45666.333333333336</v>
      </c>
      <c r="B2211" s="94">
        <v>353.86</v>
      </c>
      <c r="C2211" s="94">
        <v>300.72906615677181</v>
      </c>
      <c r="D2211" s="94">
        <v>57.7</v>
      </c>
      <c r="E2211" s="94">
        <v>3.5094547842521702</v>
      </c>
      <c r="F2211" s="94">
        <v>3.5</v>
      </c>
      <c r="G2211" s="94">
        <v>0</v>
      </c>
      <c r="H2211" s="94">
        <v>81.489205182366533</v>
      </c>
      <c r="I2211" s="94">
        <v>13.658917819738551</v>
      </c>
      <c r="J2211" s="94">
        <v>418.49029079922684</v>
      </c>
      <c r="K2211" s="94">
        <v>2.5771621365483584</v>
      </c>
      <c r="L2211" s="94">
        <v>1</v>
      </c>
      <c r="M2211" s="94">
        <v>0</v>
      </c>
      <c r="N2211" s="94">
        <v>0</v>
      </c>
      <c r="O2211" s="94">
        <v>0</v>
      </c>
    </row>
    <row r="2212" spans="1:15" x14ac:dyDescent="0.25">
      <c r="A2212" s="89">
        <v>45666.833333333336</v>
      </c>
      <c r="B2212" s="94">
        <v>353.86</v>
      </c>
      <c r="C2212" s="94">
        <v>300.72000000000003</v>
      </c>
      <c r="D2212" s="94">
        <v>58.294224919102561</v>
      </c>
      <c r="E2212" s="94">
        <v>3.5251787359225029</v>
      </c>
      <c r="F2212" s="94">
        <v>3.8</v>
      </c>
      <c r="G2212" s="94">
        <v>0</v>
      </c>
      <c r="H2212" s="94">
        <v>80.400000000000006</v>
      </c>
      <c r="I2212" s="94">
        <v>13.8914459049545</v>
      </c>
      <c r="J2212" s="94">
        <v>871.37403145641792</v>
      </c>
      <c r="K2212" s="94">
        <v>2.5775217323762112</v>
      </c>
      <c r="L2212" s="94">
        <v>1</v>
      </c>
      <c r="M2212" s="94">
        <v>0</v>
      </c>
      <c r="N2212" s="94">
        <v>0</v>
      </c>
      <c r="O2212" s="94">
        <v>0</v>
      </c>
    </row>
    <row r="2213" spans="1:15" x14ac:dyDescent="0.25">
      <c r="A2213" s="89">
        <v>45667.333333333336</v>
      </c>
      <c r="B2213" s="94">
        <v>353.86</v>
      </c>
      <c r="C2213" s="94">
        <v>300.72957951412252</v>
      </c>
      <c r="D2213" s="94">
        <v>60.297235532249253</v>
      </c>
      <c r="E2213" s="94">
        <v>3.4598383743765457</v>
      </c>
      <c r="F2213" s="94">
        <v>3.6</v>
      </c>
      <c r="G2213" s="94">
        <v>0</v>
      </c>
      <c r="H2213" s="94">
        <v>81.113381023288682</v>
      </c>
      <c r="I2213" s="94">
        <v>14.043213176918485</v>
      </c>
      <c r="J2213" s="94">
        <v>1023.200433629488</v>
      </c>
      <c r="K2213" s="94">
        <v>2.5812319775672874</v>
      </c>
      <c r="L2213" s="94">
        <v>1</v>
      </c>
      <c r="M2213" s="94">
        <v>0</v>
      </c>
      <c r="N2213" s="94">
        <v>0</v>
      </c>
      <c r="O2213" s="94">
        <v>0</v>
      </c>
    </row>
    <row r="2214" spans="1:15" x14ac:dyDescent="0.25">
      <c r="A2214" s="89">
        <v>45667.833333333336</v>
      </c>
      <c r="B2214" s="94">
        <v>353.86</v>
      </c>
      <c r="C2214" s="94">
        <v>300.73</v>
      </c>
      <c r="D2214" s="94">
        <v>60.7</v>
      </c>
      <c r="E2214" s="94">
        <v>3.447670741796121</v>
      </c>
      <c r="F2214" s="94">
        <v>3.7093410229618313</v>
      </c>
      <c r="G2214" s="94">
        <v>0</v>
      </c>
      <c r="H2214" s="94">
        <v>80.87654465907643</v>
      </c>
      <c r="I2214" s="94">
        <v>13.921898574080497</v>
      </c>
      <c r="J2214" s="94">
        <v>3525</v>
      </c>
      <c r="K2214" s="94">
        <v>2.5780260373065076</v>
      </c>
      <c r="L2214" s="94">
        <v>1</v>
      </c>
      <c r="M2214" s="94">
        <v>0</v>
      </c>
      <c r="N2214" s="94">
        <v>0</v>
      </c>
      <c r="O2214" s="94">
        <v>0</v>
      </c>
    </row>
    <row r="2215" spans="1:15" x14ac:dyDescent="0.25">
      <c r="A2215" s="89">
        <v>45668.333333333336</v>
      </c>
      <c r="B2215" s="94">
        <v>353.86</v>
      </c>
      <c r="C2215" s="94">
        <v>300.73862288251047</v>
      </c>
      <c r="D2215" s="94">
        <v>60.836870193312059</v>
      </c>
      <c r="E2215" s="94">
        <v>3.5540932642487046</v>
      </c>
      <c r="F2215" s="94">
        <v>3.5118134715025908</v>
      </c>
      <c r="G2215" s="94">
        <v>0</v>
      </c>
      <c r="H2215" s="94">
        <v>81.419688610848596</v>
      </c>
      <c r="I2215" s="94">
        <v>14.107334607445914</v>
      </c>
      <c r="J2215" s="94">
        <v>3536</v>
      </c>
      <c r="K2215" s="94">
        <v>2.5794015206495904</v>
      </c>
      <c r="L2215" s="94">
        <v>0.67317399501307551</v>
      </c>
      <c r="M2215" s="94">
        <v>0</v>
      </c>
      <c r="N2215" s="94">
        <v>0</v>
      </c>
      <c r="O2215" s="94">
        <v>0</v>
      </c>
    </row>
    <row r="2216" spans="1:15" x14ac:dyDescent="0.25">
      <c r="A2216" s="89">
        <v>45668.833333333336</v>
      </c>
      <c r="B2216" s="94">
        <v>353.86</v>
      </c>
      <c r="C2216" s="94">
        <v>300.61</v>
      </c>
      <c r="D2216" s="94">
        <v>49.432163669317717</v>
      </c>
      <c r="E2216" s="94">
        <v>2.6798394775390624</v>
      </c>
      <c r="F2216" s="94">
        <v>3.7491973876953124</v>
      </c>
      <c r="G2216" s="94">
        <v>0</v>
      </c>
      <c r="H2216" s="94">
        <v>72.924609329436265</v>
      </c>
      <c r="I2216" s="94">
        <v>11.965783378746595</v>
      </c>
      <c r="J2216" s="94">
        <v>3078</v>
      </c>
      <c r="K2216" s="94">
        <v>2.488</v>
      </c>
      <c r="L2216" s="94">
        <v>1</v>
      </c>
      <c r="M2216" s="94">
        <v>0</v>
      </c>
      <c r="N2216" s="94">
        <v>0</v>
      </c>
      <c r="O2216" s="94">
        <v>0</v>
      </c>
    </row>
    <row r="2217" spans="1:15" x14ac:dyDescent="0.25">
      <c r="A2217" s="89">
        <v>45669.333333333336</v>
      </c>
      <c r="B2217" s="94">
        <v>353.86</v>
      </c>
      <c r="C2217" s="94">
        <v>300.61</v>
      </c>
      <c r="D2217" s="94">
        <v>48</v>
      </c>
      <c r="E2217" s="94">
        <v>2.6689215039333298</v>
      </c>
      <c r="F2217" s="94">
        <v>3.5</v>
      </c>
      <c r="G2217" s="94">
        <v>0</v>
      </c>
      <c r="H2217" s="94">
        <v>73.16817323353952</v>
      </c>
      <c r="I2217" s="94">
        <v>11.860410416984879</v>
      </c>
      <c r="J2217" s="94">
        <v>3054</v>
      </c>
      <c r="K2217" s="94">
        <v>2.4827197838917359</v>
      </c>
      <c r="L2217" s="94">
        <v>0.47354337263360891</v>
      </c>
      <c r="M2217" s="94">
        <v>0</v>
      </c>
      <c r="N2217" s="94">
        <v>0</v>
      </c>
      <c r="O2217" s="94">
        <v>0</v>
      </c>
    </row>
    <row r="2218" spans="1:15" x14ac:dyDescent="0.25">
      <c r="A2218" s="89">
        <v>45669.833333333336</v>
      </c>
      <c r="B2218" s="94">
        <v>353.86</v>
      </c>
      <c r="C2218" s="94">
        <v>300.61078682766765</v>
      </c>
      <c r="D2218" s="94">
        <v>49.688172718442011</v>
      </c>
      <c r="E2218" s="94">
        <v>2.6335246956020315</v>
      </c>
      <c r="F2218" s="94">
        <v>3.9</v>
      </c>
      <c r="G2218" s="94">
        <v>0</v>
      </c>
      <c r="H2218" s="94">
        <v>72.8</v>
      </c>
      <c r="I2218" s="94">
        <v>11.838133084604902</v>
      </c>
      <c r="J2218" s="94">
        <v>3054</v>
      </c>
      <c r="K2218" s="94">
        <v>2.4827200489628614</v>
      </c>
      <c r="L2218" s="94">
        <v>1</v>
      </c>
      <c r="M2218" s="94">
        <v>0</v>
      </c>
      <c r="N2218" s="94">
        <v>0</v>
      </c>
      <c r="O2218" s="94">
        <v>0</v>
      </c>
    </row>
    <row r="2219" spans="1:15" x14ac:dyDescent="0.25">
      <c r="A2219" s="89">
        <v>45670.333333333336</v>
      </c>
      <c r="B2219" s="94">
        <v>353.86</v>
      </c>
      <c r="C2219" s="94">
        <v>300.59588665111806</v>
      </c>
      <c r="D2219" s="94">
        <v>40.988452249026793</v>
      </c>
      <c r="E2219" s="94">
        <v>2.2178282358999621</v>
      </c>
      <c r="F2219" s="94">
        <v>3.5</v>
      </c>
      <c r="G2219" s="94">
        <v>0</v>
      </c>
      <c r="H2219" s="94">
        <v>73.3</v>
      </c>
      <c r="I2219" s="94">
        <v>11.938481043135425</v>
      </c>
      <c r="J2219" s="94">
        <v>3059</v>
      </c>
      <c r="K2219" s="94">
        <v>2.484</v>
      </c>
      <c r="L2219" s="94">
        <v>1</v>
      </c>
      <c r="M2219" s="94">
        <v>0</v>
      </c>
      <c r="N2219" s="94">
        <v>0</v>
      </c>
      <c r="O2219" s="94">
        <v>0</v>
      </c>
    </row>
    <row r="2220" spans="1:15" x14ac:dyDescent="0.25">
      <c r="A2220" s="89">
        <v>45670.833333333336</v>
      </c>
      <c r="B2220" s="94">
        <v>353.86</v>
      </c>
      <c r="C2220" s="94">
        <v>300.56</v>
      </c>
      <c r="D2220" s="94">
        <v>1.9</v>
      </c>
      <c r="E2220" s="94">
        <v>0</v>
      </c>
      <c r="F2220" s="94">
        <v>3.6106757314450793</v>
      </c>
      <c r="G2220" s="94">
        <v>0</v>
      </c>
      <c r="H2220" s="94">
        <v>86.816544368378842</v>
      </c>
      <c r="I2220" s="94">
        <v>14.94</v>
      </c>
      <c r="J2220" s="94">
        <v>2936</v>
      </c>
      <c r="K2220" s="94">
        <v>2.4586638453730525</v>
      </c>
      <c r="L2220" s="94">
        <v>1</v>
      </c>
      <c r="M2220" s="94">
        <v>0</v>
      </c>
      <c r="N2220" s="94">
        <v>0</v>
      </c>
      <c r="O2220" s="94">
        <v>0</v>
      </c>
    </row>
    <row r="2221" spans="1:15" x14ac:dyDescent="0.25">
      <c r="A2221" s="89">
        <v>45671.333333333336</v>
      </c>
      <c r="B2221" s="94">
        <v>353.86</v>
      </c>
      <c r="C2221" s="94">
        <v>300.56</v>
      </c>
      <c r="D2221" s="94">
        <v>1.8535003662109375</v>
      </c>
      <c r="E2221" s="94">
        <v>0</v>
      </c>
      <c r="F2221" s="94">
        <v>3.657749938964844</v>
      </c>
      <c r="G2221" s="94">
        <v>0</v>
      </c>
      <c r="H2221" s="94">
        <v>87</v>
      </c>
      <c r="I2221" s="94">
        <v>14.768402487481351</v>
      </c>
      <c r="J2221" s="94">
        <v>2940</v>
      </c>
      <c r="K2221" s="94">
        <v>2.4590000000000001</v>
      </c>
      <c r="L2221" s="94">
        <v>0</v>
      </c>
      <c r="M2221" s="94">
        <v>0</v>
      </c>
      <c r="N2221" s="94">
        <v>0</v>
      </c>
      <c r="O2221" s="94">
        <v>0</v>
      </c>
    </row>
    <row r="2222" spans="1:15" x14ac:dyDescent="0.25">
      <c r="A2222" s="89">
        <v>45671.833333333336</v>
      </c>
      <c r="B2222" s="94">
        <v>353.86</v>
      </c>
      <c r="C2222" s="94">
        <v>300.68</v>
      </c>
      <c r="D2222" s="94">
        <v>43.356595365937366</v>
      </c>
      <c r="E2222" s="94">
        <v>1.9614735781413872</v>
      </c>
      <c r="F2222" s="94">
        <v>3.9</v>
      </c>
      <c r="G2222" s="94">
        <v>0</v>
      </c>
      <c r="H2222" s="94">
        <v>87.224657862045092</v>
      </c>
      <c r="I2222" s="94">
        <v>14.921540452111838</v>
      </c>
      <c r="J2222" s="94">
        <v>3530</v>
      </c>
      <c r="K2222" s="94">
        <v>2.5779999999999998</v>
      </c>
      <c r="L2222" s="94">
        <v>1</v>
      </c>
      <c r="M2222" s="94">
        <v>0</v>
      </c>
      <c r="N2222" s="94">
        <v>0</v>
      </c>
      <c r="O2222" s="94">
        <v>0</v>
      </c>
    </row>
    <row r="2223" spans="1:15" x14ac:dyDescent="0.25">
      <c r="A2223" s="89">
        <v>45672.333333333336</v>
      </c>
      <c r="B2223" s="94">
        <v>353.86</v>
      </c>
      <c r="C2223" s="94">
        <v>300.68</v>
      </c>
      <c r="D2223" s="94">
        <v>41.145025158633707</v>
      </c>
      <c r="E2223" s="94">
        <v>1.9330103523270987</v>
      </c>
      <c r="F2223" s="94">
        <v>3.8</v>
      </c>
      <c r="G2223" s="94">
        <v>0</v>
      </c>
      <c r="H2223" s="94">
        <v>87.998009427429452</v>
      </c>
      <c r="I2223" s="94">
        <v>14.95699077120862</v>
      </c>
      <c r="J2223" s="94">
        <v>3472</v>
      </c>
      <c r="K2223" s="94">
        <v>2.5675163847622473</v>
      </c>
      <c r="L2223" s="94">
        <v>1</v>
      </c>
      <c r="M2223" s="94">
        <v>0</v>
      </c>
      <c r="N2223" s="94">
        <v>0</v>
      </c>
      <c r="O2223" s="94">
        <v>0</v>
      </c>
    </row>
    <row r="2224" spans="1:15" x14ac:dyDescent="0.25">
      <c r="A2224" s="89">
        <v>45672.833333333336</v>
      </c>
      <c r="B2224" s="94">
        <v>353.86</v>
      </c>
      <c r="C2224" s="94">
        <v>300.67906805637051</v>
      </c>
      <c r="D2224" s="94">
        <v>43.5</v>
      </c>
      <c r="E2224" s="94">
        <v>1.9943242376337433</v>
      </c>
      <c r="F2224" s="94">
        <v>3.757452508488786</v>
      </c>
      <c r="G2224" s="94">
        <v>0</v>
      </c>
      <c r="H2224" s="94">
        <v>87.936323757171635</v>
      </c>
      <c r="I2224" s="94">
        <v>14.965057995856688</v>
      </c>
      <c r="J2224" s="94">
        <v>3535.9775452219324</v>
      </c>
      <c r="K2224" s="94">
        <v>2.5788631244405797</v>
      </c>
      <c r="L2224" s="94">
        <v>0</v>
      </c>
      <c r="M2224" s="94">
        <v>0</v>
      </c>
      <c r="N2224" s="94">
        <v>0</v>
      </c>
      <c r="O2224" s="94">
        <v>0</v>
      </c>
    </row>
    <row r="2225" spans="1:15" x14ac:dyDescent="0.25">
      <c r="A2225" s="89">
        <v>45673.333333333336</v>
      </c>
      <c r="B2225" s="94">
        <v>353.86</v>
      </c>
      <c r="C2225" s="94">
        <v>300.67733073815288</v>
      </c>
      <c r="D2225" s="94">
        <v>41.9</v>
      </c>
      <c r="E2225" s="94">
        <v>1.9529800415039063</v>
      </c>
      <c r="F2225" s="94">
        <v>3.5</v>
      </c>
      <c r="G2225" s="94">
        <v>0</v>
      </c>
      <c r="H2225" s="94">
        <v>87.749708402893717</v>
      </c>
      <c r="I2225" s="94">
        <v>14.868660278320313</v>
      </c>
      <c r="J2225" s="94">
        <v>3535.9042100916477</v>
      </c>
      <c r="K2225" s="94">
        <v>2.5788571847090109</v>
      </c>
      <c r="L2225" s="94">
        <v>0</v>
      </c>
      <c r="M2225" s="94">
        <v>0</v>
      </c>
      <c r="N2225" s="94">
        <v>0</v>
      </c>
      <c r="O2225" s="94">
        <v>0</v>
      </c>
    </row>
    <row r="2226" spans="1:15" x14ac:dyDescent="0.25">
      <c r="A2226" s="89">
        <v>45673.833333333336</v>
      </c>
      <c r="B2226" s="94">
        <v>353.86</v>
      </c>
      <c r="C2226" s="94">
        <v>300.67031636823697</v>
      </c>
      <c r="D2226" s="94">
        <v>42.6</v>
      </c>
      <c r="E2226" s="94">
        <v>1.9468827774860478</v>
      </c>
      <c r="F2226" s="94">
        <v>3.3592898892230947</v>
      </c>
      <c r="G2226" s="94">
        <v>0</v>
      </c>
      <c r="H2226" s="94">
        <v>87.835331744526869</v>
      </c>
      <c r="I2226" s="94">
        <v>14.982611096729658</v>
      </c>
      <c r="J2226" s="94">
        <v>3499.0559621082534</v>
      </c>
      <c r="K2226" s="94">
        <v>2.5717087459850299</v>
      </c>
      <c r="L2226" s="94">
        <v>0</v>
      </c>
      <c r="M2226" s="94">
        <v>0</v>
      </c>
      <c r="N2226" s="94">
        <v>0</v>
      </c>
      <c r="O2226" s="94">
        <v>0</v>
      </c>
    </row>
    <row r="2227" spans="1:15" x14ac:dyDescent="0.25">
      <c r="A2227" s="89">
        <v>45674.333333333336</v>
      </c>
      <c r="B2227" s="94">
        <v>353.86</v>
      </c>
      <c r="C2227" s="94">
        <v>300.67495357213772</v>
      </c>
      <c r="D2227" s="94">
        <v>41.244092772179044</v>
      </c>
      <c r="E2227" s="94">
        <v>1.9841555768966936</v>
      </c>
      <c r="F2227" s="94">
        <v>3</v>
      </c>
      <c r="G2227" s="94">
        <v>0</v>
      </c>
      <c r="H2227" s="94">
        <v>88.286600221379146</v>
      </c>
      <c r="I2227" s="94">
        <v>14.94</v>
      </c>
      <c r="J2227" s="94">
        <v>3483.0181566386595</v>
      </c>
      <c r="K2227" s="94">
        <v>2.5716173118554497</v>
      </c>
      <c r="L2227" s="94">
        <v>0</v>
      </c>
      <c r="M2227" s="94">
        <v>0</v>
      </c>
      <c r="N2227" s="94">
        <v>0</v>
      </c>
      <c r="O2227" s="94">
        <v>0</v>
      </c>
    </row>
    <row r="2228" spans="1:15" x14ac:dyDescent="0.25">
      <c r="A2228" s="89">
        <v>45674.833333333336</v>
      </c>
      <c r="B2228" s="94">
        <v>353.86</v>
      </c>
      <c r="C2228" s="94">
        <v>300.56536946409693</v>
      </c>
      <c r="D2228" s="94">
        <v>1.8780819636560764</v>
      </c>
      <c r="E2228" s="94">
        <v>0</v>
      </c>
      <c r="F2228" s="94">
        <v>3.3</v>
      </c>
      <c r="G2228" s="94">
        <v>0</v>
      </c>
      <c r="H2228" s="94">
        <v>89.219156416551129</v>
      </c>
      <c r="I2228" s="94">
        <v>14.997153244615173</v>
      </c>
      <c r="J2228" s="94">
        <v>3026.0044906912558</v>
      </c>
      <c r="K2228" s="94">
        <v>2.4750159998355152</v>
      </c>
      <c r="L2228" s="94">
        <v>1</v>
      </c>
      <c r="M2228" s="94">
        <v>0</v>
      </c>
      <c r="N2228" s="94">
        <v>0</v>
      </c>
      <c r="O2228" s="94">
        <v>0</v>
      </c>
    </row>
    <row r="2229" spans="1:15" x14ac:dyDescent="0.25">
      <c r="A2229" s="89">
        <v>45675.333333333336</v>
      </c>
      <c r="B2229" s="94">
        <v>353.86</v>
      </c>
      <c r="C2229" s="94">
        <v>300.56754495157304</v>
      </c>
      <c r="D2229" s="94">
        <v>1.8081013436168816</v>
      </c>
      <c r="E2229" s="94">
        <v>0</v>
      </c>
      <c r="F2229" s="94">
        <v>3.3</v>
      </c>
      <c r="G2229" s="94">
        <v>0</v>
      </c>
      <c r="H2229" s="94">
        <v>90.078359985351554</v>
      </c>
      <c r="I2229" s="94">
        <v>15.187022804182799</v>
      </c>
      <c r="J2229" s="94">
        <v>3002.0113375204828</v>
      </c>
      <c r="K2229" s="94">
        <v>2.4729999999999999</v>
      </c>
      <c r="L2229" s="94">
        <v>0</v>
      </c>
      <c r="M2229" s="94">
        <v>0</v>
      </c>
      <c r="N2229" s="94">
        <v>0</v>
      </c>
      <c r="O2229" s="94">
        <v>0</v>
      </c>
    </row>
    <row r="2230" spans="1:15" x14ac:dyDescent="0.25">
      <c r="A2230" s="89">
        <v>45675.833333333336</v>
      </c>
      <c r="B2230" s="94">
        <v>353.86</v>
      </c>
      <c r="C2230" s="94">
        <v>300.56918735786445</v>
      </c>
      <c r="D2230" s="94">
        <v>1.8869218823331895</v>
      </c>
      <c r="E2230" s="94">
        <v>0</v>
      </c>
      <c r="F2230" s="94">
        <v>3.3</v>
      </c>
      <c r="G2230" s="94">
        <v>0</v>
      </c>
      <c r="H2230" s="94">
        <v>89.1</v>
      </c>
      <c r="I2230" s="94">
        <v>15.117587481480349</v>
      </c>
      <c r="J2230" s="94">
        <v>3015.9605574191655</v>
      </c>
      <c r="K2230" s="94">
        <v>2.4737096444902575</v>
      </c>
      <c r="L2230" s="94">
        <v>1</v>
      </c>
      <c r="M2230" s="94">
        <v>0</v>
      </c>
      <c r="N2230" s="94">
        <v>0</v>
      </c>
      <c r="O2230" s="94">
        <v>0</v>
      </c>
    </row>
    <row r="2231" spans="1:15" x14ac:dyDescent="0.25">
      <c r="A2231" s="89">
        <v>45676.333333333336</v>
      </c>
      <c r="B2231" s="94">
        <v>353.86</v>
      </c>
      <c r="C2231" s="94">
        <v>300.56</v>
      </c>
      <c r="D2231" s="94">
        <v>1.8160097434476019</v>
      </c>
      <c r="E2231" s="94">
        <v>0</v>
      </c>
      <c r="F2231" s="94">
        <v>3.3</v>
      </c>
      <c r="G2231" s="94">
        <v>0</v>
      </c>
      <c r="H2231" s="94">
        <v>89.5</v>
      </c>
      <c r="I2231" s="94">
        <v>15.12</v>
      </c>
      <c r="J2231" s="94">
        <v>3001.841598881505</v>
      </c>
      <c r="K2231" s="94">
        <v>2.4717304917996219</v>
      </c>
      <c r="L2231" s="94">
        <v>0</v>
      </c>
      <c r="M2231" s="94">
        <v>0</v>
      </c>
      <c r="N2231" s="94">
        <v>0</v>
      </c>
      <c r="O2231" s="94">
        <v>0</v>
      </c>
    </row>
    <row r="2232" spans="1:15" x14ac:dyDescent="0.25">
      <c r="A2232" s="89">
        <v>45676.833333333336</v>
      </c>
      <c r="B2232" s="94">
        <v>353.86</v>
      </c>
      <c r="C2232" s="94">
        <v>300.56065364665335</v>
      </c>
      <c r="D2232" s="94">
        <v>1.8976303833638972</v>
      </c>
      <c r="E2232" s="94">
        <v>0</v>
      </c>
      <c r="F2232" s="94">
        <v>3.3</v>
      </c>
      <c r="G2232" s="94">
        <v>0</v>
      </c>
      <c r="H2232" s="94">
        <v>89.07584445529514</v>
      </c>
      <c r="I2232" s="94">
        <v>14.963563906418035</v>
      </c>
      <c r="J2232" s="94">
        <v>3016.051838623207</v>
      </c>
      <c r="K2232" s="94">
        <v>2.4765470565024623</v>
      </c>
      <c r="L2232" s="94">
        <v>0.84225521641260104</v>
      </c>
      <c r="M2232" s="94">
        <v>0</v>
      </c>
      <c r="N2232" s="94">
        <v>0</v>
      </c>
      <c r="O2232" s="94">
        <v>0</v>
      </c>
    </row>
    <row r="2233" spans="1:15" x14ac:dyDescent="0.25">
      <c r="A2233" s="89">
        <v>45677.333333333336</v>
      </c>
      <c r="B2233" s="94">
        <v>353.86</v>
      </c>
      <c r="C2233" s="94">
        <v>300.56908917164901</v>
      </c>
      <c r="D2233" s="94">
        <v>1.8</v>
      </c>
      <c r="E2233" s="94">
        <v>0</v>
      </c>
      <c r="F2233" s="94">
        <v>3.3</v>
      </c>
      <c r="G2233" s="94">
        <v>0</v>
      </c>
      <c r="H2233" s="94">
        <v>89.927591525163095</v>
      </c>
      <c r="I2233" s="94">
        <v>15.117464203484966</v>
      </c>
      <c r="J2233" s="94">
        <v>3025.4426993753959</v>
      </c>
      <c r="K2233" s="94">
        <v>2.4780000000000002</v>
      </c>
      <c r="L2233" s="94">
        <v>0</v>
      </c>
      <c r="M2233" s="94">
        <v>0</v>
      </c>
      <c r="N2233" s="94">
        <v>0</v>
      </c>
      <c r="O2233" s="94">
        <v>0</v>
      </c>
    </row>
    <row r="2234" spans="1:15" x14ac:dyDescent="0.25">
      <c r="A2234" s="89">
        <v>45677.833333333336</v>
      </c>
      <c r="B2234" s="94">
        <v>353.86</v>
      </c>
      <c r="C2234" s="94">
        <v>300.56</v>
      </c>
      <c r="D2234" s="94">
        <v>1.8</v>
      </c>
      <c r="E2234" s="94">
        <v>0</v>
      </c>
      <c r="F2234" s="94">
        <v>3.3</v>
      </c>
      <c r="G2234" s="94">
        <v>0</v>
      </c>
      <c r="H2234" s="94">
        <v>89.7</v>
      </c>
      <c r="I2234" s="94">
        <v>15.034447986090987</v>
      </c>
      <c r="J2234" s="94">
        <v>3029.9883965977269</v>
      </c>
      <c r="K2234" s="94">
        <v>2.4770509012773658</v>
      </c>
      <c r="L2234" s="94">
        <v>1</v>
      </c>
      <c r="M2234" s="94">
        <v>0</v>
      </c>
      <c r="N2234" s="94">
        <v>0</v>
      </c>
      <c r="O2234" s="94">
        <v>0</v>
      </c>
    </row>
    <row r="2235" spans="1:15" x14ac:dyDescent="0.25">
      <c r="A2235" s="89">
        <v>45678.333333333336</v>
      </c>
      <c r="B2235" s="94">
        <v>353.86</v>
      </c>
      <c r="C2235" s="94">
        <v>300.58767369047797</v>
      </c>
      <c r="D2235" s="94">
        <v>1.8419885013199058</v>
      </c>
      <c r="E2235" s="94">
        <v>0</v>
      </c>
      <c r="F2235" s="94">
        <v>3.3</v>
      </c>
      <c r="G2235" s="94">
        <v>0</v>
      </c>
      <c r="H2235" s="94">
        <v>90.307750196374712</v>
      </c>
      <c r="I2235" s="94">
        <v>15.249255294786215</v>
      </c>
      <c r="J2235" s="94">
        <v>3026.0067701305024</v>
      </c>
      <c r="K2235" s="94">
        <v>2.4770674615778416</v>
      </c>
      <c r="L2235" s="94">
        <v>0</v>
      </c>
      <c r="M2235" s="94">
        <v>0</v>
      </c>
      <c r="N2235" s="94">
        <v>0</v>
      </c>
      <c r="O2235" s="94">
        <v>0</v>
      </c>
    </row>
    <row r="2236" spans="1:15" x14ac:dyDescent="0.25">
      <c r="A2236" s="89">
        <v>45678.833333333336</v>
      </c>
      <c r="B2236" s="94">
        <v>353.86</v>
      </c>
      <c r="C2236" s="94">
        <v>300.85537338785855</v>
      </c>
      <c r="D2236" s="94">
        <v>91.2762579438117</v>
      </c>
      <c r="E2236" s="94">
        <v>6.4214257595885487</v>
      </c>
      <c r="F2236" s="94">
        <v>3.5025563403671538</v>
      </c>
      <c r="G2236" s="94">
        <v>0</v>
      </c>
      <c r="H2236" s="94">
        <v>88.989749897691993</v>
      </c>
      <c r="I2236" s="94">
        <v>14.932925651754104</v>
      </c>
      <c r="J2236" s="94">
        <v>4413.1384830079869</v>
      </c>
      <c r="K2236" s="94">
        <v>2.7382803167624949</v>
      </c>
      <c r="L2236" s="94">
        <v>1</v>
      </c>
      <c r="M2236" s="94">
        <v>0</v>
      </c>
      <c r="N2236" s="94">
        <v>0</v>
      </c>
      <c r="O2236" s="94">
        <v>0</v>
      </c>
    </row>
    <row r="2237" spans="1:15" x14ac:dyDescent="0.25">
      <c r="A2237" s="89">
        <v>45679.333333333336</v>
      </c>
      <c r="B2237" s="94">
        <v>353.86</v>
      </c>
      <c r="C2237" s="94">
        <v>300.87</v>
      </c>
      <c r="D2237" s="94">
        <v>92.1</v>
      </c>
      <c r="E2237" s="94">
        <v>6.4676586436572814</v>
      </c>
      <c r="F2237" s="94">
        <v>3.5</v>
      </c>
      <c r="G2237" s="94">
        <v>0</v>
      </c>
      <c r="H2237" s="94">
        <v>90.706257138933452</v>
      </c>
      <c r="I2237" s="94">
        <v>15.095289983222237</v>
      </c>
      <c r="J2237" s="94">
        <v>4453.7185443086382</v>
      </c>
      <c r="K2237" s="94">
        <v>2.742123097985071</v>
      </c>
      <c r="L2237" s="94">
        <v>1</v>
      </c>
      <c r="M2237" s="94">
        <v>0</v>
      </c>
      <c r="N2237" s="94">
        <v>0</v>
      </c>
      <c r="O2237" s="94">
        <v>0</v>
      </c>
    </row>
    <row r="2238" spans="1:15" x14ac:dyDescent="0.25">
      <c r="A2238" s="89">
        <v>45679.833333333336</v>
      </c>
      <c r="B2238" s="94">
        <v>353.86</v>
      </c>
      <c r="C2238" s="94">
        <v>300.92950860769037</v>
      </c>
      <c r="D2238" s="94">
        <v>66.3</v>
      </c>
      <c r="E2238" s="94">
        <v>4.4916122965568421</v>
      </c>
      <c r="F2238" s="94">
        <v>54.1</v>
      </c>
      <c r="G2238" s="94">
        <v>2.7163694215716174</v>
      </c>
      <c r="H2238" s="94">
        <v>81.437962061481485</v>
      </c>
      <c r="I2238" s="94">
        <v>13.940209444833998</v>
      </c>
      <c r="J2238" s="94">
        <v>4431.057565698582</v>
      </c>
      <c r="K2238" s="94">
        <v>2.7381840155642263</v>
      </c>
      <c r="L2238" s="94">
        <v>1</v>
      </c>
      <c r="M2238" s="94">
        <v>0</v>
      </c>
      <c r="N2238" s="94">
        <v>0</v>
      </c>
      <c r="O2238" s="94">
        <v>0</v>
      </c>
    </row>
    <row r="2239" spans="1:15" x14ac:dyDescent="0.25">
      <c r="A2239" s="89">
        <v>45680.333333333336</v>
      </c>
      <c r="B2239" s="94">
        <v>353.86</v>
      </c>
      <c r="C2239" s="94">
        <v>300.93</v>
      </c>
      <c r="D2239" s="94">
        <v>48.3</v>
      </c>
      <c r="E2239" s="94">
        <v>2.758800048828125</v>
      </c>
      <c r="F2239" s="94">
        <v>79.667984153518518</v>
      </c>
      <c r="G2239" s="94">
        <v>5.2417391967773437</v>
      </c>
      <c r="H2239" s="94">
        <v>82.303104415493095</v>
      </c>
      <c r="I2239" s="94">
        <v>13.829044333198034</v>
      </c>
      <c r="J2239" s="94">
        <v>4564.8144120801089</v>
      </c>
      <c r="K2239" s="94">
        <v>2.7642338139927802</v>
      </c>
      <c r="L2239" s="94">
        <v>0</v>
      </c>
      <c r="M2239" s="94">
        <v>0</v>
      </c>
      <c r="N2239" s="94">
        <v>0</v>
      </c>
      <c r="O2239" s="94">
        <v>0</v>
      </c>
    </row>
    <row r="2240" spans="1:15" x14ac:dyDescent="0.25">
      <c r="A2240" s="89">
        <v>45680.833333333336</v>
      </c>
      <c r="B2240" s="94">
        <v>353.86</v>
      </c>
      <c r="C2240" s="94">
        <v>301.01</v>
      </c>
      <c r="D2240" s="94">
        <v>65.053084219653428</v>
      </c>
      <c r="E2240" s="94">
        <v>3.97</v>
      </c>
      <c r="F2240" s="94">
        <v>95.377975082397469</v>
      </c>
      <c r="G2240" s="94">
        <v>6.4548134358723956</v>
      </c>
      <c r="H2240" s="94">
        <v>78.294493121683189</v>
      </c>
      <c r="I2240" s="94">
        <v>12.84858300211674</v>
      </c>
      <c r="J2240" s="94">
        <v>4952</v>
      </c>
      <c r="K2240" s="94">
        <v>2.8220000000000001</v>
      </c>
      <c r="L2240" s="94">
        <v>0</v>
      </c>
      <c r="M2240" s="94">
        <v>0</v>
      </c>
      <c r="N2240" s="94">
        <v>0</v>
      </c>
      <c r="O2240" s="94">
        <v>0</v>
      </c>
    </row>
    <row r="2241" spans="1:15" x14ac:dyDescent="0.25">
      <c r="A2241" s="89">
        <v>45681.333333333336</v>
      </c>
      <c r="B2241" s="94">
        <v>353.86</v>
      </c>
      <c r="C2241" s="94">
        <v>301.00967346209114</v>
      </c>
      <c r="D2241" s="94">
        <v>64.350260474986285</v>
      </c>
      <c r="E2241" s="94">
        <v>3.965594798939057</v>
      </c>
      <c r="F2241" s="94">
        <v>94.449344985564608</v>
      </c>
      <c r="G2241" s="94">
        <v>6.4615057436210224</v>
      </c>
      <c r="H2241" s="94">
        <v>78.726381792697012</v>
      </c>
      <c r="I2241" s="94">
        <v>12.857538654113997</v>
      </c>
      <c r="J2241" s="94">
        <v>4965.0816821217613</v>
      </c>
      <c r="K2241" s="94">
        <v>2.8260563994207715</v>
      </c>
      <c r="L2241" s="94">
        <v>0</v>
      </c>
      <c r="M2241" s="94">
        <v>0</v>
      </c>
      <c r="N2241" s="94">
        <v>0</v>
      </c>
      <c r="O2241" s="94">
        <v>0</v>
      </c>
    </row>
    <row r="2242" spans="1:15" x14ac:dyDescent="0.25">
      <c r="A2242" s="89">
        <v>45681.833333333336</v>
      </c>
      <c r="B2242" s="94">
        <v>353.86</v>
      </c>
      <c r="C2242" s="94">
        <v>301.08999999999997</v>
      </c>
      <c r="D2242" s="94">
        <v>90.823807249207434</v>
      </c>
      <c r="E2242" s="94">
        <v>6.1228267503961504</v>
      </c>
      <c r="F2242" s="94">
        <v>97.863395277099769</v>
      </c>
      <c r="G2242" s="94">
        <v>6.4449407436446435</v>
      </c>
      <c r="H2242" s="94">
        <v>78.5</v>
      </c>
      <c r="I2242" s="94">
        <v>13.005314967860421</v>
      </c>
      <c r="J2242" s="94">
        <v>5474.018695161808</v>
      </c>
      <c r="K2242" s="94">
        <v>2.9055339153406234</v>
      </c>
      <c r="L2242" s="94">
        <v>0</v>
      </c>
      <c r="M2242" s="94">
        <v>0</v>
      </c>
      <c r="N2242" s="94">
        <v>0</v>
      </c>
      <c r="O2242" s="94">
        <v>0</v>
      </c>
    </row>
    <row r="2243" spans="1:15" x14ac:dyDescent="0.25">
      <c r="A2243" s="89">
        <v>45682.333333333336</v>
      </c>
      <c r="B2243" s="94">
        <v>353.86</v>
      </c>
      <c r="C2243" s="94">
        <v>301.11117246219243</v>
      </c>
      <c r="D2243" s="94">
        <v>91.359698112852996</v>
      </c>
      <c r="E2243" s="94">
        <v>6.1349102288820871</v>
      </c>
      <c r="F2243" s="94">
        <v>97.8</v>
      </c>
      <c r="G2243" s="94">
        <v>6.4812662021542025</v>
      </c>
      <c r="H2243" s="94">
        <v>79.020084253687656</v>
      </c>
      <c r="I2243" s="94">
        <v>12.919656902443361</v>
      </c>
      <c r="J2243" s="94">
        <v>5771.1223607328475</v>
      </c>
      <c r="K2243" s="94">
        <v>2.9509376373762088</v>
      </c>
      <c r="L2243" s="94">
        <v>0</v>
      </c>
      <c r="M2243" s="94">
        <v>0</v>
      </c>
      <c r="N2243" s="94">
        <v>0</v>
      </c>
      <c r="O2243" s="94">
        <v>0</v>
      </c>
    </row>
    <row r="2244" spans="1:15" x14ac:dyDescent="0.25">
      <c r="A2244" s="89">
        <v>45682.833333333336</v>
      </c>
      <c r="B2244" s="94">
        <v>353.86</v>
      </c>
      <c r="C2244" s="94">
        <v>301.08999999999997</v>
      </c>
      <c r="D2244" s="94">
        <v>91.409017521328323</v>
      </c>
      <c r="E2244" s="94">
        <v>6.0990802001953126</v>
      </c>
      <c r="F2244" s="94">
        <v>98.180859888937889</v>
      </c>
      <c r="G2244" s="94">
        <v>6.4992118889387207</v>
      </c>
      <c r="H2244" s="94">
        <v>78.581054330662667</v>
      </c>
      <c r="I2244" s="94">
        <v>12.958892299479514</v>
      </c>
      <c r="J2244" s="94">
        <v>5488.1371094003316</v>
      </c>
      <c r="K2244" s="94">
        <v>2.9075282485851761</v>
      </c>
      <c r="L2244" s="94">
        <v>1</v>
      </c>
      <c r="M2244" s="94">
        <v>0</v>
      </c>
      <c r="N2244" s="94">
        <v>0</v>
      </c>
      <c r="O2244" s="94">
        <v>0</v>
      </c>
    </row>
    <row r="2245" spans="1:15" x14ac:dyDescent="0.25">
      <c r="A2245" s="89">
        <v>45683.333333333336</v>
      </c>
      <c r="B2245" s="94">
        <v>353.86</v>
      </c>
      <c r="C2245" s="94">
        <v>301.09939486416914</v>
      </c>
      <c r="D2245" s="94">
        <v>92.4</v>
      </c>
      <c r="E2245" s="94">
        <v>6.1491697692871092</v>
      </c>
      <c r="F2245" s="94">
        <v>97.973215905053323</v>
      </c>
      <c r="G2245" s="94">
        <v>6.4827197265625003</v>
      </c>
      <c r="H2245" s="94">
        <v>79.347932076439619</v>
      </c>
      <c r="I2245" s="94">
        <v>12.967328102798543</v>
      </c>
      <c r="J2245" s="94">
        <v>5474.1369296565426</v>
      </c>
      <c r="K2245" s="94">
        <v>2.9050271552191842</v>
      </c>
      <c r="L2245" s="94">
        <v>1</v>
      </c>
      <c r="M2245" s="94">
        <v>0</v>
      </c>
      <c r="N2245" s="94">
        <v>0</v>
      </c>
      <c r="O2245" s="94">
        <v>0</v>
      </c>
    </row>
    <row r="2246" spans="1:15" x14ac:dyDescent="0.25">
      <c r="A2246" s="89">
        <v>45683.833333333336</v>
      </c>
      <c r="B2246" s="94">
        <v>353.86</v>
      </c>
      <c r="C2246" s="94">
        <v>300.92106277614505</v>
      </c>
      <c r="D2246" s="94">
        <v>49.492701518467371</v>
      </c>
      <c r="E2246" s="94">
        <v>2.4412501525878905</v>
      </c>
      <c r="F2246" s="94">
        <v>93.46040898702995</v>
      </c>
      <c r="G2246" s="94">
        <v>6.4508499751765509</v>
      </c>
      <c r="H2246" s="94">
        <v>74.5</v>
      </c>
      <c r="I2246" s="94">
        <v>12.05</v>
      </c>
      <c r="J2246" s="94">
        <v>4510</v>
      </c>
      <c r="K2246" s="94">
        <v>2.7509999999999999</v>
      </c>
      <c r="L2246" s="94">
        <v>1</v>
      </c>
      <c r="M2246" s="94">
        <v>0</v>
      </c>
      <c r="N2246" s="94">
        <v>0</v>
      </c>
      <c r="O2246" s="94">
        <v>0</v>
      </c>
    </row>
    <row r="2247" spans="1:15" x14ac:dyDescent="0.25">
      <c r="A2247" s="89">
        <v>45684.333333333336</v>
      </c>
      <c r="B2247" s="94">
        <v>353.86</v>
      </c>
      <c r="C2247" s="94">
        <v>300.92145629497895</v>
      </c>
      <c r="D2247" s="94">
        <v>49.641900359367362</v>
      </c>
      <c r="E2247" s="94">
        <v>2.4687811347215027</v>
      </c>
      <c r="F2247" s="94">
        <v>93.95988953277913</v>
      </c>
      <c r="G2247" s="94">
        <v>6.4412487614518072</v>
      </c>
      <c r="H2247" s="94">
        <v>75.015478440973368</v>
      </c>
      <c r="I2247" s="94">
        <v>12.029535907603696</v>
      </c>
      <c r="J2247" s="94">
        <v>4564.9085430684836</v>
      </c>
      <c r="K2247" s="94">
        <v>2.7585046110026399</v>
      </c>
      <c r="L2247" s="94">
        <v>0.33267450352102246</v>
      </c>
      <c r="M2247" s="94">
        <v>0</v>
      </c>
      <c r="N2247" s="94">
        <v>0</v>
      </c>
      <c r="O2247" s="94">
        <v>0</v>
      </c>
    </row>
    <row r="2248" spans="1:15" x14ac:dyDescent="0.25">
      <c r="A2248" s="89">
        <v>45684.833333333336</v>
      </c>
      <c r="B2248" s="94">
        <v>353.86</v>
      </c>
      <c r="C2248" s="94">
        <v>300.93</v>
      </c>
      <c r="D2248" s="94">
        <v>49.913978519864351</v>
      </c>
      <c r="E2248" s="94">
        <v>2.4585315772625416</v>
      </c>
      <c r="F2248" s="94">
        <v>95.394539971603919</v>
      </c>
      <c r="G2248" s="94">
        <v>6.4688880142896075</v>
      </c>
      <c r="H2248" s="94">
        <v>74.452216757740857</v>
      </c>
      <c r="I2248" s="94">
        <v>11.94206650301272</v>
      </c>
      <c r="J2248" s="94">
        <v>4558.9196557167616</v>
      </c>
      <c r="K2248" s="94">
        <v>2.7577016232050067</v>
      </c>
      <c r="L2248" s="94">
        <v>1</v>
      </c>
      <c r="M2248" s="94">
        <v>0</v>
      </c>
      <c r="N2248" s="94">
        <v>0</v>
      </c>
      <c r="O2248" s="94">
        <v>0</v>
      </c>
    </row>
    <row r="2249" spans="1:15" x14ac:dyDescent="0.25">
      <c r="A2249" s="89">
        <v>45685.333333333336</v>
      </c>
      <c r="B2249" s="94">
        <v>353.86</v>
      </c>
      <c r="C2249" s="94">
        <v>300.93</v>
      </c>
      <c r="D2249" s="94">
        <v>50.262262675502072</v>
      </c>
      <c r="E2249" s="94">
        <v>2.458130185836263</v>
      </c>
      <c r="F2249" s="94">
        <v>95.7</v>
      </c>
      <c r="G2249" s="94">
        <v>6.4487766920014478</v>
      </c>
      <c r="H2249" s="94">
        <v>74.964662737577683</v>
      </c>
      <c r="I2249" s="94">
        <v>11.975699542975084</v>
      </c>
      <c r="J2249" s="94">
        <v>4510.0537859806936</v>
      </c>
      <c r="K2249" s="94">
        <v>2.7570464581797101</v>
      </c>
      <c r="L2249" s="94">
        <v>1</v>
      </c>
      <c r="M2249" s="94">
        <v>0</v>
      </c>
      <c r="N2249" s="94">
        <v>0</v>
      </c>
      <c r="O2249" s="94">
        <v>0</v>
      </c>
    </row>
    <row r="2250" spans="1:15" x14ac:dyDescent="0.25">
      <c r="A2250" s="89">
        <v>45685.833333333336</v>
      </c>
      <c r="B2250" s="94">
        <v>353.86</v>
      </c>
      <c r="C2250" s="94">
        <v>300.86865467359223</v>
      </c>
      <c r="D2250" s="94">
        <v>92.6</v>
      </c>
      <c r="E2250" s="94">
        <v>6.45</v>
      </c>
      <c r="F2250" s="94">
        <v>4</v>
      </c>
      <c r="G2250" s="94">
        <v>0</v>
      </c>
      <c r="H2250" s="94">
        <v>84.579954708491968</v>
      </c>
      <c r="I2250" s="94">
        <v>14.16</v>
      </c>
      <c r="J2250" s="94">
        <v>4294.0241107294169</v>
      </c>
      <c r="K2250" s="94">
        <v>2.7151317788074896</v>
      </c>
      <c r="L2250" s="94">
        <v>1</v>
      </c>
      <c r="M2250" s="94">
        <v>0</v>
      </c>
      <c r="N2250" s="94">
        <v>0</v>
      </c>
      <c r="O2250" s="94">
        <v>0</v>
      </c>
    </row>
    <row r="2251" spans="1:15" x14ac:dyDescent="0.25">
      <c r="A2251" s="89">
        <v>45686.333333333336</v>
      </c>
      <c r="B2251" s="94">
        <v>353.86</v>
      </c>
      <c r="C2251" s="94">
        <v>300.86036508075813</v>
      </c>
      <c r="D2251" s="94">
        <v>93.797406614735422</v>
      </c>
      <c r="E2251" s="94">
        <v>6.4223091364205258</v>
      </c>
      <c r="F2251" s="94">
        <v>3.7838428213485225</v>
      </c>
      <c r="G2251" s="94">
        <v>0</v>
      </c>
      <c r="H2251" s="94">
        <v>85.8</v>
      </c>
      <c r="I2251" s="94">
        <v>14.100749961814572</v>
      </c>
      <c r="J2251" s="94">
        <v>4276.1870765776412</v>
      </c>
      <c r="K2251" s="94">
        <v>2.7150402725706391</v>
      </c>
      <c r="L2251" s="94">
        <v>1</v>
      </c>
      <c r="M2251" s="94">
        <v>0</v>
      </c>
      <c r="N2251" s="94">
        <v>0</v>
      </c>
      <c r="O2251" s="94">
        <v>0</v>
      </c>
    </row>
    <row r="2252" spans="1:15" x14ac:dyDescent="0.25">
      <c r="A2252" s="89">
        <v>45686.833333333336</v>
      </c>
      <c r="B2252" s="94">
        <v>353.86</v>
      </c>
      <c r="C2252" s="94">
        <v>300.7787437762783</v>
      </c>
      <c r="D2252" s="94">
        <v>68.23495570093786</v>
      </c>
      <c r="E2252" s="94">
        <v>4.4743328064682819</v>
      </c>
      <c r="F2252" s="94">
        <v>3.986715331490057</v>
      </c>
      <c r="G2252" s="94">
        <v>0</v>
      </c>
      <c r="H2252" s="94">
        <v>83.497626804868247</v>
      </c>
      <c r="I2252" s="94">
        <v>13.887630779051035</v>
      </c>
      <c r="J2252" s="94">
        <v>3815.01835035866</v>
      </c>
      <c r="K2252" s="94">
        <v>2.6327970633271551</v>
      </c>
      <c r="L2252" s="94">
        <v>1</v>
      </c>
      <c r="M2252" s="94">
        <v>0</v>
      </c>
      <c r="N2252" s="94">
        <v>0</v>
      </c>
      <c r="O2252" s="94">
        <v>0</v>
      </c>
    </row>
    <row r="2253" spans="1:15" x14ac:dyDescent="0.25">
      <c r="A2253" s="89">
        <v>45687.333333333336</v>
      </c>
      <c r="B2253" s="94">
        <v>353.86</v>
      </c>
      <c r="C2253" s="94">
        <v>300.77974568737261</v>
      </c>
      <c r="D2253" s="94">
        <v>68.3</v>
      </c>
      <c r="E2253" s="94">
        <v>4.4445899546647585</v>
      </c>
      <c r="F2253" s="94">
        <v>3.7101178485700159</v>
      </c>
      <c r="G2253" s="94">
        <v>0</v>
      </c>
      <c r="H2253" s="94">
        <v>84.245545104894234</v>
      </c>
      <c r="I2253" s="94">
        <v>13.909833826032429</v>
      </c>
      <c r="J2253" s="94">
        <v>3815.0215650902305</v>
      </c>
      <c r="K2253" s="94">
        <v>2.6310300382336207</v>
      </c>
      <c r="L2253" s="94">
        <v>0</v>
      </c>
      <c r="M2253" s="94">
        <v>0</v>
      </c>
      <c r="N2253" s="94">
        <v>0</v>
      </c>
      <c r="O2253" s="94">
        <v>0</v>
      </c>
    </row>
    <row r="2254" spans="1:15" x14ac:dyDescent="0.25">
      <c r="A2254" s="89">
        <v>45687.833333333336</v>
      </c>
      <c r="B2254" s="94">
        <v>351.49</v>
      </c>
      <c r="C2254" s="94">
        <v>300.97911287712333</v>
      </c>
      <c r="D2254" s="94">
        <v>94.236568823894729</v>
      </c>
      <c r="E2254" s="94">
        <v>6.4634932029937371</v>
      </c>
      <c r="F2254" s="94">
        <v>3.9155218727125232</v>
      </c>
      <c r="G2254" s="94">
        <v>0</v>
      </c>
      <c r="H2254" s="94">
        <v>93.583395164592048</v>
      </c>
      <c r="I2254" s="94">
        <v>14.893738273559048</v>
      </c>
      <c r="J2254" s="94">
        <v>4983.0335226814841</v>
      </c>
      <c r="K2254" s="94">
        <v>2.827</v>
      </c>
      <c r="L2254" s="94">
        <v>1</v>
      </c>
      <c r="M2254" s="94">
        <v>0</v>
      </c>
      <c r="N2254" s="94">
        <v>10</v>
      </c>
      <c r="O2254" s="94">
        <v>0</v>
      </c>
    </row>
    <row r="2255" spans="1:15" x14ac:dyDescent="0.25">
      <c r="A2255" s="89">
        <v>45688.333333333336</v>
      </c>
      <c r="B2255" s="94">
        <v>351.46041325867554</v>
      </c>
      <c r="C2255" s="94">
        <v>300.96266506560846</v>
      </c>
      <c r="D2255" s="94">
        <v>93.897730156882957</v>
      </c>
      <c r="E2255" s="94">
        <v>6.4509842604829988</v>
      </c>
      <c r="F2255" s="94">
        <v>3.754218602239102</v>
      </c>
      <c r="G2255" s="94">
        <v>0</v>
      </c>
      <c r="H2255" s="94">
        <v>83.361553836220338</v>
      </c>
      <c r="I2255" s="94">
        <v>13.690622578286163</v>
      </c>
      <c r="J2255" s="94">
        <v>4896.787690574758</v>
      </c>
      <c r="K2255" s="94">
        <v>2.8179679097433494</v>
      </c>
      <c r="L2255" s="94">
        <v>0</v>
      </c>
      <c r="M2255" s="94">
        <v>0</v>
      </c>
      <c r="N2255" s="94">
        <v>20</v>
      </c>
      <c r="O2255" s="94">
        <v>0</v>
      </c>
    </row>
    <row r="2256" spans="1:15" x14ac:dyDescent="0.25">
      <c r="A2256" s="89">
        <v>45688.833333333336</v>
      </c>
      <c r="B2256" s="94">
        <v>351.4</v>
      </c>
      <c r="C2256" s="94">
        <v>300.77999999999997</v>
      </c>
      <c r="D2256" s="94">
        <v>75.219029522538406</v>
      </c>
      <c r="E2256" s="94">
        <v>4.9293643341226421</v>
      </c>
      <c r="F2256" s="94">
        <v>3.7993522043188435</v>
      </c>
      <c r="G2256" s="94">
        <v>0</v>
      </c>
      <c r="H2256" s="94">
        <v>82.460597055226287</v>
      </c>
      <c r="I2256" s="94">
        <v>13.40537436994043</v>
      </c>
      <c r="J2256" s="94">
        <v>3869.9678115518786</v>
      </c>
      <c r="K2256" s="94">
        <v>2.6408277971036043</v>
      </c>
      <c r="L2256" s="94">
        <v>1</v>
      </c>
      <c r="M2256" s="94">
        <v>0</v>
      </c>
      <c r="N2256" s="94">
        <v>0</v>
      </c>
      <c r="O2256" s="94">
        <v>0</v>
      </c>
    </row>
    <row r="2257" spans="1:15" x14ac:dyDescent="0.25">
      <c r="A2257" s="89">
        <v>45689.333333333336</v>
      </c>
      <c r="B2257" s="94">
        <v>351.4</v>
      </c>
      <c r="C2257" s="94">
        <v>300.77999999999997</v>
      </c>
      <c r="D2257" s="94">
        <v>74.922994882355241</v>
      </c>
      <c r="E2257" s="94">
        <v>4.9451871646845227</v>
      </c>
      <c r="F2257" s="94">
        <v>3.5544563102438245</v>
      </c>
      <c r="G2257" s="94">
        <v>0</v>
      </c>
      <c r="H2257" s="94">
        <v>83.019305923600029</v>
      </c>
      <c r="I2257" s="94">
        <v>13.580392828085904</v>
      </c>
      <c r="J2257" s="94">
        <v>3847.9885958011205</v>
      </c>
      <c r="K2257" s="94">
        <v>2.6341070731178866</v>
      </c>
      <c r="L2257" s="94">
        <v>1</v>
      </c>
      <c r="M2257" s="94">
        <v>0</v>
      </c>
      <c r="N2257" s="94">
        <v>0</v>
      </c>
      <c r="O2257" s="94">
        <v>0</v>
      </c>
    </row>
    <row r="2258" spans="1:15" x14ac:dyDescent="0.25">
      <c r="A2258" s="89">
        <v>45689.833333333336</v>
      </c>
      <c r="B2258" s="94">
        <v>351.4</v>
      </c>
      <c r="C2258" s="94">
        <v>300.78296557714805</v>
      </c>
      <c r="D2258" s="94">
        <v>75.22801036548428</v>
      </c>
      <c r="E2258" s="94">
        <v>4.9530373605046094</v>
      </c>
      <c r="F2258" s="94">
        <v>3.8500659621727129</v>
      </c>
      <c r="G2258" s="94">
        <v>0</v>
      </c>
      <c r="H2258" s="94">
        <v>82.8</v>
      </c>
      <c r="I2258" s="94">
        <v>13.60625702905342</v>
      </c>
      <c r="J2258" s="94">
        <v>3858.9721298986792</v>
      </c>
      <c r="K2258" s="94">
        <v>2.6389999999999998</v>
      </c>
      <c r="L2258" s="94">
        <v>1</v>
      </c>
      <c r="M2258" s="94">
        <v>0</v>
      </c>
      <c r="N2258" s="94">
        <v>0</v>
      </c>
      <c r="O2258" s="94">
        <v>0</v>
      </c>
    </row>
    <row r="2259" spans="1:15" x14ac:dyDescent="0.25">
      <c r="A2259" s="89">
        <v>45690.333333333336</v>
      </c>
      <c r="B2259" s="94">
        <v>351.4</v>
      </c>
      <c r="C2259" s="94">
        <v>300.77999999999997</v>
      </c>
      <c r="D2259" s="94">
        <v>74.612244693801046</v>
      </c>
      <c r="E2259" s="94">
        <v>4.9364325392958079</v>
      </c>
      <c r="F2259" s="94">
        <v>3.5867376486626239</v>
      </c>
      <c r="G2259" s="94">
        <v>0</v>
      </c>
      <c r="H2259" s="94">
        <v>83.240786170038717</v>
      </c>
      <c r="I2259" s="94">
        <v>13.634583411143172</v>
      </c>
      <c r="J2259" s="94">
        <v>3858.9829381208756</v>
      </c>
      <c r="K2259" s="94">
        <v>2.6397965468665818</v>
      </c>
      <c r="L2259" s="94">
        <v>1</v>
      </c>
      <c r="M2259" s="94">
        <v>0</v>
      </c>
      <c r="N2259" s="94">
        <v>0</v>
      </c>
      <c r="O2259" s="94">
        <v>0</v>
      </c>
    </row>
    <row r="2260" spans="1:15" x14ac:dyDescent="0.25">
      <c r="A2260" s="89">
        <v>45690.833333333336</v>
      </c>
      <c r="B2260" s="94">
        <v>351.4</v>
      </c>
      <c r="C2260" s="94">
        <v>301.08388771213316</v>
      </c>
      <c r="D2260" s="94">
        <v>95.966060324215874</v>
      </c>
      <c r="E2260" s="94">
        <v>6.4583355331573475</v>
      </c>
      <c r="F2260" s="94">
        <v>3.9604363740077009</v>
      </c>
      <c r="G2260" s="94">
        <v>0</v>
      </c>
      <c r="H2260" s="94">
        <v>83.854225911780603</v>
      </c>
      <c r="I2260" s="94">
        <v>13.648757166719335</v>
      </c>
      <c r="J2260" s="94">
        <v>5662.9426424326066</v>
      </c>
      <c r="K2260" s="94">
        <v>2.9309009114445232</v>
      </c>
      <c r="L2260" s="94">
        <v>22</v>
      </c>
      <c r="M2260" s="94">
        <v>0</v>
      </c>
      <c r="N2260" s="94">
        <v>0</v>
      </c>
      <c r="O2260" s="94">
        <v>22</v>
      </c>
    </row>
    <row r="2261" spans="1:15" x14ac:dyDescent="0.25">
      <c r="A2261" s="89">
        <v>45691.333333333336</v>
      </c>
      <c r="B2261" s="94">
        <v>351</v>
      </c>
      <c r="C2261" s="94">
        <v>301.07</v>
      </c>
      <c r="D2261" s="94">
        <v>94.2</v>
      </c>
      <c r="E2261" s="94">
        <v>6.4232619472536188</v>
      </c>
      <c r="F2261" s="94">
        <v>3.767380527463811</v>
      </c>
      <c r="G2261" s="94">
        <v>0</v>
      </c>
      <c r="H2261" s="94">
        <v>84.550429925369713</v>
      </c>
      <c r="I2261" s="94">
        <v>13.610269355650066</v>
      </c>
      <c r="J2261" s="94">
        <v>5534.0493464426127</v>
      </c>
      <c r="K2261" s="94">
        <v>2.9137342381203064</v>
      </c>
      <c r="L2261" s="94">
        <v>20</v>
      </c>
      <c r="M2261" s="94">
        <v>0</v>
      </c>
      <c r="N2261" s="94">
        <v>0</v>
      </c>
      <c r="O2261" s="94">
        <v>20</v>
      </c>
    </row>
    <row r="2262" spans="1:15" x14ac:dyDescent="0.25">
      <c r="A2262" s="89">
        <v>45691.833333333336</v>
      </c>
      <c r="B2262" s="94">
        <v>351</v>
      </c>
      <c r="C2262" s="94">
        <v>301.20237218923188</v>
      </c>
      <c r="D2262" s="94">
        <v>97.765618682141522</v>
      </c>
      <c r="E2262" s="94">
        <v>6.4568296427242284</v>
      </c>
      <c r="F2262" s="94">
        <v>4.0582358048510834</v>
      </c>
      <c r="G2262" s="94">
        <v>0</v>
      </c>
      <c r="H2262" s="94">
        <v>86.1</v>
      </c>
      <c r="I2262" s="94">
        <v>13.80272685237081</v>
      </c>
      <c r="J2262" s="94">
        <v>6502.1083865560558</v>
      </c>
      <c r="K2262" s="94">
        <v>3.0476246438379828</v>
      </c>
      <c r="L2262" s="94">
        <v>37</v>
      </c>
      <c r="M2262" s="94">
        <v>0</v>
      </c>
      <c r="N2262" s="94">
        <v>0</v>
      </c>
      <c r="O2262" s="94">
        <v>37</v>
      </c>
    </row>
    <row r="2263" spans="1:15" x14ac:dyDescent="0.25">
      <c r="A2263" s="89">
        <v>45692.333333333336</v>
      </c>
      <c r="B2263" s="94">
        <v>351</v>
      </c>
      <c r="C2263" s="94">
        <v>301.28713056403825</v>
      </c>
      <c r="D2263" s="94">
        <v>97.7</v>
      </c>
      <c r="E2263" s="94">
        <v>6.4297992010897014</v>
      </c>
      <c r="F2263" s="94">
        <v>3.9</v>
      </c>
      <c r="G2263" s="94">
        <v>0</v>
      </c>
      <c r="H2263" s="94">
        <v>86.5</v>
      </c>
      <c r="I2263" s="94">
        <v>13.67</v>
      </c>
      <c r="J2263" s="94">
        <v>6718.4405656511317</v>
      </c>
      <c r="K2263" s="94">
        <v>3.0779247429100747</v>
      </c>
      <c r="L2263" s="94">
        <v>0.32122818323580593</v>
      </c>
      <c r="M2263" s="94">
        <v>35</v>
      </c>
      <c r="N2263" s="94">
        <v>35.234786914626724</v>
      </c>
      <c r="O2263" s="94">
        <v>28.460241388543366</v>
      </c>
    </row>
    <row r="2264" spans="1:15" x14ac:dyDescent="0.25">
      <c r="A2264" s="89">
        <v>45692.833333333336</v>
      </c>
      <c r="B2264" s="94">
        <v>351</v>
      </c>
      <c r="C2264" s="94">
        <v>301.13956648638452</v>
      </c>
      <c r="D2264" s="94">
        <v>75.099999999999994</v>
      </c>
      <c r="E2264" s="94">
        <v>4.9206539031545837</v>
      </c>
      <c r="F2264" s="94">
        <v>50.206611216439363</v>
      </c>
      <c r="G2264" s="94">
        <v>1.9703599548339843</v>
      </c>
      <c r="H2264" s="94">
        <v>85.5</v>
      </c>
      <c r="I2264" s="94">
        <v>13.560657393322565</v>
      </c>
      <c r="J2264" s="94">
        <v>5946.0243168530415</v>
      </c>
      <c r="K2264" s="94">
        <v>2.9722186297519446</v>
      </c>
      <c r="L2264" s="94">
        <v>1</v>
      </c>
      <c r="M2264" s="94">
        <v>0</v>
      </c>
      <c r="N2264" s="94">
        <v>20</v>
      </c>
      <c r="O2264" s="94">
        <v>24</v>
      </c>
    </row>
    <row r="2265" spans="1:15" x14ac:dyDescent="0.25">
      <c r="A2265" s="89">
        <v>45693.333333333336</v>
      </c>
      <c r="B2265" s="94">
        <v>351</v>
      </c>
      <c r="C2265" s="94">
        <v>301.11864562414331</v>
      </c>
      <c r="D2265" s="94">
        <v>75.2</v>
      </c>
      <c r="E2265" s="94">
        <v>4.9688160444783529</v>
      </c>
      <c r="F2265" s="94">
        <v>49.981746415355566</v>
      </c>
      <c r="G2265" s="94">
        <v>1.9705032717610977</v>
      </c>
      <c r="H2265" s="94">
        <v>85.826820867549401</v>
      </c>
      <c r="I2265" s="94">
        <v>13.551279907226563</v>
      </c>
      <c r="J2265" s="94">
        <v>5792.8373099389346</v>
      </c>
      <c r="K2265" s="94">
        <v>2.9482298375295577</v>
      </c>
      <c r="L2265" s="94">
        <v>1</v>
      </c>
      <c r="M2265" s="94">
        <v>0</v>
      </c>
      <c r="N2265" s="94">
        <v>20</v>
      </c>
      <c r="O2265" s="94">
        <v>19</v>
      </c>
    </row>
    <row r="2266" spans="1:15" x14ac:dyDescent="0.25">
      <c r="A2266" s="89">
        <v>45693.833333333336</v>
      </c>
      <c r="B2266" s="94">
        <v>351</v>
      </c>
      <c r="C2266" s="94">
        <v>301.05</v>
      </c>
      <c r="D2266" s="94">
        <v>87.122458011278937</v>
      </c>
      <c r="E2266" s="94">
        <v>5.8277541988721051</v>
      </c>
      <c r="F2266" s="94">
        <v>75.737470287681873</v>
      </c>
      <c r="G2266" s="94">
        <v>5.0326084858719575</v>
      </c>
      <c r="H2266" s="94">
        <v>81.766202804277526</v>
      </c>
      <c r="I2266" s="94">
        <v>12.953461143444027</v>
      </c>
      <c r="J2266" s="94">
        <v>5179.8785689306196</v>
      </c>
      <c r="K2266" s="94">
        <v>2.8578213612753154</v>
      </c>
      <c r="L2266" s="94">
        <v>1</v>
      </c>
      <c r="M2266" s="94">
        <v>0</v>
      </c>
      <c r="N2266" s="94">
        <v>0</v>
      </c>
      <c r="O2266" s="94">
        <v>0</v>
      </c>
    </row>
    <row r="2267" spans="1:15" x14ac:dyDescent="0.25">
      <c r="A2267" s="89">
        <v>45694.333333333336</v>
      </c>
      <c r="B2267" s="94">
        <v>350.64</v>
      </c>
      <c r="C2267" s="94">
        <v>301.05</v>
      </c>
      <c r="D2267" s="94">
        <v>88.606373771694535</v>
      </c>
      <c r="E2267" s="94">
        <v>5.845462519308235</v>
      </c>
      <c r="F2267" s="94">
        <v>76.29788342452737</v>
      </c>
      <c r="G2267" s="94">
        <v>4.9812220892832171</v>
      </c>
      <c r="H2267" s="94">
        <v>81.851790772153279</v>
      </c>
      <c r="I2267" s="94">
        <v>12.890038985777593</v>
      </c>
      <c r="J2267" s="94">
        <v>5158.058576035166</v>
      </c>
      <c r="K2267" s="94">
        <v>2.8545106475417215</v>
      </c>
      <c r="L2267" s="94">
        <v>-2</v>
      </c>
      <c r="M2267" s="94">
        <v>-2</v>
      </c>
      <c r="N2267" s="94">
        <v>0</v>
      </c>
      <c r="O2267" s="94">
        <v>-2</v>
      </c>
    </row>
    <row r="2268" spans="1:15" x14ac:dyDescent="0.25">
      <c r="A2268" s="89">
        <v>45694.833333333336</v>
      </c>
      <c r="B2268" s="94">
        <v>350.64</v>
      </c>
      <c r="C2268" s="94">
        <v>300.9825875023767</v>
      </c>
      <c r="D2268" s="94">
        <v>69.400000000000006</v>
      </c>
      <c r="E2268" s="94">
        <v>4.1714599609374998</v>
      </c>
      <c r="F2268" s="94">
        <v>78.099999999999994</v>
      </c>
      <c r="G2268" s="94">
        <v>4.9585700988769528</v>
      </c>
      <c r="H2268" s="94">
        <v>81.900000000000006</v>
      </c>
      <c r="I2268" s="94">
        <v>13.003921508789063</v>
      </c>
      <c r="J2268" s="94">
        <v>4866.0374805934907</v>
      </c>
      <c r="K2268" s="94">
        <v>2.8040027051034833</v>
      </c>
      <c r="L2268" s="94">
        <v>1</v>
      </c>
      <c r="M2268" s="94">
        <v>0</v>
      </c>
      <c r="N2268" s="94">
        <v>0</v>
      </c>
      <c r="O2268" s="94">
        <v>0</v>
      </c>
    </row>
    <row r="2269" spans="1:15" x14ac:dyDescent="0.25">
      <c r="A2269" s="89">
        <v>45695.333333333336</v>
      </c>
      <c r="B2269" s="94">
        <v>350.61734602203296</v>
      </c>
      <c r="C2269" s="94">
        <v>300.9887491568868</v>
      </c>
      <c r="D2269" s="94">
        <v>69.735336255746816</v>
      </c>
      <c r="E2269" s="94">
        <v>4.2111807250976563</v>
      </c>
      <c r="F2269" s="94">
        <v>79.299340358191046</v>
      </c>
      <c r="G2269" s="94">
        <v>4.9656800842285156</v>
      </c>
      <c r="H2269" s="94">
        <v>82.08331893686848</v>
      </c>
      <c r="I2269" s="94">
        <v>12.926703149294228</v>
      </c>
      <c r="J2269" s="94">
        <v>4840.9541006074705</v>
      </c>
      <c r="K2269" s="94">
        <v>2.8022820593833058</v>
      </c>
      <c r="L2269" s="94">
        <v>1</v>
      </c>
      <c r="M2269" s="94">
        <v>0</v>
      </c>
      <c r="N2269" s="94">
        <v>0</v>
      </c>
      <c r="O2269" s="94">
        <v>0</v>
      </c>
    </row>
    <row r="2270" spans="1:15" x14ac:dyDescent="0.25">
      <c r="A2270" s="89">
        <v>45695.833333333336</v>
      </c>
      <c r="B2270" s="94">
        <v>350.44</v>
      </c>
      <c r="C2270" s="94">
        <v>300.83</v>
      </c>
      <c r="D2270" s="94">
        <v>41.969092306229825</v>
      </c>
      <c r="E2270" s="94">
        <v>1.6886532327321802</v>
      </c>
      <c r="F2270" s="94">
        <v>71.847607931443164</v>
      </c>
      <c r="G2270" s="94">
        <v>4.2492387315760505</v>
      </c>
      <c r="H2270" s="94">
        <v>76.536355972681122</v>
      </c>
      <c r="I2270" s="94">
        <v>11.863220206266291</v>
      </c>
      <c r="J2270" s="94">
        <v>4043.0989607865804</v>
      </c>
      <c r="K2270" s="94">
        <v>2.6706345897783188</v>
      </c>
      <c r="L2270" s="94">
        <v>1</v>
      </c>
      <c r="M2270" s="94">
        <v>0</v>
      </c>
      <c r="N2270" s="94">
        <v>0</v>
      </c>
      <c r="O2270" s="94">
        <v>0</v>
      </c>
    </row>
    <row r="2271" spans="1:15" x14ac:dyDescent="0.25">
      <c r="A2271" s="89">
        <v>45696.333333333336</v>
      </c>
      <c r="B2271" s="94">
        <v>350.44</v>
      </c>
      <c r="C2271" s="94">
        <v>300.83677909040557</v>
      </c>
      <c r="D2271" s="94">
        <v>40.297168144425591</v>
      </c>
      <c r="E2271" s="94">
        <v>1.6773153400426959</v>
      </c>
      <c r="F2271" s="94">
        <v>73.742192189147545</v>
      </c>
      <c r="G2271" s="94">
        <v>4.2779202270507808</v>
      </c>
      <c r="H2271" s="94">
        <v>76.870422267828104</v>
      </c>
      <c r="I2271" s="94">
        <v>11.87</v>
      </c>
      <c r="J2271" s="94">
        <v>4038</v>
      </c>
      <c r="K2271" s="94">
        <v>2.6704096436294207</v>
      </c>
      <c r="L2271" s="94">
        <v>1</v>
      </c>
      <c r="M2271" s="94">
        <v>0</v>
      </c>
      <c r="N2271" s="94">
        <v>0</v>
      </c>
      <c r="O2271" s="94">
        <v>0</v>
      </c>
    </row>
    <row r="2272" spans="1:15" x14ac:dyDescent="0.25">
      <c r="A2272" s="89">
        <v>45696.833333333336</v>
      </c>
      <c r="B2272" s="94">
        <v>350.44</v>
      </c>
      <c r="C2272" s="94">
        <v>300.54000000000002</v>
      </c>
      <c r="D2272" s="94">
        <v>37.314875976562504</v>
      </c>
      <c r="E2272" s="94">
        <v>1.6385830021167405</v>
      </c>
      <c r="F2272" s="94">
        <v>69.932984572190506</v>
      </c>
      <c r="G2272" s="94">
        <v>4.01</v>
      </c>
      <c r="H2272" s="94">
        <v>41.962303024088371</v>
      </c>
      <c r="I2272" s="94">
        <v>3.9573331394725968</v>
      </c>
      <c r="J2272" s="94">
        <v>2546.0308437368494</v>
      </c>
      <c r="K2272" s="94">
        <v>2.3671726235784227</v>
      </c>
      <c r="L2272" s="94">
        <v>1</v>
      </c>
      <c r="M2272" s="94">
        <v>0</v>
      </c>
      <c r="N2272" s="94">
        <v>0</v>
      </c>
      <c r="O2272" s="94">
        <v>0</v>
      </c>
    </row>
    <row r="2273" spans="1:15" x14ac:dyDescent="0.25">
      <c r="A2273" s="89">
        <v>45697.333333333336</v>
      </c>
      <c r="B2273" s="94">
        <v>350.44</v>
      </c>
      <c r="C2273" s="94">
        <v>300.54000000000002</v>
      </c>
      <c r="D2273" s="94">
        <v>38.5</v>
      </c>
      <c r="E2273" s="94">
        <v>1.6612287922440205</v>
      </c>
      <c r="F2273" s="94">
        <v>70.531135322182919</v>
      </c>
      <c r="G2273" s="94">
        <v>4.0162235907441843</v>
      </c>
      <c r="H2273" s="94">
        <v>42.2</v>
      </c>
      <c r="I2273" s="94">
        <v>3.8853815461346635</v>
      </c>
      <c r="J2273" s="94">
        <v>2545.9309186701867</v>
      </c>
      <c r="K2273" s="94">
        <v>2.3677186620367827</v>
      </c>
      <c r="L2273" s="94">
        <v>1</v>
      </c>
      <c r="M2273" s="94">
        <v>0</v>
      </c>
      <c r="N2273" s="94">
        <v>0</v>
      </c>
      <c r="O2273" s="94">
        <v>0</v>
      </c>
    </row>
    <row r="2274" spans="1:15" x14ac:dyDescent="0.25">
      <c r="A2274" s="89">
        <v>45697.833333333336</v>
      </c>
      <c r="B2274" s="94">
        <v>350.44</v>
      </c>
      <c r="C2274" s="94">
        <v>300.24</v>
      </c>
      <c r="D2274" s="94">
        <v>37.700000000000003</v>
      </c>
      <c r="E2274" s="94">
        <v>1.6471433977687289</v>
      </c>
      <c r="F2274" s="94">
        <v>75.3</v>
      </c>
      <c r="G2274" s="94">
        <v>4.76</v>
      </c>
      <c r="H2274" s="94">
        <v>0.23231578626130756</v>
      </c>
      <c r="I2274" s="94">
        <v>0</v>
      </c>
      <c r="J2274" s="94">
        <v>1454.9906922201235</v>
      </c>
      <c r="K2274" s="94">
        <v>2.0584994136896784</v>
      </c>
      <c r="L2274" s="94">
        <v>1</v>
      </c>
      <c r="M2274" s="94">
        <v>0</v>
      </c>
      <c r="N2274" s="94">
        <v>0</v>
      </c>
      <c r="O2274" s="94">
        <v>0</v>
      </c>
    </row>
    <row r="2275" spans="1:15" x14ac:dyDescent="0.25">
      <c r="A2275" s="89">
        <v>45698.333333333336</v>
      </c>
      <c r="B2275" s="94">
        <v>350.44</v>
      </c>
      <c r="C2275" s="94">
        <v>300.23781785041808</v>
      </c>
      <c r="D2275" s="94">
        <v>38.813217986257449</v>
      </c>
      <c r="E2275" s="94">
        <v>1.67</v>
      </c>
      <c r="F2275" s="94">
        <v>76.497773273660286</v>
      </c>
      <c r="G2275" s="94">
        <v>4.7910296413427735</v>
      </c>
      <c r="H2275" s="94">
        <v>0.40698363787859421</v>
      </c>
      <c r="I2275" s="94">
        <v>0</v>
      </c>
      <c r="J2275" s="94">
        <v>1451.5974984281138</v>
      </c>
      <c r="K2275" s="94">
        <v>2.057638152531672</v>
      </c>
      <c r="L2275" s="94">
        <v>0</v>
      </c>
      <c r="M2275" s="94">
        <v>0</v>
      </c>
      <c r="N2275" s="94">
        <v>0</v>
      </c>
      <c r="O2275" s="94">
        <v>0</v>
      </c>
    </row>
    <row r="2276" spans="1:15" x14ac:dyDescent="0.25">
      <c r="A2276" s="89">
        <v>45698.833333333336</v>
      </c>
      <c r="B2276" s="94">
        <v>350.44</v>
      </c>
      <c r="C2276" s="94">
        <v>299.75</v>
      </c>
      <c r="D2276" s="94">
        <v>40.200000000000003</v>
      </c>
      <c r="E2276" s="94">
        <v>1.73</v>
      </c>
      <c r="F2276" s="94">
        <v>3.5</v>
      </c>
      <c r="G2276" s="94">
        <v>0</v>
      </c>
      <c r="H2276" s="94">
        <v>0.45418553921746252</v>
      </c>
      <c r="I2276" s="94">
        <v>0</v>
      </c>
      <c r="J2276" s="94">
        <v>467.99804323168911</v>
      </c>
      <c r="K2276" s="94">
        <v>1.5610741857741843</v>
      </c>
      <c r="L2276" s="94">
        <v>1</v>
      </c>
      <c r="M2276" s="94">
        <v>0</v>
      </c>
      <c r="N2276" s="94">
        <v>0</v>
      </c>
      <c r="O2276" s="94">
        <v>0</v>
      </c>
    </row>
    <row r="2277" spans="1:15" x14ac:dyDescent="0.25">
      <c r="A2277" s="89">
        <v>45699.333333333336</v>
      </c>
      <c r="B2277" s="94">
        <v>350.44</v>
      </c>
      <c r="C2277" s="94">
        <v>299.74</v>
      </c>
      <c r="D2277" s="94">
        <v>37.740025004693209</v>
      </c>
      <c r="E2277" s="94">
        <v>1.7494519418975996</v>
      </c>
      <c r="F2277" s="94">
        <v>3.2021165754726257</v>
      </c>
      <c r="G2277" s="94">
        <v>0</v>
      </c>
      <c r="H2277" s="94">
        <v>0.5</v>
      </c>
      <c r="I2277" s="94">
        <v>0</v>
      </c>
      <c r="J2277" s="94">
        <v>466.20148069936306</v>
      </c>
      <c r="K2277" s="94">
        <v>1.5589999999999999</v>
      </c>
      <c r="L2277" s="94">
        <v>0.73275884033082339</v>
      </c>
      <c r="M2277" s="94">
        <v>0</v>
      </c>
      <c r="N2277" s="94">
        <v>0</v>
      </c>
      <c r="O2277" s="94">
        <v>0</v>
      </c>
    </row>
    <row r="2278" spans="1:15" x14ac:dyDescent="0.25">
      <c r="A2278" s="89">
        <v>45699.833333333336</v>
      </c>
      <c r="B2278" s="94">
        <v>350.44</v>
      </c>
      <c r="C2278" s="94">
        <v>300.61</v>
      </c>
      <c r="D2278" s="94">
        <v>41.964005859855575</v>
      </c>
      <c r="E2278" s="94">
        <v>1.938800048828125</v>
      </c>
      <c r="F2278" s="94">
        <v>3.4288660571882676</v>
      </c>
      <c r="G2278" s="94">
        <v>0</v>
      </c>
      <c r="H2278" s="94">
        <v>77.108975420926527</v>
      </c>
      <c r="I2278" s="94">
        <v>11.911699981689454</v>
      </c>
      <c r="J2278" s="94">
        <v>3034.7553927585964</v>
      </c>
      <c r="K2278" s="94">
        <v>2.4776470617095621</v>
      </c>
      <c r="L2278" s="94">
        <v>1</v>
      </c>
      <c r="M2278" s="94">
        <v>0</v>
      </c>
      <c r="N2278" s="94">
        <v>0</v>
      </c>
      <c r="O2278" s="94">
        <v>0</v>
      </c>
    </row>
    <row r="2279" spans="1:15" x14ac:dyDescent="0.25">
      <c r="A2279" s="89">
        <v>45700.333333333336</v>
      </c>
      <c r="B2279" s="94">
        <v>350.44</v>
      </c>
      <c r="C2279" s="94">
        <v>300.61</v>
      </c>
      <c r="D2279" s="94">
        <v>42.5</v>
      </c>
      <c r="E2279" s="94">
        <v>1.922751007080078</v>
      </c>
      <c r="F2279" s="94">
        <v>3.3</v>
      </c>
      <c r="G2279" s="94">
        <v>0</v>
      </c>
      <c r="H2279" s="94">
        <v>77.422731179530174</v>
      </c>
      <c r="I2279" s="94">
        <v>12.057720031738281</v>
      </c>
      <c r="J2279" s="94">
        <v>3030.0181086107691</v>
      </c>
      <c r="K2279" s="94">
        <v>2.4802772270132629</v>
      </c>
      <c r="L2279" s="94">
        <v>0.3302628223789511</v>
      </c>
      <c r="M2279" s="94">
        <v>0</v>
      </c>
      <c r="N2279" s="94">
        <v>0</v>
      </c>
      <c r="O2279" s="94">
        <v>0</v>
      </c>
    </row>
    <row r="2280" spans="1:15" x14ac:dyDescent="0.25">
      <c r="A2280" s="89">
        <v>45700.833333333336</v>
      </c>
      <c r="B2280" s="94">
        <v>350.44</v>
      </c>
      <c r="C2280" s="94">
        <v>300.61</v>
      </c>
      <c r="D2280" s="94">
        <v>42.074362787150889</v>
      </c>
      <c r="E2280" s="94">
        <v>1.93</v>
      </c>
      <c r="F2280" s="94">
        <v>3.6</v>
      </c>
      <c r="G2280" s="94">
        <v>0</v>
      </c>
      <c r="H2280" s="94">
        <v>76.617309364358178</v>
      </c>
      <c r="I2280" s="94">
        <v>11.902120361328125</v>
      </c>
      <c r="J2280" s="94">
        <v>3026.0715430250366</v>
      </c>
      <c r="K2280" s="94">
        <v>2.4770998117849841</v>
      </c>
      <c r="L2280" s="94">
        <v>1</v>
      </c>
      <c r="M2280" s="94">
        <v>0</v>
      </c>
      <c r="N2280" s="94">
        <v>0</v>
      </c>
      <c r="O2280" s="94">
        <v>0</v>
      </c>
    </row>
    <row r="2281" spans="1:15" x14ac:dyDescent="0.25">
      <c r="A2281" s="89">
        <v>45701.333333333336</v>
      </c>
      <c r="B2281" s="94">
        <v>350.44</v>
      </c>
      <c r="C2281" s="94">
        <v>300.61</v>
      </c>
      <c r="D2281" s="94">
        <v>42.811964983729446</v>
      </c>
      <c r="E2281" s="94">
        <v>1.9404280031580226</v>
      </c>
      <c r="F2281" s="94">
        <v>3.5</v>
      </c>
      <c r="G2281" s="94">
        <v>0</v>
      </c>
      <c r="H2281" s="94">
        <v>76.787845277021148</v>
      </c>
      <c r="I2281" s="94">
        <v>11.88680268894241</v>
      </c>
      <c r="J2281" s="94">
        <v>3044.9870860167694</v>
      </c>
      <c r="K2281" s="94">
        <v>2.4790000000000001</v>
      </c>
      <c r="L2281" s="94">
        <v>1</v>
      </c>
      <c r="M2281" s="94">
        <v>0</v>
      </c>
      <c r="N2281" s="94">
        <v>0</v>
      </c>
      <c r="O2281" s="94">
        <v>0</v>
      </c>
    </row>
    <row r="2282" spans="1:15" x14ac:dyDescent="0.25">
      <c r="A2282" s="89">
        <v>45701.833333333336</v>
      </c>
      <c r="B2282" s="94">
        <v>350.44</v>
      </c>
      <c r="C2282" s="94">
        <v>300.36148599243165</v>
      </c>
      <c r="D2282" s="94">
        <v>48.3</v>
      </c>
      <c r="E2282" s="94">
        <v>2.25</v>
      </c>
      <c r="F2282" s="94">
        <v>3.6644180046559063</v>
      </c>
      <c r="G2282" s="94">
        <v>0</v>
      </c>
      <c r="H2282" s="94">
        <v>48.939734491808657</v>
      </c>
      <c r="I2282" s="94">
        <v>5.4115267580716502</v>
      </c>
      <c r="J2282" s="94">
        <v>1980.6687273496029</v>
      </c>
      <c r="K2282" s="94">
        <v>2.225283768959665</v>
      </c>
      <c r="L2282" s="94">
        <v>1</v>
      </c>
      <c r="M2282" s="94">
        <v>0</v>
      </c>
      <c r="N2282" s="94">
        <v>0</v>
      </c>
      <c r="O2282" s="94">
        <v>0</v>
      </c>
    </row>
    <row r="2283" spans="1:15" x14ac:dyDescent="0.25">
      <c r="A2283" s="89">
        <v>45702.333333333336</v>
      </c>
      <c r="B2283" s="94">
        <v>350.44</v>
      </c>
      <c r="C2283" s="94">
        <v>300.36454896328877</v>
      </c>
      <c r="D2283" s="94">
        <v>47.38661311098069</v>
      </c>
      <c r="E2283" s="94">
        <v>2.2493010081320621</v>
      </c>
      <c r="F2283" s="94">
        <v>3.4767013549804688</v>
      </c>
      <c r="G2283" s="94">
        <v>0</v>
      </c>
      <c r="H2283" s="94">
        <v>49.2</v>
      </c>
      <c r="I2283" s="94">
        <v>5.53643597928854</v>
      </c>
      <c r="J2283" s="94">
        <v>1990.9810757886121</v>
      </c>
      <c r="K2283" s="94">
        <v>2.2256596669514974</v>
      </c>
      <c r="L2283" s="94">
        <v>1</v>
      </c>
      <c r="M2283" s="94">
        <v>0</v>
      </c>
      <c r="N2283" s="94">
        <v>0</v>
      </c>
      <c r="O2283" s="94">
        <v>0</v>
      </c>
    </row>
    <row r="2284" spans="1:15" x14ac:dyDescent="0.25">
      <c r="A2284" s="89">
        <v>45702.833333333336</v>
      </c>
      <c r="B2284" s="94">
        <v>350.44</v>
      </c>
      <c r="C2284" s="94">
        <v>300.37552370760363</v>
      </c>
      <c r="D2284" s="94">
        <v>47.259330014346041</v>
      </c>
      <c r="E2284" s="94">
        <v>2.2420767575322813</v>
      </c>
      <c r="F2284" s="94">
        <v>3.3</v>
      </c>
      <c r="G2284" s="94">
        <v>0</v>
      </c>
      <c r="H2284" s="94">
        <v>49.376812577769115</v>
      </c>
      <c r="I2284" s="94">
        <v>5.46</v>
      </c>
      <c r="J2284" s="94">
        <v>1997.9906522430954</v>
      </c>
      <c r="K2284" s="94">
        <v>2.2283889146716813</v>
      </c>
      <c r="L2284" s="94">
        <v>0</v>
      </c>
      <c r="M2284" s="94">
        <v>0</v>
      </c>
      <c r="N2284" s="94">
        <v>0</v>
      </c>
      <c r="O2284" s="94">
        <v>0</v>
      </c>
    </row>
    <row r="2285" spans="1:15" x14ac:dyDescent="0.25">
      <c r="A2285" s="89">
        <v>45703.333333333336</v>
      </c>
      <c r="B2285" s="94">
        <v>350.44</v>
      </c>
      <c r="C2285" s="94">
        <v>300.38</v>
      </c>
      <c r="D2285" s="94">
        <v>47.268491142651122</v>
      </c>
      <c r="E2285" s="94">
        <v>2.2276127252217921</v>
      </c>
      <c r="F2285" s="94">
        <v>3.1164662679036459</v>
      </c>
      <c r="G2285" s="94">
        <v>0</v>
      </c>
      <c r="H2285" s="94">
        <v>49.718674279469703</v>
      </c>
      <c r="I2285" s="94">
        <v>5.5025645310232614</v>
      </c>
      <c r="J2285" s="94">
        <v>1993.9664399638955</v>
      </c>
      <c r="K2285" s="94">
        <v>2.2280000000000002</v>
      </c>
      <c r="L2285" s="94">
        <v>0</v>
      </c>
      <c r="M2285" s="94">
        <v>0</v>
      </c>
      <c r="N2285" s="94">
        <v>0</v>
      </c>
      <c r="O2285" s="94">
        <v>0</v>
      </c>
    </row>
    <row r="2286" spans="1:15" x14ac:dyDescent="0.25">
      <c r="A2286" s="89">
        <v>45703.833333333336</v>
      </c>
      <c r="B2286" s="94">
        <v>350.44</v>
      </c>
      <c r="C2286" s="94">
        <v>300.37606198113843</v>
      </c>
      <c r="D2286" s="94">
        <v>46.475905001592459</v>
      </c>
      <c r="E2286" s="94">
        <v>2.2501559315454047</v>
      </c>
      <c r="F2286" s="94">
        <v>3.3</v>
      </c>
      <c r="G2286" s="94">
        <v>0</v>
      </c>
      <c r="H2286" s="94">
        <v>49.353269546783025</v>
      </c>
      <c r="I2286" s="94">
        <v>5.6561873192641361</v>
      </c>
      <c r="J2286" s="94">
        <v>1979.9730696317235</v>
      </c>
      <c r="K2286" s="94">
        <v>2.2233890236505118</v>
      </c>
      <c r="L2286" s="94">
        <v>1</v>
      </c>
      <c r="M2286" s="94">
        <v>0</v>
      </c>
      <c r="N2286" s="94">
        <v>0</v>
      </c>
      <c r="O2286" s="94">
        <v>0</v>
      </c>
    </row>
    <row r="2287" spans="1:15" x14ac:dyDescent="0.25">
      <c r="A2287" s="89">
        <v>45704.333333333336</v>
      </c>
      <c r="B2287" s="94">
        <v>350.44</v>
      </c>
      <c r="C2287" s="94">
        <v>300.37</v>
      </c>
      <c r="D2287" s="94">
        <v>47.153948237854891</v>
      </c>
      <c r="E2287" s="94">
        <v>2.2799999999999998</v>
      </c>
      <c r="F2287" s="94">
        <v>2.9</v>
      </c>
      <c r="G2287" s="94">
        <v>0</v>
      </c>
      <c r="H2287" s="94">
        <v>50.134038423350397</v>
      </c>
      <c r="I2287" s="94">
        <v>5.6082430180496718</v>
      </c>
      <c r="J2287" s="94">
        <v>793.52467199697446</v>
      </c>
      <c r="K2287" s="94">
        <v>2.2299113210163974</v>
      </c>
      <c r="L2287" s="94">
        <v>0</v>
      </c>
      <c r="M2287" s="94">
        <v>0</v>
      </c>
      <c r="N2287" s="94">
        <v>0</v>
      </c>
      <c r="O2287" s="94">
        <v>0</v>
      </c>
    </row>
    <row r="2288" spans="1:15" x14ac:dyDescent="0.25">
      <c r="A2288" s="89">
        <v>45704.833333333336</v>
      </c>
      <c r="B2288" s="94">
        <v>350.19</v>
      </c>
      <c r="C2288" s="94">
        <v>300.17163333691616</v>
      </c>
      <c r="D2288" s="94">
        <v>1.6488985932124025</v>
      </c>
      <c r="E2288" s="94">
        <v>0</v>
      </c>
      <c r="F2288" s="94">
        <v>3.3</v>
      </c>
      <c r="G2288" s="94">
        <v>0</v>
      </c>
      <c r="H2288" s="94">
        <v>49.793154336561727</v>
      </c>
      <c r="I2288" s="94">
        <v>5.5334376576714321</v>
      </c>
      <c r="J2288" s="94">
        <v>126.96582040442718</v>
      </c>
      <c r="K2288" s="94">
        <v>2.0509898667334912</v>
      </c>
      <c r="L2288" s="94">
        <v>1</v>
      </c>
      <c r="M2288" s="94">
        <v>0</v>
      </c>
      <c r="N2288" s="94">
        <v>0</v>
      </c>
      <c r="O2288" s="94">
        <v>0</v>
      </c>
    </row>
    <row r="2289" spans="1:15" x14ac:dyDescent="0.25">
      <c r="A2289" s="89">
        <v>45705.333333333336</v>
      </c>
      <c r="B2289" s="94">
        <v>350.19</v>
      </c>
      <c r="C2289" s="94">
        <v>300.18</v>
      </c>
      <c r="D2289" s="94">
        <v>1.7389756468434674</v>
      </c>
      <c r="E2289" s="94">
        <v>0</v>
      </c>
      <c r="F2289" s="94">
        <v>3.3</v>
      </c>
      <c r="G2289" s="94">
        <v>0</v>
      </c>
      <c r="H2289" s="94">
        <v>49.835712701688621</v>
      </c>
      <c r="I2289" s="94">
        <v>5.7238883972167969</v>
      </c>
      <c r="J2289" s="94">
        <v>1426.9736164339085</v>
      </c>
      <c r="K2289" s="94">
        <v>2.0493445283273335</v>
      </c>
      <c r="L2289" s="94">
        <v>0.34854782757357644</v>
      </c>
      <c r="M2289" s="94">
        <v>0</v>
      </c>
      <c r="N2289" s="94">
        <v>0</v>
      </c>
      <c r="O2289" s="94">
        <v>0</v>
      </c>
    </row>
    <row r="2290" spans="1:15" x14ac:dyDescent="0.25">
      <c r="A2290" s="89">
        <v>45705.833333333336</v>
      </c>
      <c r="B2290" s="94">
        <v>350.19</v>
      </c>
      <c r="C2290" s="94">
        <v>300.18263289840178</v>
      </c>
      <c r="D2290" s="94">
        <v>1.8</v>
      </c>
      <c r="E2290" s="94">
        <v>0</v>
      </c>
      <c r="F2290" s="94">
        <v>3.3</v>
      </c>
      <c r="G2290" s="94">
        <v>0</v>
      </c>
      <c r="H2290" s="94">
        <v>50.128641115281418</v>
      </c>
      <c r="I2290" s="94">
        <v>5.8467704684438635</v>
      </c>
      <c r="J2290" s="94">
        <v>1451.9825271053489</v>
      </c>
      <c r="K2290" s="94">
        <v>2.057286974761813</v>
      </c>
      <c r="L2290" s="94">
        <v>1</v>
      </c>
      <c r="M2290" s="94">
        <v>0</v>
      </c>
      <c r="N2290" s="94">
        <v>0</v>
      </c>
      <c r="O2290" s="94">
        <v>0</v>
      </c>
    </row>
    <row r="2291" spans="1:15" x14ac:dyDescent="0.25">
      <c r="A2291" s="89">
        <v>45706.333333333336</v>
      </c>
      <c r="B2291" s="94">
        <v>350.19</v>
      </c>
      <c r="C2291" s="94">
        <v>300.19242959665348</v>
      </c>
      <c r="D2291" s="94">
        <v>1.8</v>
      </c>
      <c r="E2291" s="94">
        <v>0</v>
      </c>
      <c r="F2291" s="94">
        <v>3.3</v>
      </c>
      <c r="G2291" s="94">
        <v>0</v>
      </c>
      <c r="H2291" s="94">
        <v>50.385117812221083</v>
      </c>
      <c r="I2291" s="94">
        <v>5.7526121468832336</v>
      </c>
      <c r="J2291" s="94">
        <v>1452.0351676824271</v>
      </c>
      <c r="K2291" s="94">
        <v>2.0580252702959778</v>
      </c>
      <c r="L2291" s="94">
        <v>0.19701932118687626</v>
      </c>
      <c r="M2291" s="94">
        <v>0</v>
      </c>
      <c r="N2291" s="94">
        <v>0</v>
      </c>
      <c r="O2291" s="94">
        <v>0</v>
      </c>
    </row>
    <row r="2292" spans="1:15" x14ac:dyDescent="0.25">
      <c r="A2292" s="89">
        <v>45706.833333333336</v>
      </c>
      <c r="B2292" s="94">
        <v>350.19</v>
      </c>
      <c r="C2292" s="94">
        <v>300.18</v>
      </c>
      <c r="D2292" s="94">
        <v>1.7798186252019708</v>
      </c>
      <c r="E2292" s="94">
        <v>0</v>
      </c>
      <c r="F2292" s="94">
        <v>3.3</v>
      </c>
      <c r="G2292" s="94">
        <v>0</v>
      </c>
      <c r="H2292" s="94">
        <v>49.911110412666481</v>
      </c>
      <c r="I2292" s="94">
        <v>5.6292617408783574</v>
      </c>
      <c r="J2292" s="94">
        <v>1458</v>
      </c>
      <c r="K2292" s="94">
        <v>2.0589629817663164</v>
      </c>
      <c r="L2292" s="94">
        <v>1</v>
      </c>
      <c r="M2292" s="94">
        <v>0</v>
      </c>
      <c r="N2292" s="94">
        <v>0</v>
      </c>
      <c r="O2292" s="94">
        <v>0</v>
      </c>
    </row>
    <row r="2293" spans="1:15" x14ac:dyDescent="0.25">
      <c r="A2293" s="89">
        <v>45707.333333333336</v>
      </c>
      <c r="B2293" s="94">
        <v>350.19</v>
      </c>
      <c r="C2293" s="94">
        <v>300.18</v>
      </c>
      <c r="D2293" s="94">
        <v>1.7310314595935019</v>
      </c>
      <c r="E2293" s="94">
        <v>0</v>
      </c>
      <c r="F2293" s="94">
        <v>3.3</v>
      </c>
      <c r="G2293" s="94">
        <v>0</v>
      </c>
      <c r="H2293" s="94">
        <v>50.4</v>
      </c>
      <c r="I2293" s="94">
        <v>5.8493817412867202</v>
      </c>
      <c r="J2293" s="94">
        <v>1455</v>
      </c>
      <c r="K2293" s="94">
        <v>2.0590000000000002</v>
      </c>
      <c r="L2293" s="94">
        <v>1</v>
      </c>
      <c r="M2293" s="94">
        <v>0</v>
      </c>
      <c r="N2293" s="94">
        <v>0</v>
      </c>
      <c r="O2293" s="94">
        <v>0</v>
      </c>
    </row>
    <row r="2294" spans="1:15" x14ac:dyDescent="0.25">
      <c r="A2294" s="89">
        <v>45707.833333333336</v>
      </c>
      <c r="B2294" s="94">
        <v>350.19</v>
      </c>
      <c r="C2294" s="94">
        <v>300.18851107813538</v>
      </c>
      <c r="D2294" s="94">
        <v>1.78310225141901</v>
      </c>
      <c r="E2294" s="94">
        <v>0</v>
      </c>
      <c r="F2294" s="94">
        <v>3.3</v>
      </c>
      <c r="G2294" s="94">
        <v>0</v>
      </c>
      <c r="H2294" s="94">
        <v>50.413205782357217</v>
      </c>
      <c r="I2294" s="94">
        <v>5.6238732243775775</v>
      </c>
      <c r="J2294" s="94">
        <v>1455</v>
      </c>
      <c r="K2294" s="94">
        <v>2.0602195416073434</v>
      </c>
      <c r="L2294" s="94">
        <v>1</v>
      </c>
      <c r="M2294" s="94">
        <v>0</v>
      </c>
      <c r="N2294" s="94">
        <v>0</v>
      </c>
      <c r="O2294" s="94">
        <v>0</v>
      </c>
    </row>
    <row r="2295" spans="1:15" x14ac:dyDescent="0.25">
      <c r="A2295" s="89">
        <v>45708.333333333336</v>
      </c>
      <c r="B2295" s="94">
        <v>350.19</v>
      </c>
      <c r="C2295" s="94">
        <v>300.2</v>
      </c>
      <c r="D2295" s="94">
        <v>1.7881254862814233</v>
      </c>
      <c r="E2295" s="94">
        <v>0</v>
      </c>
      <c r="F2295" s="94">
        <v>3.3</v>
      </c>
      <c r="G2295" s="94">
        <v>0</v>
      </c>
      <c r="H2295" s="94">
        <v>50.2</v>
      </c>
      <c r="I2295" s="94">
        <v>5.8759869558622784</v>
      </c>
      <c r="J2295" s="94">
        <v>1457.9884415035185</v>
      </c>
      <c r="K2295" s="94">
        <v>2.0597298449008261</v>
      </c>
      <c r="L2295" s="94">
        <v>1</v>
      </c>
      <c r="M2295" s="94">
        <v>0</v>
      </c>
      <c r="N2295" s="94">
        <v>0</v>
      </c>
      <c r="O2295" s="94">
        <v>0</v>
      </c>
    </row>
    <row r="2296" spans="1:15" x14ac:dyDescent="0.25">
      <c r="A2296" s="89">
        <v>45708.833333333336</v>
      </c>
      <c r="B2296" s="94">
        <v>350.19</v>
      </c>
      <c r="C2296" s="94">
        <v>300.58999999999997</v>
      </c>
      <c r="D2296" s="94">
        <v>88.211208316324374</v>
      </c>
      <c r="E2296" s="94">
        <v>5.96</v>
      </c>
      <c r="F2296" s="94">
        <v>3.3</v>
      </c>
      <c r="G2296" s="94">
        <v>0</v>
      </c>
      <c r="H2296" s="94">
        <v>50.7</v>
      </c>
      <c r="I2296" s="94">
        <v>5.7675329048056323</v>
      </c>
      <c r="J2296" s="94">
        <v>2745.0439489063651</v>
      </c>
      <c r="K2296" s="94">
        <v>2.4158151293309311</v>
      </c>
      <c r="L2296" s="94">
        <v>1</v>
      </c>
      <c r="M2296" s="94">
        <v>0</v>
      </c>
      <c r="N2296" s="94">
        <v>0</v>
      </c>
      <c r="O2296" s="94">
        <v>0</v>
      </c>
    </row>
    <row r="2297" spans="1:15" x14ac:dyDescent="0.25">
      <c r="A2297" s="89">
        <v>45709.333333333336</v>
      </c>
      <c r="B2297" s="94">
        <v>350.19</v>
      </c>
      <c r="C2297" s="94">
        <v>300.58929839050921</v>
      </c>
      <c r="D2297" s="94">
        <v>88.8</v>
      </c>
      <c r="E2297" s="94">
        <v>5.9690777322487927</v>
      </c>
      <c r="F2297" s="94">
        <v>3.2798265816843748</v>
      </c>
      <c r="G2297" s="94">
        <v>0</v>
      </c>
      <c r="H2297" s="94">
        <v>51.1</v>
      </c>
      <c r="I2297" s="94">
        <v>5.7267068748271299</v>
      </c>
      <c r="J2297" s="94">
        <v>2758.9841111502819</v>
      </c>
      <c r="K2297" s="94">
        <v>2.417895684407148</v>
      </c>
      <c r="L2297" s="94">
        <v>1</v>
      </c>
      <c r="M2297" s="94">
        <v>0</v>
      </c>
      <c r="N2297" s="94">
        <v>0</v>
      </c>
      <c r="O2297" s="94">
        <v>0</v>
      </c>
    </row>
    <row r="2298" spans="1:15" x14ac:dyDescent="0.25">
      <c r="A2298" s="89">
        <v>45709.833333333336</v>
      </c>
      <c r="B2298" s="94">
        <v>350.19</v>
      </c>
      <c r="C2298" s="94">
        <v>300.82795855226158</v>
      </c>
      <c r="D2298" s="94">
        <v>85.3</v>
      </c>
      <c r="E2298" s="94">
        <v>5.7248001098632813</v>
      </c>
      <c r="F2298" s="94">
        <v>3.3098993951874842</v>
      </c>
      <c r="G2298" s="94">
        <v>0</v>
      </c>
      <c r="H2298" s="94">
        <v>82.514145792803248</v>
      </c>
      <c r="I2298" s="94">
        <v>12.909119873046874</v>
      </c>
      <c r="J2298" s="94">
        <v>4009.9839256764799</v>
      </c>
      <c r="K2298" s="94">
        <v>2.6641972244856897</v>
      </c>
      <c r="L2298" s="94">
        <v>1</v>
      </c>
      <c r="M2298" s="94">
        <v>0</v>
      </c>
      <c r="N2298" s="94">
        <v>0</v>
      </c>
      <c r="O2298" s="94">
        <v>0</v>
      </c>
    </row>
    <row r="2299" spans="1:15" x14ac:dyDescent="0.25">
      <c r="A2299" s="89">
        <v>45710.333333333336</v>
      </c>
      <c r="B2299" s="94">
        <v>350.19</v>
      </c>
      <c r="C2299" s="94">
        <v>300.83</v>
      </c>
      <c r="D2299" s="94">
        <v>85.746163462110843</v>
      </c>
      <c r="E2299" s="94">
        <v>5.7377052592124995</v>
      </c>
      <c r="F2299" s="94">
        <v>3.3</v>
      </c>
      <c r="G2299" s="94">
        <v>0</v>
      </c>
      <c r="H2299" s="94">
        <v>83.065331499156244</v>
      </c>
      <c r="I2299" s="94">
        <v>12.818075512300092</v>
      </c>
      <c r="J2299" s="94">
        <v>4025.999280256814</v>
      </c>
      <c r="K2299" s="94">
        <v>2.6670118699083023</v>
      </c>
      <c r="L2299" s="94">
        <v>1</v>
      </c>
      <c r="M2299" s="94">
        <v>0</v>
      </c>
      <c r="N2299" s="94">
        <v>0</v>
      </c>
      <c r="O2299" s="94">
        <v>0</v>
      </c>
    </row>
    <row r="2300" spans="1:15" x14ac:dyDescent="0.25">
      <c r="A2300" s="89">
        <v>45710.833333333336</v>
      </c>
      <c r="B2300" s="94">
        <v>350.19</v>
      </c>
      <c r="C2300" s="94">
        <v>300.82140948847069</v>
      </c>
      <c r="D2300" s="94">
        <v>85.3</v>
      </c>
      <c r="E2300" s="94">
        <v>5.7388037971794992</v>
      </c>
      <c r="F2300" s="94">
        <v>3.6163495908231806</v>
      </c>
      <c r="G2300" s="94">
        <v>0</v>
      </c>
      <c r="H2300" s="94">
        <v>82.648598173027608</v>
      </c>
      <c r="I2300" s="94">
        <v>12.866575888561348</v>
      </c>
      <c r="J2300" s="94">
        <v>4015.2834074554598</v>
      </c>
      <c r="K2300" s="94">
        <v>2.6679812071824327</v>
      </c>
      <c r="L2300" s="94">
        <v>1</v>
      </c>
      <c r="M2300" s="94">
        <v>0</v>
      </c>
      <c r="N2300" s="94">
        <v>0</v>
      </c>
      <c r="O2300" s="94">
        <v>0</v>
      </c>
    </row>
    <row r="2301" spans="1:15" x14ac:dyDescent="0.25">
      <c r="A2301" s="89">
        <v>45711.333333333336</v>
      </c>
      <c r="B2301" s="94">
        <v>350.19</v>
      </c>
      <c r="C2301" s="94">
        <v>300.82374240143059</v>
      </c>
      <c r="D2301" s="94">
        <v>86.5</v>
      </c>
      <c r="E2301" s="94">
        <v>5.7503152056000166</v>
      </c>
      <c r="F2301" s="94">
        <v>3.4128315654932555</v>
      </c>
      <c r="G2301" s="94">
        <v>0</v>
      </c>
      <c r="H2301" s="94">
        <v>83.353457739178879</v>
      </c>
      <c r="I2301" s="94">
        <v>12.825604600307766</v>
      </c>
      <c r="J2301" s="94">
        <v>4021.0811913059856</v>
      </c>
      <c r="K2301" s="94">
        <v>2.6716007523307486</v>
      </c>
      <c r="L2301" s="94">
        <v>1</v>
      </c>
      <c r="M2301" s="94">
        <v>0</v>
      </c>
      <c r="N2301" s="94">
        <v>0</v>
      </c>
      <c r="O2301" s="94">
        <v>0</v>
      </c>
    </row>
    <row r="2302" spans="1:15" x14ac:dyDescent="0.25">
      <c r="A2302" s="89">
        <v>45711.833333333336</v>
      </c>
      <c r="B2302" s="94">
        <v>350.19</v>
      </c>
      <c r="C2302" s="94">
        <v>301</v>
      </c>
      <c r="D2302" s="94">
        <v>77.5</v>
      </c>
      <c r="E2302" s="94">
        <v>4.9415589376128866</v>
      </c>
      <c r="F2302" s="94">
        <v>84.650223047628884</v>
      </c>
      <c r="G2302" s="94">
        <v>5.2990332062237311</v>
      </c>
      <c r="H2302" s="94">
        <v>78.795377277506418</v>
      </c>
      <c r="I2302" s="94">
        <v>11.92673095703125</v>
      </c>
      <c r="J2302" s="94">
        <v>4951.9859371043967</v>
      </c>
      <c r="K2302" s="94">
        <v>2.8196141524186706</v>
      </c>
      <c r="L2302" s="94">
        <v>1</v>
      </c>
      <c r="M2302" s="94">
        <v>0</v>
      </c>
      <c r="N2302" s="94">
        <v>0</v>
      </c>
      <c r="O2302" s="94">
        <v>0</v>
      </c>
    </row>
    <row r="2303" spans="1:15" x14ac:dyDescent="0.25">
      <c r="A2303" s="89">
        <v>45712.333333333336</v>
      </c>
      <c r="B2303" s="94">
        <v>350.19</v>
      </c>
      <c r="C2303" s="94">
        <v>301.01</v>
      </c>
      <c r="D2303" s="94">
        <v>77.5</v>
      </c>
      <c r="E2303" s="94">
        <v>4.9555058668156651</v>
      </c>
      <c r="F2303" s="94">
        <v>84.48311595276914</v>
      </c>
      <c r="G2303" s="94">
        <v>5.2668448703070601</v>
      </c>
      <c r="H2303" s="94">
        <v>79.7</v>
      </c>
      <c r="I2303" s="94">
        <v>11.77763648020516</v>
      </c>
      <c r="J2303" s="94">
        <v>4952.3172925705421</v>
      </c>
      <c r="K2303" s="94">
        <v>2.8262087010825931</v>
      </c>
      <c r="L2303" s="94">
        <v>1</v>
      </c>
      <c r="M2303" s="94">
        <v>0</v>
      </c>
      <c r="N2303" s="94">
        <v>0</v>
      </c>
      <c r="O2303" s="94">
        <v>0</v>
      </c>
    </row>
    <row r="2304" spans="1:15" x14ac:dyDescent="0.25">
      <c r="A2304" s="89">
        <v>45712.833333333336</v>
      </c>
      <c r="B2304" s="94">
        <v>350.19</v>
      </c>
      <c r="C2304" s="94">
        <v>301.3127727349729</v>
      </c>
      <c r="D2304" s="94">
        <v>89.7</v>
      </c>
      <c r="E2304" s="94">
        <v>5.5526182829571118</v>
      </c>
      <c r="F2304" s="94">
        <v>89.124170071703631</v>
      </c>
      <c r="G2304" s="94">
        <v>5.7162062273084713</v>
      </c>
      <c r="H2304" s="94">
        <v>81.977526789541358</v>
      </c>
      <c r="I2304" s="94">
        <v>12.326083148123939</v>
      </c>
      <c r="J2304" s="94">
        <v>6994.9928112267808</v>
      </c>
      <c r="K2304" s="94">
        <v>3.1128813729778422</v>
      </c>
      <c r="L2304" s="94">
        <v>1</v>
      </c>
      <c r="M2304" s="94">
        <v>0</v>
      </c>
      <c r="N2304" s="94">
        <v>25</v>
      </c>
      <c r="O2304" s="94">
        <v>25</v>
      </c>
    </row>
    <row r="2305" spans="1:15" x14ac:dyDescent="0.25">
      <c r="A2305" s="89">
        <v>45713.333333333336</v>
      </c>
      <c r="B2305" s="94">
        <v>350.19</v>
      </c>
      <c r="C2305" s="94">
        <v>301.32</v>
      </c>
      <c r="D2305" s="94">
        <v>90.183110671126229</v>
      </c>
      <c r="E2305" s="94">
        <v>5.5757240788346181</v>
      </c>
      <c r="F2305" s="94">
        <v>88.951424083210696</v>
      </c>
      <c r="G2305" s="94">
        <v>5.6994117999042606</v>
      </c>
      <c r="H2305" s="94">
        <v>83.089506370203438</v>
      </c>
      <c r="I2305" s="94">
        <v>12.53181964337913</v>
      </c>
      <c r="J2305" s="94">
        <v>6979.019611297701</v>
      </c>
      <c r="K2305" s="94">
        <v>3.1155065052764876</v>
      </c>
      <c r="L2305" s="94">
        <v>1</v>
      </c>
      <c r="M2305" s="94">
        <v>0</v>
      </c>
      <c r="N2305" s="94">
        <v>27</v>
      </c>
      <c r="O2305" s="94">
        <v>25</v>
      </c>
    </row>
    <row r="2306" spans="1:15" x14ac:dyDescent="0.25">
      <c r="A2306" s="89">
        <v>45713.833333333336</v>
      </c>
      <c r="B2306" s="94">
        <v>350.19</v>
      </c>
      <c r="C2306" s="94">
        <v>301.2</v>
      </c>
      <c r="D2306" s="94">
        <v>88.556996037199397</v>
      </c>
      <c r="E2306" s="94">
        <v>5.551730355936713</v>
      </c>
      <c r="F2306" s="94">
        <v>89.164760131835934</v>
      </c>
      <c r="G2306" s="94">
        <v>5.6586419618528607</v>
      </c>
      <c r="H2306" s="94">
        <v>82.6</v>
      </c>
      <c r="I2306" s="94">
        <v>12.376413202850616</v>
      </c>
      <c r="J2306" s="94">
        <v>6108.9464215182734</v>
      </c>
      <c r="K2306" s="94">
        <v>2.9985448662417631</v>
      </c>
      <c r="L2306" s="94">
        <v>1</v>
      </c>
      <c r="M2306" s="94">
        <v>0</v>
      </c>
      <c r="N2306" s="94">
        <v>0</v>
      </c>
      <c r="O2306" s="94">
        <v>25</v>
      </c>
    </row>
    <row r="2307" spans="1:15" x14ac:dyDescent="0.25">
      <c r="A2307" s="89">
        <v>45714.333333333336</v>
      </c>
      <c r="B2307" s="94">
        <v>350.19</v>
      </c>
      <c r="C2307" s="94">
        <v>301.08</v>
      </c>
      <c r="D2307" s="94">
        <v>86.565106833141783</v>
      </c>
      <c r="E2307" s="94">
        <v>5.5716641248150802</v>
      </c>
      <c r="F2307" s="94">
        <v>89</v>
      </c>
      <c r="G2307" s="94">
        <v>5.7184485630987085</v>
      </c>
      <c r="H2307" s="94">
        <v>82.8</v>
      </c>
      <c r="I2307" s="94">
        <v>12.460159912109376</v>
      </c>
      <c r="J2307" s="94">
        <v>5349.0060290025713</v>
      </c>
      <c r="K2307" s="94">
        <v>2.8815366141566598</v>
      </c>
      <c r="L2307" s="94">
        <v>0</v>
      </c>
      <c r="M2307" s="94">
        <v>0</v>
      </c>
      <c r="N2307" s="94">
        <v>0</v>
      </c>
      <c r="O2307" s="94">
        <v>0</v>
      </c>
    </row>
    <row r="2308" spans="1:15" x14ac:dyDescent="0.25">
      <c r="A2308" s="89">
        <v>45714.833333333336</v>
      </c>
      <c r="B2308" s="94">
        <v>350.19</v>
      </c>
      <c r="C2308" s="94">
        <v>300.92</v>
      </c>
      <c r="D2308" s="94">
        <v>86.104060171549932</v>
      </c>
      <c r="E2308" s="94">
        <v>5.53</v>
      </c>
      <c r="F2308" s="94">
        <v>45.930452375708512</v>
      </c>
      <c r="G2308" s="94">
        <v>2.0046770989333416</v>
      </c>
      <c r="H2308" s="94">
        <v>80</v>
      </c>
      <c r="I2308" s="94">
        <v>11.981309581796674</v>
      </c>
      <c r="J2308" s="94">
        <v>4474.0298142873116</v>
      </c>
      <c r="K2308" s="94">
        <v>2.7473285750885634</v>
      </c>
      <c r="L2308" s="94">
        <v>1</v>
      </c>
      <c r="M2308" s="94">
        <v>0</v>
      </c>
      <c r="N2308" s="94">
        <v>0</v>
      </c>
      <c r="O2308" s="94">
        <v>0</v>
      </c>
    </row>
    <row r="2309" spans="1:15" x14ac:dyDescent="0.25">
      <c r="A2309" s="89">
        <v>45715.333333333336</v>
      </c>
      <c r="B2309" s="94">
        <v>350.19</v>
      </c>
      <c r="C2309" s="94">
        <v>300.92</v>
      </c>
      <c r="D2309" s="94">
        <v>87.1</v>
      </c>
      <c r="E2309" s="94">
        <v>5.5359051624886781</v>
      </c>
      <c r="F2309" s="94">
        <v>45.420640200165316</v>
      </c>
      <c r="G2309" s="94">
        <v>1.9932632112727999</v>
      </c>
      <c r="H2309" s="94">
        <v>80.3</v>
      </c>
      <c r="I2309" s="94">
        <v>11.912819268427075</v>
      </c>
      <c r="J2309" s="94">
        <v>4503.9282960676528</v>
      </c>
      <c r="K2309" s="94">
        <v>2.7465296411407127</v>
      </c>
      <c r="L2309" s="94">
        <v>0</v>
      </c>
      <c r="M2309" s="94">
        <v>0</v>
      </c>
      <c r="N2309" s="94">
        <v>0</v>
      </c>
      <c r="O2309" s="94">
        <v>0</v>
      </c>
    </row>
    <row r="2310" spans="1:15" x14ac:dyDescent="0.25">
      <c r="A2310" s="89">
        <v>45715.833333333336</v>
      </c>
      <c r="B2310" s="94">
        <v>350.19</v>
      </c>
      <c r="C2310" s="94">
        <v>300.46957496209723</v>
      </c>
      <c r="D2310" s="94">
        <v>3.7</v>
      </c>
      <c r="E2310" s="94">
        <v>0</v>
      </c>
      <c r="F2310" s="94">
        <v>4.0999999999999996</v>
      </c>
      <c r="G2310" s="94">
        <v>0</v>
      </c>
      <c r="H2310" s="94">
        <v>76.5</v>
      </c>
      <c r="I2310" s="94">
        <v>11.470695656822539</v>
      </c>
      <c r="J2310" s="94">
        <v>2487.9926782787143</v>
      </c>
      <c r="K2310" s="94">
        <v>2.3554842538579801</v>
      </c>
      <c r="L2310" s="94">
        <v>1</v>
      </c>
      <c r="M2310" s="94">
        <v>0</v>
      </c>
      <c r="N2310" s="94">
        <v>0</v>
      </c>
      <c r="O2310" s="94">
        <v>0</v>
      </c>
    </row>
    <row r="2311" spans="1:15" x14ac:dyDescent="0.25">
      <c r="A2311" s="89">
        <v>45716.333333333336</v>
      </c>
      <c r="B2311" s="94">
        <v>350.19</v>
      </c>
      <c r="C2311" s="94">
        <v>300.47000000000003</v>
      </c>
      <c r="D2311" s="94">
        <v>3.6013984180129412</v>
      </c>
      <c r="E2311" s="94">
        <v>0</v>
      </c>
      <c r="F2311" s="94">
        <v>4.0999999999999996</v>
      </c>
      <c r="G2311" s="94">
        <v>0</v>
      </c>
      <c r="H2311" s="94">
        <v>76.747822932933175</v>
      </c>
      <c r="I2311" s="94">
        <v>11.464448748348326</v>
      </c>
      <c r="J2311" s="94">
        <v>2496</v>
      </c>
      <c r="K2311" s="94">
        <v>2.3565717857343138</v>
      </c>
      <c r="L2311" s="94">
        <v>0.34174493018617025</v>
      </c>
      <c r="M2311" s="94">
        <v>0</v>
      </c>
      <c r="N2311" s="94">
        <v>0</v>
      </c>
      <c r="O2311" s="94">
        <v>0</v>
      </c>
    </row>
    <row r="2312" spans="1:15" x14ac:dyDescent="0.25">
      <c r="A2312" s="89">
        <v>45716.833333333336</v>
      </c>
      <c r="B2312" s="94">
        <v>350.19</v>
      </c>
      <c r="C2312" s="94">
        <v>300.47000000000003</v>
      </c>
      <c r="D2312" s="94">
        <v>3.6968657323256484</v>
      </c>
      <c r="E2312" s="94">
        <v>0</v>
      </c>
      <c r="F2312" s="94">
        <v>4.0999999999999996</v>
      </c>
      <c r="G2312" s="94">
        <v>0</v>
      </c>
      <c r="H2312" s="94">
        <v>76.7</v>
      </c>
      <c r="I2312" s="94">
        <v>11.374849565411187</v>
      </c>
      <c r="J2312" s="94">
        <v>2496.0129904406544</v>
      </c>
      <c r="K2312" s="94">
        <v>2.3561102293250049</v>
      </c>
      <c r="L2312" s="94">
        <v>1</v>
      </c>
      <c r="M2312" s="94">
        <v>0</v>
      </c>
      <c r="N2312" s="94">
        <v>0</v>
      </c>
      <c r="O2312" s="94">
        <v>0</v>
      </c>
    </row>
    <row r="2313" spans="1:15" x14ac:dyDescent="0.25">
      <c r="A2313" s="89">
        <v>45717.333333333336</v>
      </c>
      <c r="B2313" s="94">
        <v>350.19</v>
      </c>
      <c r="C2313" s="94">
        <v>300.47000000000003</v>
      </c>
      <c r="D2313" s="94">
        <v>3.6051322225098437</v>
      </c>
      <c r="E2313" s="94">
        <v>0</v>
      </c>
      <c r="F2313" s="94">
        <v>4.0999999999999996</v>
      </c>
      <c r="G2313" s="94">
        <v>0</v>
      </c>
      <c r="H2313" s="94">
        <v>77.064613801162764</v>
      </c>
      <c r="I2313" s="94">
        <v>11.395802451047086</v>
      </c>
      <c r="J2313" s="94">
        <v>2494.6583582246944</v>
      </c>
      <c r="K2313" s="94">
        <v>2.3568776763168611</v>
      </c>
      <c r="L2313" s="94">
        <v>0</v>
      </c>
      <c r="M2313" s="94">
        <v>0</v>
      </c>
      <c r="N2313" s="94">
        <v>0</v>
      </c>
      <c r="O2313" s="94">
        <v>0</v>
      </c>
    </row>
    <row r="2314" spans="1:15" x14ac:dyDescent="0.25">
      <c r="A2314" s="89">
        <v>45717.833333333336</v>
      </c>
      <c r="B2314" s="94">
        <v>350.19</v>
      </c>
      <c r="C2314" s="94">
        <v>300.47000000000003</v>
      </c>
      <c r="D2314" s="94">
        <v>3.6</v>
      </c>
      <c r="E2314" s="94">
        <v>0</v>
      </c>
      <c r="F2314" s="94">
        <v>4.0618577120264492</v>
      </c>
      <c r="G2314" s="94">
        <v>0</v>
      </c>
      <c r="H2314" s="94">
        <v>77.705698339893928</v>
      </c>
      <c r="I2314" s="94">
        <v>11.443887287380957</v>
      </c>
      <c r="J2314" s="94">
        <v>40</v>
      </c>
      <c r="K2314" s="94">
        <v>0</v>
      </c>
      <c r="L2314" s="94">
        <v>1</v>
      </c>
      <c r="M2314" s="94">
        <v>0</v>
      </c>
      <c r="N2314" s="94">
        <v>0</v>
      </c>
      <c r="O2314" s="94">
        <v>0</v>
      </c>
    </row>
    <row r="2315" spans="1:15" x14ac:dyDescent="0.25">
      <c r="A2315" s="89">
        <v>45718.333333333336</v>
      </c>
      <c r="B2315" s="94">
        <v>350.19</v>
      </c>
      <c r="C2315" s="94">
        <v>300.47000000000003</v>
      </c>
      <c r="D2315" s="94">
        <v>3.6</v>
      </c>
      <c r="E2315" s="94">
        <v>0</v>
      </c>
      <c r="F2315" s="94">
        <v>4.0197496058386584</v>
      </c>
      <c r="G2315" s="94">
        <v>0</v>
      </c>
      <c r="H2315" s="94">
        <v>77.900000000000006</v>
      </c>
      <c r="I2315" s="94">
        <v>11.548895633114146</v>
      </c>
      <c r="J2315" s="94">
        <v>40</v>
      </c>
      <c r="K2315" s="94">
        <v>0</v>
      </c>
      <c r="L2315" s="94">
        <v>0</v>
      </c>
      <c r="M2315" s="94">
        <v>0</v>
      </c>
      <c r="N2315" s="94">
        <v>0</v>
      </c>
      <c r="O2315" s="94">
        <v>0</v>
      </c>
    </row>
    <row r="2316" spans="1:15" x14ac:dyDescent="0.25">
      <c r="A2316" s="89">
        <v>45718.833333333336</v>
      </c>
      <c r="B2316" s="94">
        <v>350.19</v>
      </c>
      <c r="C2316" s="94">
        <v>300.65285206517945</v>
      </c>
      <c r="D2316" s="94">
        <v>46</v>
      </c>
      <c r="E2316" s="94">
        <v>1.9391610293445469</v>
      </c>
      <c r="F2316" s="94">
        <v>4.1341657584049143</v>
      </c>
      <c r="G2316" s="94">
        <v>0</v>
      </c>
      <c r="H2316" s="94">
        <v>81.457292924414389</v>
      </c>
      <c r="I2316" s="94">
        <v>12.032172717691802</v>
      </c>
      <c r="J2316" s="94">
        <v>1614.454649132462</v>
      </c>
      <c r="K2316" s="94">
        <v>1.8578282538334847</v>
      </c>
      <c r="L2316" s="94">
        <v>1</v>
      </c>
      <c r="M2316" s="94">
        <v>0</v>
      </c>
      <c r="N2316" s="94">
        <v>0</v>
      </c>
      <c r="O2316" s="94">
        <v>0</v>
      </c>
    </row>
    <row r="2317" spans="1:15" x14ac:dyDescent="0.25">
      <c r="A2317" s="89">
        <v>45719.333333333336</v>
      </c>
      <c r="B2317" s="94">
        <v>350.19</v>
      </c>
      <c r="C2317" s="94">
        <v>300.60386337280278</v>
      </c>
      <c r="D2317" s="94">
        <v>46.633287795084527</v>
      </c>
      <c r="E2317" s="94">
        <v>1.9337906109599925</v>
      </c>
      <c r="F2317" s="94">
        <v>3.9</v>
      </c>
      <c r="G2317" s="94">
        <v>0</v>
      </c>
      <c r="H2317" s="94">
        <v>75.7</v>
      </c>
      <c r="I2317" s="94">
        <v>10.690351396995645</v>
      </c>
      <c r="J2317" s="94">
        <v>40</v>
      </c>
      <c r="K2317" s="94">
        <v>0</v>
      </c>
      <c r="L2317" s="94">
        <v>0</v>
      </c>
      <c r="M2317" s="94">
        <v>0</v>
      </c>
      <c r="N2317" s="94">
        <v>0</v>
      </c>
      <c r="O2317" s="94">
        <v>0</v>
      </c>
    </row>
    <row r="2318" spans="1:15" x14ac:dyDescent="0.25">
      <c r="A2318" s="89">
        <v>45719.833333333336</v>
      </c>
      <c r="B2318" s="94">
        <v>349.15</v>
      </c>
      <c r="C2318" s="94">
        <v>300.38265396826125</v>
      </c>
      <c r="D2318" s="94">
        <v>52.302866617838539</v>
      </c>
      <c r="E2318" s="94">
        <v>2.4479134972987038</v>
      </c>
      <c r="F2318" s="94">
        <v>4.0999999999999996</v>
      </c>
      <c r="G2318" s="94">
        <v>0</v>
      </c>
      <c r="H2318" s="94">
        <v>47.987575485961308</v>
      </c>
      <c r="I2318" s="94">
        <v>5.0890777587890623</v>
      </c>
      <c r="J2318" s="94">
        <v>2011.9779169523065</v>
      </c>
      <c r="K2318" s="94">
        <v>2.2324176258341986</v>
      </c>
      <c r="L2318" s="94">
        <v>1</v>
      </c>
      <c r="M2318" s="94">
        <v>0</v>
      </c>
      <c r="N2318" s="94">
        <v>0</v>
      </c>
      <c r="O2318" s="94">
        <v>0</v>
      </c>
    </row>
    <row r="2319" spans="1:15" x14ac:dyDescent="0.25">
      <c r="A2319" s="89">
        <v>45720.333333333336</v>
      </c>
      <c r="B2319" s="94">
        <v>349.15</v>
      </c>
      <c r="C2319" s="94">
        <v>300.38</v>
      </c>
      <c r="D2319" s="94">
        <v>54.529376268806317</v>
      </c>
      <c r="E2319" s="94">
        <v>2.4447426473394551</v>
      </c>
      <c r="F2319" s="94">
        <v>3.8930051842200104</v>
      </c>
      <c r="G2319" s="94">
        <v>0</v>
      </c>
      <c r="H2319" s="94">
        <v>48.433251862485456</v>
      </c>
      <c r="I2319" s="94">
        <v>5.0454086079045943</v>
      </c>
      <c r="J2319" s="94">
        <v>2005</v>
      </c>
      <c r="K2319" s="94">
        <v>2.2309999999999999</v>
      </c>
      <c r="L2319" s="94">
        <v>0</v>
      </c>
      <c r="M2319" s="94">
        <v>0</v>
      </c>
      <c r="N2319" s="94">
        <v>0</v>
      </c>
      <c r="O2319" s="94">
        <v>0</v>
      </c>
    </row>
    <row r="2320" spans="1:15" x14ac:dyDescent="0.25">
      <c r="A2320" s="89">
        <v>45720.833333333336</v>
      </c>
      <c r="B2320" s="94">
        <v>349.15</v>
      </c>
      <c r="C2320" s="94">
        <v>300.18358983645481</v>
      </c>
      <c r="D2320" s="94">
        <v>3.6</v>
      </c>
      <c r="E2320" s="94">
        <v>0</v>
      </c>
      <c r="F2320" s="94">
        <v>4.0086898803710938</v>
      </c>
      <c r="G2320" s="94">
        <v>0</v>
      </c>
      <c r="H2320" s="94">
        <v>50.019784032199929</v>
      </c>
      <c r="I2320" s="94">
        <v>5.3523023549201012</v>
      </c>
      <c r="J2320" s="94">
        <v>1464</v>
      </c>
      <c r="K2320" s="94">
        <v>2.0611706222108781</v>
      </c>
      <c r="L2320" s="94">
        <v>1</v>
      </c>
      <c r="M2320" s="94">
        <v>0</v>
      </c>
      <c r="N2320" s="94">
        <v>0</v>
      </c>
      <c r="O2320" s="94">
        <v>0</v>
      </c>
    </row>
    <row r="2321" spans="1:15" x14ac:dyDescent="0.25">
      <c r="A2321" s="89">
        <v>45721.333333333336</v>
      </c>
      <c r="B2321" s="94">
        <v>349.15</v>
      </c>
      <c r="C2321" s="94">
        <v>300.18</v>
      </c>
      <c r="D2321" s="94">
        <v>3.4173819802024146</v>
      </c>
      <c r="E2321" s="94">
        <v>0</v>
      </c>
      <c r="F2321" s="94">
        <v>3.9189670433954986</v>
      </c>
      <c r="G2321" s="94">
        <v>0</v>
      </c>
      <c r="H2321" s="94">
        <v>50.990767373844072</v>
      </c>
      <c r="I2321" s="94">
        <v>5.4639823693479102</v>
      </c>
      <c r="J2321" s="94">
        <v>1460.995173677878</v>
      </c>
      <c r="K2321" s="94">
        <v>2.0599184788863916</v>
      </c>
      <c r="L2321" s="94">
        <v>0</v>
      </c>
      <c r="M2321" s="94">
        <v>0</v>
      </c>
      <c r="N2321" s="94">
        <v>0</v>
      </c>
      <c r="O2321" s="94">
        <v>0</v>
      </c>
    </row>
    <row r="2322" spans="1:15" x14ac:dyDescent="0.25">
      <c r="A2322" s="89">
        <v>45721.833333333336</v>
      </c>
      <c r="B2322" s="94">
        <v>349.15</v>
      </c>
      <c r="C2322" s="94">
        <v>300.08</v>
      </c>
      <c r="D2322" s="94">
        <v>3.6</v>
      </c>
      <c r="E2322" s="94">
        <v>0</v>
      </c>
      <c r="F2322" s="94">
        <v>80.074634154637636</v>
      </c>
      <c r="G2322" s="94">
        <v>4.9660913889754763</v>
      </c>
      <c r="H2322" s="94">
        <v>-0.68603687033962546</v>
      </c>
      <c r="I2322" s="94">
        <v>0</v>
      </c>
      <c r="J2322" s="94">
        <v>1029.0068142807795</v>
      </c>
      <c r="K2322" s="94">
        <v>1.8916960701828414</v>
      </c>
      <c r="L2322" s="94">
        <v>1</v>
      </c>
      <c r="M2322" s="94">
        <v>0</v>
      </c>
      <c r="N2322" s="94">
        <v>0</v>
      </c>
      <c r="O2322" s="94">
        <v>0</v>
      </c>
    </row>
    <row r="2323" spans="1:15" x14ac:dyDescent="0.25">
      <c r="A2323" s="89">
        <v>45722.333333333336</v>
      </c>
      <c r="B2323" s="94">
        <v>349.15</v>
      </c>
      <c r="C2323" s="94">
        <v>300.08</v>
      </c>
      <c r="D2323" s="94">
        <v>3.4829776872675757</v>
      </c>
      <c r="E2323" s="94">
        <v>0</v>
      </c>
      <c r="F2323" s="94">
        <v>79.900000000000006</v>
      </c>
      <c r="G2323" s="94">
        <v>4.9928623131130765</v>
      </c>
      <c r="H2323" s="94">
        <v>0.4</v>
      </c>
      <c r="I2323" s="94">
        <v>0</v>
      </c>
      <c r="J2323" s="94">
        <v>1032.0062368279566</v>
      </c>
      <c r="K2323" s="94">
        <v>1.8917234006566663</v>
      </c>
      <c r="L2323" s="94">
        <v>0</v>
      </c>
      <c r="M2323" s="94">
        <v>0</v>
      </c>
      <c r="N2323" s="94">
        <v>0</v>
      </c>
      <c r="O2323" s="94">
        <v>0</v>
      </c>
    </row>
    <row r="2324" spans="1:15" x14ac:dyDescent="0.25">
      <c r="A2324" s="89">
        <v>45722.833333333336</v>
      </c>
      <c r="B2324" s="94">
        <v>349.15</v>
      </c>
      <c r="C2324" s="94">
        <v>300.08</v>
      </c>
      <c r="D2324" s="94">
        <v>3.6</v>
      </c>
      <c r="E2324" s="94">
        <v>0</v>
      </c>
      <c r="F2324" s="94">
        <v>79.908866382698676</v>
      </c>
      <c r="G2324" s="94">
        <v>4.9543757812261822</v>
      </c>
      <c r="H2324" s="94">
        <v>0.4</v>
      </c>
      <c r="I2324" s="94">
        <v>0</v>
      </c>
      <c r="J2324" s="94">
        <v>1031.9979970710267</v>
      </c>
      <c r="K2324" s="94">
        <v>1.8920510942233637</v>
      </c>
      <c r="L2324" s="94">
        <v>1</v>
      </c>
      <c r="M2324" s="94">
        <v>0</v>
      </c>
      <c r="N2324" s="94">
        <v>0</v>
      </c>
      <c r="O2324" s="94">
        <v>0</v>
      </c>
    </row>
    <row r="2325" spans="1:15" x14ac:dyDescent="0.25">
      <c r="A2325" s="89">
        <v>45723.333333333336</v>
      </c>
      <c r="B2325" s="94">
        <v>349.15</v>
      </c>
      <c r="C2325" s="94">
        <v>300.08</v>
      </c>
      <c r="D2325" s="94">
        <v>3.3718316345327275</v>
      </c>
      <c r="E2325" s="94">
        <v>0</v>
      </c>
      <c r="F2325" s="94">
        <v>80.580517845291226</v>
      </c>
      <c r="G2325" s="94">
        <v>4.9598982973065997</v>
      </c>
      <c r="H2325" s="94">
        <v>0.47189215760429865</v>
      </c>
      <c r="I2325" s="94">
        <v>0</v>
      </c>
      <c r="J2325" s="94">
        <v>1034.0016539105804</v>
      </c>
      <c r="K2325" s="94">
        <v>1.8954526275439996</v>
      </c>
      <c r="L2325" s="94">
        <v>0</v>
      </c>
      <c r="M2325" s="94">
        <v>0</v>
      </c>
      <c r="N2325" s="94">
        <v>0</v>
      </c>
      <c r="O2325" s="94">
        <v>0</v>
      </c>
    </row>
  </sheetData>
  <mergeCells count="4">
    <mergeCell ref="D1:E1"/>
    <mergeCell ref="F1:G1"/>
    <mergeCell ref="H1:I1"/>
    <mergeCell ref="L1:O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2473"/>
  <sheetViews>
    <sheetView tabSelected="1" workbookViewId="0">
      <selection activeCell="A8" sqref="A8"/>
    </sheetView>
  </sheetViews>
  <sheetFormatPr defaultRowHeight="15" x14ac:dyDescent="0.25"/>
  <cols>
    <col min="1" max="1" width="23.28515625" customWidth="1"/>
    <col min="2" max="2" width="24" customWidth="1"/>
    <col min="3" max="3" width="17.140625" customWidth="1"/>
    <col min="4" max="4" width="16.28515625" customWidth="1"/>
    <col min="5" max="5" width="11.7109375" customWidth="1"/>
  </cols>
  <sheetData>
    <row r="1" spans="1:5" x14ac:dyDescent="0.25">
      <c r="A1" s="96" t="s">
        <v>96</v>
      </c>
      <c r="B1" s="96" t="s">
        <v>55</v>
      </c>
      <c r="C1" s="96" t="s">
        <v>97</v>
      </c>
      <c r="D1" s="96" t="s">
        <v>1</v>
      </c>
      <c r="E1" s="96" t="s">
        <v>98</v>
      </c>
    </row>
    <row r="2" spans="1:5" x14ac:dyDescent="0.25">
      <c r="A2" s="95">
        <f>'Site Data'!B3</f>
        <v>45766.740532407406</v>
      </c>
      <c r="B2">
        <f>'Site Data'!D3</f>
        <v>35</v>
      </c>
      <c r="C2">
        <f>'Site Data'!E3</f>
        <v>10000</v>
      </c>
      <c r="D2" s="97">
        <f>B2-C2</f>
        <v>-9965</v>
      </c>
      <c r="E2" s="98" t="str">
        <f>IF(AND(D2 &gt;= 50, D2 &lt;= 60), "Valid", "Error")</f>
        <v>Error</v>
      </c>
    </row>
    <row r="3" spans="1:5" x14ac:dyDescent="0.25">
      <c r="A3" s="95">
        <f>'Site Data'!B4</f>
        <v>45766.740648148145</v>
      </c>
      <c r="B3">
        <f>'Site Data'!D4</f>
        <v>35</v>
      </c>
      <c r="C3">
        <f>'Site Data'!E4</f>
        <v>10000</v>
      </c>
      <c r="D3" s="97">
        <f t="shared" ref="D3:D65" si="0">B3-C3</f>
        <v>-9965</v>
      </c>
      <c r="E3" s="98" t="str">
        <f t="shared" ref="E3:E16" si="1">IF(AND(D3 &gt;= 50, D3 &lt;= 60), "Valid", "Error")</f>
        <v>Error</v>
      </c>
    </row>
    <row r="4" spans="1:5" x14ac:dyDescent="0.25">
      <c r="A4" s="95">
        <f>'Site Data'!B5</f>
        <v>45766.740671296298</v>
      </c>
      <c r="B4">
        <f>'Site Data'!D5</f>
        <v>35</v>
      </c>
      <c r="C4">
        <f>'Site Data'!E5</f>
        <v>10000</v>
      </c>
      <c r="D4" s="97">
        <f t="shared" si="0"/>
        <v>-9965</v>
      </c>
      <c r="E4" s="98" t="str">
        <f t="shared" si="1"/>
        <v>Error</v>
      </c>
    </row>
    <row r="5" spans="1:5" x14ac:dyDescent="0.25">
      <c r="A5" s="95">
        <f>'Site Data'!B6</f>
        <v>45766.740694444445</v>
      </c>
      <c r="B5">
        <f>'Site Data'!D6</f>
        <v>35</v>
      </c>
      <c r="C5">
        <f>'Site Data'!E6</f>
        <v>10000</v>
      </c>
      <c r="D5" s="97">
        <f t="shared" si="0"/>
        <v>-9965</v>
      </c>
      <c r="E5" s="98" t="str">
        <f t="shared" si="1"/>
        <v>Error</v>
      </c>
    </row>
    <row r="6" spans="1:5" x14ac:dyDescent="0.25">
      <c r="A6" s="95">
        <f>'Site Data'!B7</f>
        <v>45766.741990740738</v>
      </c>
      <c r="B6">
        <f>'Site Data'!D7</f>
        <v>35</v>
      </c>
      <c r="C6">
        <f>'Site Data'!E7</f>
        <v>10000</v>
      </c>
      <c r="D6" s="97">
        <f t="shared" si="0"/>
        <v>-9965</v>
      </c>
      <c r="E6" s="98" t="str">
        <f t="shared" si="1"/>
        <v>Error</v>
      </c>
    </row>
    <row r="7" spans="1:5" x14ac:dyDescent="0.25">
      <c r="A7" s="95">
        <f>'Site Data'!B8</f>
        <v>45766.784513888888</v>
      </c>
      <c r="B7">
        <f>'Site Data'!D8</f>
        <v>35</v>
      </c>
      <c r="C7">
        <f>'Site Data'!E8</f>
        <v>10000</v>
      </c>
      <c r="D7" s="97">
        <f t="shared" si="0"/>
        <v>-9965</v>
      </c>
      <c r="E7" s="98" t="str">
        <f t="shared" si="1"/>
        <v>Error</v>
      </c>
    </row>
    <row r="8" spans="1:5" x14ac:dyDescent="0.25">
      <c r="A8" s="95">
        <f>'Site Data'!B9</f>
        <v>45766.80537037037</v>
      </c>
      <c r="B8">
        <f>'Site Data'!D9</f>
        <v>35</v>
      </c>
      <c r="C8">
        <f>'Site Data'!E9</f>
        <v>10000</v>
      </c>
      <c r="D8" s="97">
        <f t="shared" si="0"/>
        <v>-9965</v>
      </c>
      <c r="E8" s="98" t="str">
        <f t="shared" si="1"/>
        <v>Error</v>
      </c>
    </row>
    <row r="9" spans="1:5" x14ac:dyDescent="0.25">
      <c r="A9" s="95">
        <f>'Site Data'!B11</f>
        <v>45766.923460648148</v>
      </c>
      <c r="B9">
        <f>'Site Data'!D11</f>
        <v>70</v>
      </c>
      <c r="C9">
        <f>'Site Data'!E11</f>
        <v>20</v>
      </c>
      <c r="D9" s="97">
        <f t="shared" si="0"/>
        <v>50</v>
      </c>
      <c r="E9" s="98" t="str">
        <f t="shared" si="1"/>
        <v>Valid</v>
      </c>
    </row>
    <row r="10" spans="1:5" x14ac:dyDescent="0.25">
      <c r="A10" s="95">
        <f>'Site Data'!B12</f>
        <v>0</v>
      </c>
      <c r="B10">
        <f>'Site Data'!D12</f>
        <v>0</v>
      </c>
      <c r="C10">
        <f>'Site Data'!E12</f>
        <v>0</v>
      </c>
      <c r="D10" s="97">
        <f t="shared" si="0"/>
        <v>0</v>
      </c>
      <c r="E10" s="98" t="str">
        <f t="shared" si="1"/>
        <v>Error</v>
      </c>
    </row>
    <row r="11" spans="1:5" x14ac:dyDescent="0.25">
      <c r="A11" s="95">
        <f>'Site Data'!B13</f>
        <v>0</v>
      </c>
      <c r="B11">
        <f>'Site Data'!D13</f>
        <v>0</v>
      </c>
      <c r="C11">
        <f>'Site Data'!E13</f>
        <v>0</v>
      </c>
      <c r="D11" s="97">
        <f t="shared" si="0"/>
        <v>0</v>
      </c>
      <c r="E11" s="98" t="str">
        <f t="shared" si="1"/>
        <v>Error</v>
      </c>
    </row>
    <row r="12" spans="1:5" x14ac:dyDescent="0.25">
      <c r="A12" s="95">
        <f>'Site Data'!B14</f>
        <v>0</v>
      </c>
      <c r="B12">
        <f>'Site Data'!D14</f>
        <v>0</v>
      </c>
      <c r="C12">
        <f>'Site Data'!E14</f>
        <v>0</v>
      </c>
      <c r="D12" s="97">
        <f t="shared" si="0"/>
        <v>0</v>
      </c>
      <c r="E12" s="98" t="str">
        <f t="shared" si="1"/>
        <v>Error</v>
      </c>
    </row>
    <row r="13" spans="1:5" x14ac:dyDescent="0.25">
      <c r="A13" s="95">
        <f>'Site Data'!B15</f>
        <v>0</v>
      </c>
      <c r="B13">
        <f>'Site Data'!D15</f>
        <v>0</v>
      </c>
      <c r="C13">
        <f>'Site Data'!E15</f>
        <v>0</v>
      </c>
      <c r="D13" s="97">
        <f t="shared" si="0"/>
        <v>0</v>
      </c>
      <c r="E13" s="98" t="str">
        <f t="shared" si="1"/>
        <v>Error</v>
      </c>
    </row>
    <row r="14" spans="1:5" x14ac:dyDescent="0.25">
      <c r="A14" s="95">
        <f>'Site Data'!B16</f>
        <v>0</v>
      </c>
      <c r="B14">
        <f>'Site Data'!D16</f>
        <v>0</v>
      </c>
      <c r="C14">
        <f>'Site Data'!E16</f>
        <v>0</v>
      </c>
      <c r="D14" s="97">
        <f t="shared" si="0"/>
        <v>0</v>
      </c>
      <c r="E14" s="98" t="str">
        <f t="shared" si="1"/>
        <v>Error</v>
      </c>
    </row>
    <row r="15" spans="1:5" x14ac:dyDescent="0.25">
      <c r="A15" s="95">
        <f>'Site Data'!B17</f>
        <v>0</v>
      </c>
      <c r="B15">
        <f>'Site Data'!D17</f>
        <v>0</v>
      </c>
      <c r="C15">
        <f>'Site Data'!E17</f>
        <v>0</v>
      </c>
      <c r="D15" s="97">
        <f t="shared" si="0"/>
        <v>0</v>
      </c>
      <c r="E15" s="98" t="str">
        <f t="shared" si="1"/>
        <v>Error</v>
      </c>
    </row>
    <row r="16" spans="1:5" x14ac:dyDescent="0.25">
      <c r="A16" s="95">
        <f>'Site Data'!B18</f>
        <v>0</v>
      </c>
      <c r="B16">
        <f>'Site Data'!D18</f>
        <v>0</v>
      </c>
      <c r="C16">
        <f>'Site Data'!E18</f>
        <v>0</v>
      </c>
      <c r="D16" s="97">
        <f t="shared" si="0"/>
        <v>0</v>
      </c>
      <c r="E16" s="98" t="str">
        <f t="shared" si="1"/>
        <v>Error</v>
      </c>
    </row>
    <row r="17" spans="1:5" x14ac:dyDescent="0.25">
      <c r="A17" s="95">
        <f>'Site Data'!B19</f>
        <v>0</v>
      </c>
      <c r="B17">
        <f>'Site Data'!D19</f>
        <v>0</v>
      </c>
      <c r="C17">
        <f>'Site Data'!E19</f>
        <v>0</v>
      </c>
      <c r="D17" s="97">
        <f t="shared" si="0"/>
        <v>0</v>
      </c>
      <c r="E17" s="98" t="str">
        <f t="shared" ref="E17:E21" si="2">IF(AND(D17 &gt;= 50, D17 &lt;= 60), "Valid", "Error")</f>
        <v>Error</v>
      </c>
    </row>
    <row r="18" spans="1:5" x14ac:dyDescent="0.25">
      <c r="A18" s="95">
        <f>'Site Data'!B20</f>
        <v>0</v>
      </c>
      <c r="B18">
        <f>'Site Data'!D20</f>
        <v>0</v>
      </c>
      <c r="C18">
        <f>'Site Data'!E20</f>
        <v>0</v>
      </c>
      <c r="D18" s="97">
        <f t="shared" si="0"/>
        <v>0</v>
      </c>
      <c r="E18" s="98" t="str">
        <f t="shared" si="2"/>
        <v>Error</v>
      </c>
    </row>
    <row r="19" spans="1:5" x14ac:dyDescent="0.25">
      <c r="A19" s="95">
        <f>'Site Data'!B21</f>
        <v>0</v>
      </c>
      <c r="B19">
        <f>'Site Data'!D21</f>
        <v>0</v>
      </c>
      <c r="C19">
        <f>'Site Data'!E21</f>
        <v>0</v>
      </c>
      <c r="D19" s="97">
        <f t="shared" si="0"/>
        <v>0</v>
      </c>
      <c r="E19" s="98" t="str">
        <f t="shared" si="2"/>
        <v>Error</v>
      </c>
    </row>
    <row r="20" spans="1:5" x14ac:dyDescent="0.25">
      <c r="A20" s="95">
        <f>'Site Data'!B22</f>
        <v>0</v>
      </c>
      <c r="B20">
        <f>'Site Data'!D22</f>
        <v>0</v>
      </c>
      <c r="C20">
        <f>'Site Data'!E22</f>
        <v>0</v>
      </c>
      <c r="D20" s="97">
        <f t="shared" si="0"/>
        <v>0</v>
      </c>
      <c r="E20" s="98" t="str">
        <f t="shared" si="2"/>
        <v>Error</v>
      </c>
    </row>
    <row r="21" spans="1:5" x14ac:dyDescent="0.25">
      <c r="A21" s="95">
        <f>'Site Data'!B23</f>
        <v>0</v>
      </c>
      <c r="B21">
        <f>'Site Data'!D23</f>
        <v>0</v>
      </c>
      <c r="C21">
        <f>'Site Data'!E23</f>
        <v>0</v>
      </c>
      <c r="D21" s="97">
        <f t="shared" si="0"/>
        <v>0</v>
      </c>
      <c r="E21" s="98" t="str">
        <f t="shared" si="2"/>
        <v>Error</v>
      </c>
    </row>
    <row r="22" spans="1:5" x14ac:dyDescent="0.25">
      <c r="A22" s="95">
        <f>'Site Data'!B24</f>
        <v>0</v>
      </c>
      <c r="B22">
        <f>'Site Data'!D24</f>
        <v>0</v>
      </c>
      <c r="C22">
        <f>'Site Data'!E24</f>
        <v>0</v>
      </c>
      <c r="D22" s="97">
        <f t="shared" si="0"/>
        <v>0</v>
      </c>
      <c r="E22" s="98" t="str">
        <f t="shared" ref="E22:E65" si="3">IF(AND(D22 &gt;= 50, D22 &lt;= 60), "Valid", "Error")</f>
        <v>Error</v>
      </c>
    </row>
    <row r="23" spans="1:5" x14ac:dyDescent="0.25">
      <c r="A23" s="95">
        <f>'Site Data'!B25</f>
        <v>0</v>
      </c>
      <c r="B23">
        <f>'Site Data'!D25</f>
        <v>0</v>
      </c>
      <c r="C23">
        <f>'Site Data'!E25</f>
        <v>0</v>
      </c>
      <c r="D23" s="97">
        <f t="shared" si="0"/>
        <v>0</v>
      </c>
      <c r="E23" s="98" t="str">
        <f t="shared" si="3"/>
        <v>Error</v>
      </c>
    </row>
    <row r="24" spans="1:5" x14ac:dyDescent="0.25">
      <c r="A24" s="95">
        <f>'Site Data'!B26</f>
        <v>0</v>
      </c>
      <c r="B24">
        <f>'Site Data'!D26</f>
        <v>0</v>
      </c>
      <c r="C24">
        <f>'Site Data'!E26</f>
        <v>0</v>
      </c>
      <c r="D24" s="97">
        <f t="shared" si="0"/>
        <v>0</v>
      </c>
      <c r="E24" s="98" t="str">
        <f t="shared" si="3"/>
        <v>Error</v>
      </c>
    </row>
    <row r="25" spans="1:5" x14ac:dyDescent="0.25">
      <c r="A25" s="95">
        <f>'Site Data'!B27</f>
        <v>0</v>
      </c>
      <c r="B25">
        <f>'Site Data'!D27</f>
        <v>0</v>
      </c>
      <c r="C25">
        <f>'Site Data'!E27</f>
        <v>0</v>
      </c>
      <c r="D25" s="97">
        <f t="shared" si="0"/>
        <v>0</v>
      </c>
      <c r="E25" s="98" t="str">
        <f t="shared" si="3"/>
        <v>Error</v>
      </c>
    </row>
    <row r="26" spans="1:5" x14ac:dyDescent="0.25">
      <c r="A26" s="95">
        <f>'Site Data'!B28</f>
        <v>0</v>
      </c>
      <c r="B26">
        <f>'Site Data'!D28</f>
        <v>0</v>
      </c>
      <c r="C26">
        <f>'Site Data'!E28</f>
        <v>0</v>
      </c>
      <c r="D26" s="97">
        <f t="shared" si="0"/>
        <v>0</v>
      </c>
      <c r="E26" s="98" t="str">
        <f t="shared" si="3"/>
        <v>Error</v>
      </c>
    </row>
    <row r="27" spans="1:5" x14ac:dyDescent="0.25">
      <c r="A27" s="95">
        <f>'Site Data'!B29</f>
        <v>0</v>
      </c>
      <c r="B27">
        <f>'Site Data'!D29</f>
        <v>0</v>
      </c>
      <c r="C27">
        <f>'Site Data'!E29</f>
        <v>0</v>
      </c>
      <c r="D27" s="97">
        <f t="shared" si="0"/>
        <v>0</v>
      </c>
      <c r="E27" s="98" t="str">
        <f t="shared" si="3"/>
        <v>Error</v>
      </c>
    </row>
    <row r="28" spans="1:5" x14ac:dyDescent="0.25">
      <c r="A28" s="95">
        <f>'Site Data'!B30</f>
        <v>0</v>
      </c>
      <c r="B28">
        <f>'Site Data'!D30</f>
        <v>0</v>
      </c>
      <c r="C28">
        <f>'Site Data'!E30</f>
        <v>0</v>
      </c>
      <c r="D28" s="97">
        <f t="shared" si="0"/>
        <v>0</v>
      </c>
      <c r="E28" s="98" t="str">
        <f t="shared" si="3"/>
        <v>Error</v>
      </c>
    </row>
    <row r="29" spans="1:5" x14ac:dyDescent="0.25">
      <c r="A29" s="95">
        <f>'Site Data'!B31</f>
        <v>0</v>
      </c>
      <c r="B29">
        <f>'Site Data'!D31</f>
        <v>0</v>
      </c>
      <c r="C29">
        <f>'Site Data'!E31</f>
        <v>0</v>
      </c>
      <c r="D29" s="97">
        <f t="shared" si="0"/>
        <v>0</v>
      </c>
      <c r="E29" s="98" t="str">
        <f t="shared" si="3"/>
        <v>Error</v>
      </c>
    </row>
    <row r="30" spans="1:5" x14ac:dyDescent="0.25">
      <c r="A30" s="95">
        <f>'Site Data'!B32</f>
        <v>0</v>
      </c>
      <c r="B30">
        <f>'Site Data'!D32</f>
        <v>0</v>
      </c>
      <c r="C30">
        <f>'Site Data'!E32</f>
        <v>0</v>
      </c>
      <c r="D30" s="97">
        <f t="shared" si="0"/>
        <v>0</v>
      </c>
      <c r="E30" s="98" t="str">
        <f t="shared" si="3"/>
        <v>Error</v>
      </c>
    </row>
    <row r="31" spans="1:5" x14ac:dyDescent="0.25">
      <c r="A31" s="95">
        <f>'Site Data'!B33</f>
        <v>0</v>
      </c>
      <c r="B31">
        <f>'Site Data'!D33</f>
        <v>0</v>
      </c>
      <c r="C31">
        <f>'Site Data'!E33</f>
        <v>0</v>
      </c>
      <c r="D31" s="97">
        <f t="shared" si="0"/>
        <v>0</v>
      </c>
      <c r="E31" s="98" t="str">
        <f t="shared" si="3"/>
        <v>Error</v>
      </c>
    </row>
    <row r="32" spans="1:5" x14ac:dyDescent="0.25">
      <c r="A32" s="95">
        <f>'Site Data'!B34</f>
        <v>0</v>
      </c>
      <c r="B32">
        <f>'Site Data'!D34</f>
        <v>0</v>
      </c>
      <c r="C32">
        <f>'Site Data'!E34</f>
        <v>0</v>
      </c>
      <c r="D32" s="97">
        <f t="shared" si="0"/>
        <v>0</v>
      </c>
      <c r="E32" s="98" t="str">
        <f t="shared" si="3"/>
        <v>Error</v>
      </c>
    </row>
    <row r="33" spans="1:5" x14ac:dyDescent="0.25">
      <c r="A33" s="95">
        <f>'Site Data'!B35</f>
        <v>0</v>
      </c>
      <c r="B33">
        <f>'Site Data'!D35</f>
        <v>0</v>
      </c>
      <c r="C33">
        <f>'Site Data'!E35</f>
        <v>0</v>
      </c>
      <c r="D33" s="97">
        <f t="shared" si="0"/>
        <v>0</v>
      </c>
      <c r="E33" s="98" t="str">
        <f t="shared" si="3"/>
        <v>Error</v>
      </c>
    </row>
    <row r="34" spans="1:5" x14ac:dyDescent="0.25">
      <c r="A34" s="95">
        <f>'Site Data'!B36</f>
        <v>0</v>
      </c>
      <c r="B34">
        <f>'Site Data'!D36</f>
        <v>0</v>
      </c>
      <c r="C34">
        <f>'Site Data'!E36</f>
        <v>0</v>
      </c>
      <c r="D34" s="97">
        <f t="shared" si="0"/>
        <v>0</v>
      </c>
      <c r="E34" s="98" t="str">
        <f t="shared" si="3"/>
        <v>Error</v>
      </c>
    </row>
    <row r="35" spans="1:5" x14ac:dyDescent="0.25">
      <c r="A35" s="95">
        <f>'Site Data'!B37</f>
        <v>0</v>
      </c>
      <c r="B35">
        <f>'Site Data'!D37</f>
        <v>0</v>
      </c>
      <c r="C35">
        <f>'Site Data'!E37</f>
        <v>0</v>
      </c>
      <c r="D35" s="97">
        <f t="shared" si="0"/>
        <v>0</v>
      </c>
      <c r="E35" s="98" t="str">
        <f t="shared" si="3"/>
        <v>Error</v>
      </c>
    </row>
    <row r="36" spans="1:5" x14ac:dyDescent="0.25">
      <c r="A36" s="95">
        <f>'Site Data'!B38</f>
        <v>0</v>
      </c>
      <c r="B36">
        <f>'Site Data'!D38</f>
        <v>0</v>
      </c>
      <c r="C36">
        <f>'Site Data'!E38</f>
        <v>0</v>
      </c>
      <c r="D36" s="97">
        <f t="shared" si="0"/>
        <v>0</v>
      </c>
      <c r="E36" s="98" t="str">
        <f t="shared" si="3"/>
        <v>Error</v>
      </c>
    </row>
    <row r="37" spans="1:5" x14ac:dyDescent="0.25">
      <c r="A37" s="95">
        <f>'Site Data'!B39</f>
        <v>0</v>
      </c>
      <c r="B37">
        <f>'Site Data'!D39</f>
        <v>0</v>
      </c>
      <c r="C37">
        <f>'Site Data'!E39</f>
        <v>0</v>
      </c>
      <c r="D37" s="97">
        <f t="shared" si="0"/>
        <v>0</v>
      </c>
      <c r="E37" s="98" t="str">
        <f t="shared" si="3"/>
        <v>Error</v>
      </c>
    </row>
    <row r="38" spans="1:5" x14ac:dyDescent="0.25">
      <c r="A38" s="95">
        <f>'Site Data'!B40</f>
        <v>0</v>
      </c>
      <c r="B38">
        <f>'Site Data'!D40</f>
        <v>0</v>
      </c>
      <c r="C38">
        <f>'Site Data'!E40</f>
        <v>0</v>
      </c>
      <c r="D38" s="97">
        <f t="shared" si="0"/>
        <v>0</v>
      </c>
      <c r="E38" s="98" t="str">
        <f t="shared" si="3"/>
        <v>Error</v>
      </c>
    </row>
    <row r="39" spans="1:5" x14ac:dyDescent="0.25">
      <c r="A39" s="95">
        <f>'Site Data'!B41</f>
        <v>0</v>
      </c>
      <c r="B39">
        <f>'Site Data'!D41</f>
        <v>0</v>
      </c>
      <c r="C39">
        <f>'Site Data'!E41</f>
        <v>0</v>
      </c>
      <c r="D39" s="97">
        <f t="shared" si="0"/>
        <v>0</v>
      </c>
      <c r="E39" s="98" t="str">
        <f t="shared" si="3"/>
        <v>Error</v>
      </c>
    </row>
    <row r="40" spans="1:5" x14ac:dyDescent="0.25">
      <c r="A40" s="95">
        <f>'Site Data'!B42</f>
        <v>0</v>
      </c>
      <c r="B40">
        <f>'Site Data'!D42</f>
        <v>0</v>
      </c>
      <c r="C40">
        <f>'Site Data'!E42</f>
        <v>0</v>
      </c>
      <c r="D40" s="97">
        <f t="shared" si="0"/>
        <v>0</v>
      </c>
      <c r="E40" s="98" t="str">
        <f t="shared" si="3"/>
        <v>Error</v>
      </c>
    </row>
    <row r="41" spans="1:5" x14ac:dyDescent="0.25">
      <c r="A41" s="95">
        <f>'Site Data'!B43</f>
        <v>0</v>
      </c>
      <c r="B41">
        <f>'Site Data'!D43</f>
        <v>0</v>
      </c>
      <c r="C41">
        <f>'Site Data'!E43</f>
        <v>0</v>
      </c>
      <c r="D41" s="97">
        <f t="shared" si="0"/>
        <v>0</v>
      </c>
      <c r="E41" s="98" t="str">
        <f t="shared" si="3"/>
        <v>Error</v>
      </c>
    </row>
    <row r="42" spans="1:5" x14ac:dyDescent="0.25">
      <c r="A42" s="95">
        <f>'Site Data'!B44</f>
        <v>0</v>
      </c>
      <c r="B42">
        <f>'Site Data'!D44</f>
        <v>0</v>
      </c>
      <c r="C42">
        <f>'Site Data'!E44</f>
        <v>0</v>
      </c>
      <c r="D42" s="97">
        <f t="shared" si="0"/>
        <v>0</v>
      </c>
      <c r="E42" s="98" t="str">
        <f t="shared" si="3"/>
        <v>Error</v>
      </c>
    </row>
    <row r="43" spans="1:5" x14ac:dyDescent="0.25">
      <c r="A43" s="95">
        <f>'Site Data'!B45</f>
        <v>0</v>
      </c>
      <c r="B43">
        <f>'Site Data'!D45</f>
        <v>0</v>
      </c>
      <c r="C43">
        <f>'Site Data'!E45</f>
        <v>0</v>
      </c>
      <c r="D43" s="97">
        <f t="shared" si="0"/>
        <v>0</v>
      </c>
      <c r="E43" s="98" t="str">
        <f t="shared" si="3"/>
        <v>Error</v>
      </c>
    </row>
    <row r="44" spans="1:5" x14ac:dyDescent="0.25">
      <c r="A44" s="95">
        <f>'Site Data'!B46</f>
        <v>0</v>
      </c>
      <c r="B44">
        <f>'Site Data'!D46</f>
        <v>0</v>
      </c>
      <c r="C44">
        <f>'Site Data'!E46</f>
        <v>0</v>
      </c>
      <c r="D44" s="97">
        <f t="shared" si="0"/>
        <v>0</v>
      </c>
      <c r="E44" s="98" t="str">
        <f t="shared" si="3"/>
        <v>Error</v>
      </c>
    </row>
    <row r="45" spans="1:5" x14ac:dyDescent="0.25">
      <c r="A45" s="95">
        <f>'Site Data'!B47</f>
        <v>0</v>
      </c>
      <c r="B45">
        <f>'Site Data'!D47</f>
        <v>0</v>
      </c>
      <c r="C45">
        <f>'Site Data'!E47</f>
        <v>0</v>
      </c>
      <c r="D45" s="97">
        <f t="shared" si="0"/>
        <v>0</v>
      </c>
      <c r="E45" s="98" t="str">
        <f t="shared" si="3"/>
        <v>Error</v>
      </c>
    </row>
    <row r="46" spans="1:5" x14ac:dyDescent="0.25">
      <c r="A46" s="95">
        <f>'Site Data'!B48</f>
        <v>0</v>
      </c>
      <c r="B46">
        <f>'Site Data'!D48</f>
        <v>0</v>
      </c>
      <c r="C46">
        <f>'Site Data'!E48</f>
        <v>0</v>
      </c>
      <c r="D46" s="97">
        <f t="shared" si="0"/>
        <v>0</v>
      </c>
      <c r="E46" s="98" t="str">
        <f t="shared" si="3"/>
        <v>Error</v>
      </c>
    </row>
    <row r="47" spans="1:5" x14ac:dyDescent="0.25">
      <c r="A47" s="95">
        <f>'Site Data'!B49</f>
        <v>0</v>
      </c>
      <c r="B47">
        <f>'Site Data'!D49</f>
        <v>0</v>
      </c>
      <c r="C47">
        <f>'Site Data'!E49</f>
        <v>0</v>
      </c>
      <c r="D47" s="97">
        <f t="shared" si="0"/>
        <v>0</v>
      </c>
      <c r="E47" s="98" t="str">
        <f t="shared" si="3"/>
        <v>Error</v>
      </c>
    </row>
    <row r="48" spans="1:5" x14ac:dyDescent="0.25">
      <c r="A48" s="95">
        <f>'Site Data'!B50</f>
        <v>0</v>
      </c>
      <c r="B48">
        <f>'Site Data'!D50</f>
        <v>0</v>
      </c>
      <c r="C48">
        <f>'Site Data'!E50</f>
        <v>0</v>
      </c>
      <c r="D48" s="97">
        <f t="shared" si="0"/>
        <v>0</v>
      </c>
      <c r="E48" s="98" t="str">
        <f t="shared" si="3"/>
        <v>Error</v>
      </c>
    </row>
    <row r="49" spans="1:5" x14ac:dyDescent="0.25">
      <c r="A49" s="95">
        <f>'Site Data'!B51</f>
        <v>0</v>
      </c>
      <c r="B49">
        <f>'Site Data'!D51</f>
        <v>0</v>
      </c>
      <c r="C49">
        <f>'Site Data'!E51</f>
        <v>0</v>
      </c>
      <c r="D49" s="97">
        <f t="shared" si="0"/>
        <v>0</v>
      </c>
      <c r="E49" s="98" t="str">
        <f t="shared" si="3"/>
        <v>Error</v>
      </c>
    </row>
    <row r="50" spans="1:5" x14ac:dyDescent="0.25">
      <c r="A50" s="95">
        <f>'Site Data'!B52</f>
        <v>0</v>
      </c>
      <c r="B50">
        <f>'Site Data'!D52</f>
        <v>0</v>
      </c>
      <c r="C50">
        <f>'Site Data'!E52</f>
        <v>0</v>
      </c>
      <c r="D50" s="97">
        <f t="shared" si="0"/>
        <v>0</v>
      </c>
      <c r="E50" s="98" t="str">
        <f t="shared" si="3"/>
        <v>Error</v>
      </c>
    </row>
    <row r="51" spans="1:5" x14ac:dyDescent="0.25">
      <c r="A51" s="95">
        <f>'Site Data'!B53</f>
        <v>0</v>
      </c>
      <c r="B51">
        <f>'Site Data'!D53</f>
        <v>0</v>
      </c>
      <c r="C51">
        <f>'Site Data'!E53</f>
        <v>0</v>
      </c>
      <c r="D51" s="97">
        <f t="shared" si="0"/>
        <v>0</v>
      </c>
      <c r="E51" s="98" t="str">
        <f t="shared" si="3"/>
        <v>Error</v>
      </c>
    </row>
    <row r="52" spans="1:5" x14ac:dyDescent="0.25">
      <c r="A52" s="95">
        <f>'Site Data'!B54</f>
        <v>0</v>
      </c>
      <c r="B52">
        <f>'Site Data'!D54</f>
        <v>0</v>
      </c>
      <c r="C52">
        <f>'Site Data'!E54</f>
        <v>0</v>
      </c>
      <c r="D52" s="97">
        <f t="shared" si="0"/>
        <v>0</v>
      </c>
      <c r="E52" s="98" t="str">
        <f t="shared" si="3"/>
        <v>Error</v>
      </c>
    </row>
    <row r="53" spans="1:5" x14ac:dyDescent="0.25">
      <c r="A53" s="95">
        <f>'Site Data'!B55</f>
        <v>0</v>
      </c>
      <c r="B53">
        <f>'Site Data'!D55</f>
        <v>0</v>
      </c>
      <c r="C53">
        <f>'Site Data'!E55</f>
        <v>0</v>
      </c>
      <c r="D53" s="97">
        <f t="shared" si="0"/>
        <v>0</v>
      </c>
      <c r="E53" s="98" t="str">
        <f t="shared" si="3"/>
        <v>Error</v>
      </c>
    </row>
    <row r="54" spans="1:5" x14ac:dyDescent="0.25">
      <c r="A54" s="95">
        <f>'Site Data'!B56</f>
        <v>0</v>
      </c>
      <c r="B54">
        <f>'Site Data'!D56</f>
        <v>0</v>
      </c>
      <c r="C54">
        <f>'Site Data'!E56</f>
        <v>0</v>
      </c>
      <c r="D54" s="97">
        <f t="shared" si="0"/>
        <v>0</v>
      </c>
      <c r="E54" s="98" t="str">
        <f t="shared" si="3"/>
        <v>Error</v>
      </c>
    </row>
    <row r="55" spans="1:5" x14ac:dyDescent="0.25">
      <c r="A55" s="95">
        <f>'Site Data'!B57</f>
        <v>0</v>
      </c>
      <c r="B55">
        <f>'Site Data'!D57</f>
        <v>0</v>
      </c>
      <c r="C55">
        <f>'Site Data'!E57</f>
        <v>0</v>
      </c>
      <c r="D55" s="97">
        <f t="shared" si="0"/>
        <v>0</v>
      </c>
      <c r="E55" s="98" t="str">
        <f t="shared" si="3"/>
        <v>Error</v>
      </c>
    </row>
    <row r="56" spans="1:5" x14ac:dyDescent="0.25">
      <c r="A56" s="95">
        <f>'Site Data'!B58</f>
        <v>0</v>
      </c>
      <c r="B56">
        <f>'Site Data'!D58</f>
        <v>0</v>
      </c>
      <c r="C56">
        <f>'Site Data'!E58</f>
        <v>0</v>
      </c>
      <c r="D56" s="97">
        <f t="shared" si="0"/>
        <v>0</v>
      </c>
      <c r="E56" s="98" t="str">
        <f t="shared" si="3"/>
        <v>Error</v>
      </c>
    </row>
    <row r="57" spans="1:5" x14ac:dyDescent="0.25">
      <c r="A57" s="95">
        <f>'Site Data'!B59</f>
        <v>0</v>
      </c>
      <c r="B57">
        <f>'Site Data'!D59</f>
        <v>0</v>
      </c>
      <c r="C57">
        <f>'Site Data'!E59</f>
        <v>0</v>
      </c>
      <c r="D57" s="97">
        <f t="shared" si="0"/>
        <v>0</v>
      </c>
      <c r="E57" s="98" t="str">
        <f t="shared" si="3"/>
        <v>Error</v>
      </c>
    </row>
    <row r="58" spans="1:5" x14ac:dyDescent="0.25">
      <c r="A58" s="95">
        <f>'Site Data'!B60</f>
        <v>0</v>
      </c>
      <c r="B58">
        <f>'Site Data'!D60</f>
        <v>0</v>
      </c>
      <c r="C58">
        <f>'Site Data'!E60</f>
        <v>0</v>
      </c>
      <c r="D58" s="97">
        <f t="shared" si="0"/>
        <v>0</v>
      </c>
      <c r="E58" s="98" t="str">
        <f t="shared" si="3"/>
        <v>Error</v>
      </c>
    </row>
    <row r="59" spans="1:5" x14ac:dyDescent="0.25">
      <c r="A59" s="95">
        <f>'Site Data'!B61</f>
        <v>0</v>
      </c>
      <c r="B59">
        <f>'Site Data'!D61</f>
        <v>0</v>
      </c>
      <c r="C59">
        <f>'Site Data'!E61</f>
        <v>0</v>
      </c>
      <c r="D59" s="97">
        <f t="shared" si="0"/>
        <v>0</v>
      </c>
      <c r="E59" s="98" t="str">
        <f t="shared" si="3"/>
        <v>Error</v>
      </c>
    </row>
    <row r="60" spans="1:5" x14ac:dyDescent="0.25">
      <c r="A60" s="95">
        <f>'Site Data'!B62</f>
        <v>0</v>
      </c>
      <c r="B60">
        <f>'Site Data'!D62</f>
        <v>0</v>
      </c>
      <c r="C60">
        <f>'Site Data'!E62</f>
        <v>0</v>
      </c>
      <c r="D60" s="97">
        <f t="shared" si="0"/>
        <v>0</v>
      </c>
      <c r="E60" s="98" t="str">
        <f t="shared" si="3"/>
        <v>Error</v>
      </c>
    </row>
    <row r="61" spans="1:5" x14ac:dyDescent="0.25">
      <c r="A61" s="95">
        <f>'Site Data'!B63</f>
        <v>0</v>
      </c>
      <c r="B61">
        <f>'Site Data'!D63</f>
        <v>0</v>
      </c>
      <c r="C61">
        <f>'Site Data'!E63</f>
        <v>0</v>
      </c>
      <c r="D61" s="97">
        <f t="shared" si="0"/>
        <v>0</v>
      </c>
      <c r="E61" s="98" t="str">
        <f t="shared" si="3"/>
        <v>Error</v>
      </c>
    </row>
    <row r="62" spans="1:5" x14ac:dyDescent="0.25">
      <c r="A62" s="95">
        <f>'Site Data'!B64</f>
        <v>0</v>
      </c>
      <c r="B62">
        <f>'Site Data'!D64</f>
        <v>0</v>
      </c>
      <c r="C62">
        <f>'Site Data'!E64</f>
        <v>0</v>
      </c>
      <c r="D62" s="97">
        <f t="shared" si="0"/>
        <v>0</v>
      </c>
      <c r="E62" s="98" t="str">
        <f t="shared" si="3"/>
        <v>Error</v>
      </c>
    </row>
    <row r="63" spans="1:5" x14ac:dyDescent="0.25">
      <c r="A63" s="95">
        <f>'Site Data'!B65</f>
        <v>0</v>
      </c>
      <c r="B63">
        <f>'Site Data'!D65</f>
        <v>0</v>
      </c>
      <c r="C63">
        <f>'Site Data'!E65</f>
        <v>0</v>
      </c>
      <c r="D63" s="97">
        <f t="shared" si="0"/>
        <v>0</v>
      </c>
      <c r="E63" s="98" t="str">
        <f t="shared" si="3"/>
        <v>Error</v>
      </c>
    </row>
    <row r="64" spans="1:5" x14ac:dyDescent="0.25">
      <c r="A64" s="95">
        <f>'Site Data'!B66</f>
        <v>0</v>
      </c>
      <c r="B64">
        <f>'Site Data'!D66</f>
        <v>0</v>
      </c>
      <c r="C64">
        <f>'Site Data'!E66</f>
        <v>0</v>
      </c>
      <c r="D64" s="97">
        <f t="shared" si="0"/>
        <v>0</v>
      </c>
      <c r="E64" s="98" t="str">
        <f t="shared" si="3"/>
        <v>Error</v>
      </c>
    </row>
    <row r="65" spans="1:5" x14ac:dyDescent="0.25">
      <c r="A65" s="95">
        <f>'Site Data'!B67</f>
        <v>0</v>
      </c>
      <c r="B65">
        <f>'Site Data'!D67</f>
        <v>0</v>
      </c>
      <c r="C65">
        <f>'Site Data'!E67</f>
        <v>0</v>
      </c>
      <c r="D65" s="97">
        <f t="shared" si="0"/>
        <v>0</v>
      </c>
      <c r="E65" s="98" t="str">
        <f t="shared" si="3"/>
        <v>Error</v>
      </c>
    </row>
    <row r="66" spans="1:5" x14ac:dyDescent="0.25">
      <c r="A66" s="95">
        <f>'Site Data'!B68</f>
        <v>0</v>
      </c>
      <c r="B66">
        <f>'Site Data'!D68</f>
        <v>0</v>
      </c>
      <c r="C66">
        <f>'Site Data'!E68</f>
        <v>0</v>
      </c>
      <c r="D66" s="97">
        <f t="shared" ref="D66:D129" si="4">B66-C66</f>
        <v>0</v>
      </c>
      <c r="E66" s="98" t="str">
        <f t="shared" ref="E66:E129" si="5">IF(AND(D66 &gt;= 50, D66 &lt;= 60), "Valid", "Error")</f>
        <v>Error</v>
      </c>
    </row>
    <row r="67" spans="1:5" x14ac:dyDescent="0.25">
      <c r="A67" s="95">
        <f>'Site Data'!B69</f>
        <v>0</v>
      </c>
      <c r="B67">
        <f>'Site Data'!D69</f>
        <v>0</v>
      </c>
      <c r="C67">
        <f>'Site Data'!E69</f>
        <v>0</v>
      </c>
      <c r="D67" s="97">
        <f t="shared" si="4"/>
        <v>0</v>
      </c>
      <c r="E67" s="98" t="str">
        <f t="shared" si="5"/>
        <v>Error</v>
      </c>
    </row>
    <row r="68" spans="1:5" x14ac:dyDescent="0.25">
      <c r="A68" s="95">
        <f>'Site Data'!B70</f>
        <v>0</v>
      </c>
      <c r="B68">
        <f>'Site Data'!D70</f>
        <v>0</v>
      </c>
      <c r="C68">
        <f>'Site Data'!E70</f>
        <v>0</v>
      </c>
      <c r="D68" s="97">
        <f t="shared" si="4"/>
        <v>0</v>
      </c>
      <c r="E68" s="98" t="str">
        <f t="shared" si="5"/>
        <v>Error</v>
      </c>
    </row>
    <row r="69" spans="1:5" x14ac:dyDescent="0.25">
      <c r="A69" s="95">
        <f>'Site Data'!B71</f>
        <v>0</v>
      </c>
      <c r="B69">
        <f>'Site Data'!D71</f>
        <v>0</v>
      </c>
      <c r="C69">
        <f>'Site Data'!E71</f>
        <v>0</v>
      </c>
      <c r="D69" s="97">
        <f t="shared" si="4"/>
        <v>0</v>
      </c>
      <c r="E69" s="98" t="str">
        <f t="shared" si="5"/>
        <v>Error</v>
      </c>
    </row>
    <row r="70" spans="1:5" x14ac:dyDescent="0.25">
      <c r="A70" s="95">
        <f>'Site Data'!B72</f>
        <v>0</v>
      </c>
      <c r="B70">
        <f>'Site Data'!D72</f>
        <v>0</v>
      </c>
      <c r="C70">
        <f>'Site Data'!E72</f>
        <v>0</v>
      </c>
      <c r="D70" s="97">
        <f t="shared" si="4"/>
        <v>0</v>
      </c>
      <c r="E70" s="98" t="str">
        <f t="shared" si="5"/>
        <v>Error</v>
      </c>
    </row>
    <row r="71" spans="1:5" x14ac:dyDescent="0.25">
      <c r="A71" s="95">
        <f>'Site Data'!B73</f>
        <v>0</v>
      </c>
      <c r="B71">
        <f>'Site Data'!D73</f>
        <v>0</v>
      </c>
      <c r="C71">
        <f>'Site Data'!E73</f>
        <v>0</v>
      </c>
      <c r="D71" s="97">
        <f t="shared" si="4"/>
        <v>0</v>
      </c>
      <c r="E71" s="98" t="str">
        <f t="shared" si="5"/>
        <v>Error</v>
      </c>
    </row>
    <row r="72" spans="1:5" x14ac:dyDescent="0.25">
      <c r="A72" s="95">
        <f>'Site Data'!B74</f>
        <v>0</v>
      </c>
      <c r="B72">
        <f>'Site Data'!D74</f>
        <v>0</v>
      </c>
      <c r="C72">
        <f>'Site Data'!E74</f>
        <v>0</v>
      </c>
      <c r="D72" s="97">
        <f t="shared" si="4"/>
        <v>0</v>
      </c>
      <c r="E72" s="98" t="str">
        <f t="shared" si="5"/>
        <v>Error</v>
      </c>
    </row>
    <row r="73" spans="1:5" x14ac:dyDescent="0.25">
      <c r="A73" s="95">
        <f>'Site Data'!B75</f>
        <v>0</v>
      </c>
      <c r="B73">
        <f>'Site Data'!D75</f>
        <v>0</v>
      </c>
      <c r="C73">
        <f>'Site Data'!E75</f>
        <v>0</v>
      </c>
      <c r="D73" s="97">
        <f t="shared" si="4"/>
        <v>0</v>
      </c>
      <c r="E73" s="98" t="str">
        <f t="shared" si="5"/>
        <v>Error</v>
      </c>
    </row>
    <row r="74" spans="1:5" x14ac:dyDescent="0.25">
      <c r="A74" s="95">
        <f>'Site Data'!B76</f>
        <v>0</v>
      </c>
      <c r="B74">
        <f>'Site Data'!D76</f>
        <v>0</v>
      </c>
      <c r="C74">
        <f>'Site Data'!E76</f>
        <v>0</v>
      </c>
      <c r="D74" s="97">
        <f t="shared" si="4"/>
        <v>0</v>
      </c>
      <c r="E74" s="98" t="str">
        <f t="shared" si="5"/>
        <v>Error</v>
      </c>
    </row>
    <row r="75" spans="1:5" x14ac:dyDescent="0.25">
      <c r="A75" s="95">
        <f>'Site Data'!B77</f>
        <v>0</v>
      </c>
      <c r="B75">
        <f>'Site Data'!D77</f>
        <v>0</v>
      </c>
      <c r="C75">
        <f>'Site Data'!E77</f>
        <v>0</v>
      </c>
      <c r="D75" s="97">
        <f t="shared" si="4"/>
        <v>0</v>
      </c>
      <c r="E75" s="98" t="str">
        <f t="shared" si="5"/>
        <v>Error</v>
      </c>
    </row>
    <row r="76" spans="1:5" x14ac:dyDescent="0.25">
      <c r="A76" s="95">
        <f>'Site Data'!B78</f>
        <v>0</v>
      </c>
      <c r="B76">
        <f>'Site Data'!D78</f>
        <v>0</v>
      </c>
      <c r="C76">
        <f>'Site Data'!E78</f>
        <v>0</v>
      </c>
      <c r="D76" s="97">
        <f t="shared" si="4"/>
        <v>0</v>
      </c>
      <c r="E76" s="98" t="str">
        <f t="shared" si="5"/>
        <v>Error</v>
      </c>
    </row>
    <row r="77" spans="1:5" x14ac:dyDescent="0.25">
      <c r="A77" s="95">
        <f>'Site Data'!B79</f>
        <v>0</v>
      </c>
      <c r="B77">
        <f>'Site Data'!D79</f>
        <v>0</v>
      </c>
      <c r="C77">
        <f>'Site Data'!E79</f>
        <v>0</v>
      </c>
      <c r="D77" s="97">
        <f t="shared" si="4"/>
        <v>0</v>
      </c>
      <c r="E77" s="98" t="str">
        <f t="shared" si="5"/>
        <v>Error</v>
      </c>
    </row>
    <row r="78" spans="1:5" x14ac:dyDescent="0.25">
      <c r="A78" s="95">
        <f>'Site Data'!B80</f>
        <v>0</v>
      </c>
      <c r="B78">
        <f>'Site Data'!D80</f>
        <v>0</v>
      </c>
      <c r="C78">
        <f>'Site Data'!E80</f>
        <v>0</v>
      </c>
      <c r="D78" s="97">
        <f t="shared" si="4"/>
        <v>0</v>
      </c>
      <c r="E78" s="98" t="str">
        <f t="shared" si="5"/>
        <v>Error</v>
      </c>
    </row>
    <row r="79" spans="1:5" x14ac:dyDescent="0.25">
      <c r="A79" s="95">
        <f>'Site Data'!B81</f>
        <v>0</v>
      </c>
      <c r="B79">
        <f>'Site Data'!D81</f>
        <v>0</v>
      </c>
      <c r="C79">
        <f>'Site Data'!E81</f>
        <v>0</v>
      </c>
      <c r="D79" s="97">
        <f t="shared" si="4"/>
        <v>0</v>
      </c>
      <c r="E79" s="98" t="str">
        <f t="shared" si="5"/>
        <v>Error</v>
      </c>
    </row>
    <row r="80" spans="1:5" x14ac:dyDescent="0.25">
      <c r="A80" s="95">
        <f>'Site Data'!B82</f>
        <v>0</v>
      </c>
      <c r="B80">
        <f>'Site Data'!D82</f>
        <v>0</v>
      </c>
      <c r="C80">
        <f>'Site Data'!E82</f>
        <v>0</v>
      </c>
      <c r="D80" s="97">
        <f t="shared" si="4"/>
        <v>0</v>
      </c>
      <c r="E80" s="98" t="str">
        <f t="shared" si="5"/>
        <v>Error</v>
      </c>
    </row>
    <row r="81" spans="1:5" x14ac:dyDescent="0.25">
      <c r="A81" s="95">
        <f>'Site Data'!B83</f>
        <v>0</v>
      </c>
      <c r="B81">
        <f>'Site Data'!D83</f>
        <v>0</v>
      </c>
      <c r="C81">
        <f>'Site Data'!E83</f>
        <v>0</v>
      </c>
      <c r="D81" s="97">
        <f t="shared" si="4"/>
        <v>0</v>
      </c>
      <c r="E81" s="98" t="str">
        <f t="shared" si="5"/>
        <v>Error</v>
      </c>
    </row>
    <row r="82" spans="1:5" x14ac:dyDescent="0.25">
      <c r="A82" s="95">
        <f>'Site Data'!B84</f>
        <v>0</v>
      </c>
      <c r="B82">
        <f>'Site Data'!D84</f>
        <v>0</v>
      </c>
      <c r="C82">
        <f>'Site Data'!E84</f>
        <v>0</v>
      </c>
      <c r="D82" s="97">
        <f t="shared" si="4"/>
        <v>0</v>
      </c>
      <c r="E82" s="98" t="str">
        <f t="shared" si="5"/>
        <v>Error</v>
      </c>
    </row>
    <row r="83" spans="1:5" x14ac:dyDescent="0.25">
      <c r="A83" s="95">
        <f>'Site Data'!B85</f>
        <v>0</v>
      </c>
      <c r="B83">
        <f>'Site Data'!D85</f>
        <v>0</v>
      </c>
      <c r="C83">
        <f>'Site Data'!E85</f>
        <v>0</v>
      </c>
      <c r="D83" s="97">
        <f t="shared" si="4"/>
        <v>0</v>
      </c>
      <c r="E83" s="98" t="str">
        <f t="shared" si="5"/>
        <v>Error</v>
      </c>
    </row>
    <row r="84" spans="1:5" x14ac:dyDescent="0.25">
      <c r="A84" s="95">
        <f>'Site Data'!B86</f>
        <v>0</v>
      </c>
      <c r="B84">
        <f>'Site Data'!D86</f>
        <v>0</v>
      </c>
      <c r="C84">
        <f>'Site Data'!E86</f>
        <v>0</v>
      </c>
      <c r="D84" s="97">
        <f t="shared" si="4"/>
        <v>0</v>
      </c>
      <c r="E84" s="98" t="str">
        <f t="shared" si="5"/>
        <v>Error</v>
      </c>
    </row>
    <row r="85" spans="1:5" x14ac:dyDescent="0.25">
      <c r="A85" s="95">
        <f>'Site Data'!B87</f>
        <v>0</v>
      </c>
      <c r="B85">
        <f>'Site Data'!D87</f>
        <v>0</v>
      </c>
      <c r="C85">
        <f>'Site Data'!E87</f>
        <v>0</v>
      </c>
      <c r="D85" s="97">
        <f t="shared" si="4"/>
        <v>0</v>
      </c>
      <c r="E85" s="98" t="str">
        <f t="shared" si="5"/>
        <v>Error</v>
      </c>
    </row>
    <row r="86" spans="1:5" x14ac:dyDescent="0.25">
      <c r="A86" s="95">
        <f>'Site Data'!B88</f>
        <v>0</v>
      </c>
      <c r="B86">
        <f>'Site Data'!D88</f>
        <v>0</v>
      </c>
      <c r="C86">
        <f>'Site Data'!E88</f>
        <v>0</v>
      </c>
      <c r="D86" s="97">
        <f t="shared" si="4"/>
        <v>0</v>
      </c>
      <c r="E86" s="98" t="str">
        <f t="shared" si="5"/>
        <v>Error</v>
      </c>
    </row>
    <row r="87" spans="1:5" x14ac:dyDescent="0.25">
      <c r="A87" s="95">
        <f>'Site Data'!B89</f>
        <v>0</v>
      </c>
      <c r="B87">
        <f>'Site Data'!D89</f>
        <v>0</v>
      </c>
      <c r="C87">
        <f>'Site Data'!E89</f>
        <v>0</v>
      </c>
      <c r="D87" s="97">
        <f t="shared" si="4"/>
        <v>0</v>
      </c>
      <c r="E87" s="98" t="str">
        <f t="shared" si="5"/>
        <v>Error</v>
      </c>
    </row>
    <row r="88" spans="1:5" x14ac:dyDescent="0.25">
      <c r="A88" s="95">
        <f>'Site Data'!B90</f>
        <v>0</v>
      </c>
      <c r="B88">
        <f>'Site Data'!D90</f>
        <v>0</v>
      </c>
      <c r="C88">
        <f>'Site Data'!E90</f>
        <v>0</v>
      </c>
      <c r="D88" s="97">
        <f t="shared" si="4"/>
        <v>0</v>
      </c>
      <c r="E88" s="98" t="str">
        <f t="shared" si="5"/>
        <v>Error</v>
      </c>
    </row>
    <row r="89" spans="1:5" x14ac:dyDescent="0.25">
      <c r="A89" s="95">
        <f>'Site Data'!B91</f>
        <v>0</v>
      </c>
      <c r="B89">
        <f>'Site Data'!D91</f>
        <v>0</v>
      </c>
      <c r="C89">
        <f>'Site Data'!E91</f>
        <v>0</v>
      </c>
      <c r="D89" s="97">
        <f t="shared" si="4"/>
        <v>0</v>
      </c>
      <c r="E89" s="98" t="str">
        <f t="shared" si="5"/>
        <v>Error</v>
      </c>
    </row>
    <row r="90" spans="1:5" x14ac:dyDescent="0.25">
      <c r="A90" s="95">
        <f>'Site Data'!B92</f>
        <v>0</v>
      </c>
      <c r="B90">
        <f>'Site Data'!D92</f>
        <v>0</v>
      </c>
      <c r="C90">
        <f>'Site Data'!E92</f>
        <v>0</v>
      </c>
      <c r="D90" s="97">
        <f t="shared" si="4"/>
        <v>0</v>
      </c>
      <c r="E90" s="98" t="str">
        <f t="shared" si="5"/>
        <v>Error</v>
      </c>
    </row>
    <row r="91" spans="1:5" x14ac:dyDescent="0.25">
      <c r="A91" s="95">
        <f>'Site Data'!B93</f>
        <v>0</v>
      </c>
      <c r="B91">
        <f>'Site Data'!D93</f>
        <v>0</v>
      </c>
      <c r="C91">
        <f>'Site Data'!E93</f>
        <v>0</v>
      </c>
      <c r="D91" s="97">
        <f t="shared" si="4"/>
        <v>0</v>
      </c>
      <c r="E91" s="98" t="str">
        <f t="shared" si="5"/>
        <v>Error</v>
      </c>
    </row>
    <row r="92" spans="1:5" x14ac:dyDescent="0.25">
      <c r="A92" s="95">
        <f>'Site Data'!B94</f>
        <v>0</v>
      </c>
      <c r="B92">
        <f>'Site Data'!D94</f>
        <v>0</v>
      </c>
      <c r="C92">
        <f>'Site Data'!E94</f>
        <v>0</v>
      </c>
      <c r="D92" s="97">
        <f t="shared" si="4"/>
        <v>0</v>
      </c>
      <c r="E92" s="98" t="str">
        <f t="shared" si="5"/>
        <v>Error</v>
      </c>
    </row>
    <row r="93" spans="1:5" x14ac:dyDescent="0.25">
      <c r="A93" s="95">
        <f>'Site Data'!B95</f>
        <v>0</v>
      </c>
      <c r="B93">
        <f>'Site Data'!D95</f>
        <v>0</v>
      </c>
      <c r="C93">
        <f>'Site Data'!E95</f>
        <v>0</v>
      </c>
      <c r="D93" s="97">
        <f t="shared" si="4"/>
        <v>0</v>
      </c>
      <c r="E93" s="98" t="str">
        <f t="shared" si="5"/>
        <v>Error</v>
      </c>
    </row>
    <row r="94" spans="1:5" x14ac:dyDescent="0.25">
      <c r="A94" s="95">
        <f>'Site Data'!B96</f>
        <v>0</v>
      </c>
      <c r="B94">
        <f>'Site Data'!D96</f>
        <v>0</v>
      </c>
      <c r="C94">
        <f>'Site Data'!E96</f>
        <v>0</v>
      </c>
      <c r="D94" s="97">
        <f t="shared" si="4"/>
        <v>0</v>
      </c>
      <c r="E94" s="98" t="str">
        <f t="shared" si="5"/>
        <v>Error</v>
      </c>
    </row>
    <row r="95" spans="1:5" x14ac:dyDescent="0.25">
      <c r="A95" s="95">
        <f>'Site Data'!B97</f>
        <v>0</v>
      </c>
      <c r="B95">
        <f>'Site Data'!D97</f>
        <v>0</v>
      </c>
      <c r="C95">
        <f>'Site Data'!E97</f>
        <v>0</v>
      </c>
      <c r="D95" s="97">
        <f t="shared" si="4"/>
        <v>0</v>
      </c>
      <c r="E95" s="98" t="str">
        <f t="shared" si="5"/>
        <v>Error</v>
      </c>
    </row>
    <row r="96" spans="1:5" x14ac:dyDescent="0.25">
      <c r="A96" s="95">
        <f>'Site Data'!B98</f>
        <v>0</v>
      </c>
      <c r="B96">
        <f>'Site Data'!D98</f>
        <v>0</v>
      </c>
      <c r="C96">
        <f>'Site Data'!E98</f>
        <v>0</v>
      </c>
      <c r="D96" s="97">
        <f t="shared" si="4"/>
        <v>0</v>
      </c>
      <c r="E96" s="98" t="str">
        <f t="shared" si="5"/>
        <v>Error</v>
      </c>
    </row>
    <row r="97" spans="1:5" x14ac:dyDescent="0.25">
      <c r="A97" s="95">
        <f>'Site Data'!B99</f>
        <v>0</v>
      </c>
      <c r="B97">
        <f>'Site Data'!D99</f>
        <v>0</v>
      </c>
      <c r="C97">
        <f>'Site Data'!E99</f>
        <v>0</v>
      </c>
      <c r="D97" s="97">
        <f t="shared" si="4"/>
        <v>0</v>
      </c>
      <c r="E97" s="98" t="str">
        <f t="shared" si="5"/>
        <v>Error</v>
      </c>
    </row>
    <row r="98" spans="1:5" x14ac:dyDescent="0.25">
      <c r="A98" s="95">
        <f>'Site Data'!B100</f>
        <v>0</v>
      </c>
      <c r="B98">
        <f>'Site Data'!D100</f>
        <v>0</v>
      </c>
      <c r="C98">
        <f>'Site Data'!E100</f>
        <v>0</v>
      </c>
      <c r="D98" s="97">
        <f t="shared" si="4"/>
        <v>0</v>
      </c>
      <c r="E98" s="98" t="str">
        <f t="shared" si="5"/>
        <v>Error</v>
      </c>
    </row>
    <row r="99" spans="1:5" x14ac:dyDescent="0.25">
      <c r="A99" s="95">
        <f>'Site Data'!B101</f>
        <v>0</v>
      </c>
      <c r="B99">
        <f>'Site Data'!D101</f>
        <v>0</v>
      </c>
      <c r="C99">
        <f>'Site Data'!E101</f>
        <v>0</v>
      </c>
      <c r="D99" s="97">
        <f t="shared" si="4"/>
        <v>0</v>
      </c>
      <c r="E99" s="98" t="str">
        <f t="shared" si="5"/>
        <v>Error</v>
      </c>
    </row>
    <row r="100" spans="1:5" x14ac:dyDescent="0.25">
      <c r="A100" s="95">
        <f>'Site Data'!B102</f>
        <v>0</v>
      </c>
      <c r="B100">
        <f>'Site Data'!D102</f>
        <v>0</v>
      </c>
      <c r="C100">
        <f>'Site Data'!E102</f>
        <v>0</v>
      </c>
      <c r="D100" s="97">
        <f t="shared" si="4"/>
        <v>0</v>
      </c>
      <c r="E100" s="98" t="str">
        <f t="shared" si="5"/>
        <v>Error</v>
      </c>
    </row>
    <row r="101" spans="1:5" x14ac:dyDescent="0.25">
      <c r="A101" s="95">
        <f>'Site Data'!B103</f>
        <v>0</v>
      </c>
      <c r="B101">
        <f>'Site Data'!D103</f>
        <v>0</v>
      </c>
      <c r="C101">
        <f>'Site Data'!E103</f>
        <v>0</v>
      </c>
      <c r="D101" s="97">
        <f t="shared" si="4"/>
        <v>0</v>
      </c>
      <c r="E101" s="98" t="str">
        <f t="shared" si="5"/>
        <v>Error</v>
      </c>
    </row>
    <row r="102" spans="1:5" x14ac:dyDescent="0.25">
      <c r="A102" s="95">
        <f>'Site Data'!B104</f>
        <v>0</v>
      </c>
      <c r="B102">
        <f>'Site Data'!D104</f>
        <v>0</v>
      </c>
      <c r="C102">
        <f>'Site Data'!E104</f>
        <v>0</v>
      </c>
      <c r="D102" s="97">
        <f t="shared" si="4"/>
        <v>0</v>
      </c>
      <c r="E102" s="98" t="str">
        <f t="shared" si="5"/>
        <v>Error</v>
      </c>
    </row>
    <row r="103" spans="1:5" x14ac:dyDescent="0.25">
      <c r="A103" s="95">
        <f>'Site Data'!B105</f>
        <v>0</v>
      </c>
      <c r="B103">
        <f>'Site Data'!D105</f>
        <v>0</v>
      </c>
      <c r="C103">
        <f>'Site Data'!E105</f>
        <v>0</v>
      </c>
      <c r="D103" s="97">
        <f t="shared" si="4"/>
        <v>0</v>
      </c>
      <c r="E103" s="98" t="str">
        <f t="shared" si="5"/>
        <v>Error</v>
      </c>
    </row>
    <row r="104" spans="1:5" x14ac:dyDescent="0.25">
      <c r="A104" s="95">
        <f>'Site Data'!B106</f>
        <v>0</v>
      </c>
      <c r="B104">
        <f>'Site Data'!D106</f>
        <v>0</v>
      </c>
      <c r="C104">
        <f>'Site Data'!E106</f>
        <v>0</v>
      </c>
      <c r="D104" s="97">
        <f t="shared" si="4"/>
        <v>0</v>
      </c>
      <c r="E104" s="98" t="str">
        <f t="shared" si="5"/>
        <v>Error</v>
      </c>
    </row>
    <row r="105" spans="1:5" x14ac:dyDescent="0.25">
      <c r="A105" s="95">
        <f>'Site Data'!B107</f>
        <v>0</v>
      </c>
      <c r="B105">
        <f>'Site Data'!D107</f>
        <v>0</v>
      </c>
      <c r="C105">
        <f>'Site Data'!E107</f>
        <v>0</v>
      </c>
      <c r="D105" s="97">
        <f t="shared" si="4"/>
        <v>0</v>
      </c>
      <c r="E105" s="98" t="str">
        <f t="shared" si="5"/>
        <v>Error</v>
      </c>
    </row>
    <row r="106" spans="1:5" x14ac:dyDescent="0.25">
      <c r="A106" s="95">
        <f>'Site Data'!B108</f>
        <v>0</v>
      </c>
      <c r="B106">
        <f>'Site Data'!D108</f>
        <v>0</v>
      </c>
      <c r="C106">
        <f>'Site Data'!E108</f>
        <v>0</v>
      </c>
      <c r="D106" s="97">
        <f t="shared" si="4"/>
        <v>0</v>
      </c>
      <c r="E106" s="98" t="str">
        <f t="shared" si="5"/>
        <v>Error</v>
      </c>
    </row>
    <row r="107" spans="1:5" x14ac:dyDescent="0.25">
      <c r="A107" s="95">
        <f>'Site Data'!B109</f>
        <v>0</v>
      </c>
      <c r="B107">
        <f>'Site Data'!D109</f>
        <v>0</v>
      </c>
      <c r="C107">
        <f>'Site Data'!E109</f>
        <v>0</v>
      </c>
      <c r="D107" s="97">
        <f t="shared" si="4"/>
        <v>0</v>
      </c>
      <c r="E107" s="98" t="str">
        <f t="shared" si="5"/>
        <v>Error</v>
      </c>
    </row>
    <row r="108" spans="1:5" x14ac:dyDescent="0.25">
      <c r="A108" s="95">
        <f>'Site Data'!B110</f>
        <v>0</v>
      </c>
      <c r="B108">
        <f>'Site Data'!D110</f>
        <v>0</v>
      </c>
      <c r="C108">
        <f>'Site Data'!E110</f>
        <v>0</v>
      </c>
      <c r="D108" s="97">
        <f t="shared" si="4"/>
        <v>0</v>
      </c>
      <c r="E108" s="98" t="str">
        <f t="shared" si="5"/>
        <v>Error</v>
      </c>
    </row>
    <row r="109" spans="1:5" x14ac:dyDescent="0.25">
      <c r="A109" s="95">
        <f>'Site Data'!B111</f>
        <v>0</v>
      </c>
      <c r="B109">
        <f>'Site Data'!D111</f>
        <v>0</v>
      </c>
      <c r="C109">
        <f>'Site Data'!E111</f>
        <v>0</v>
      </c>
      <c r="D109" s="97">
        <f t="shared" si="4"/>
        <v>0</v>
      </c>
      <c r="E109" s="98" t="str">
        <f t="shared" si="5"/>
        <v>Error</v>
      </c>
    </row>
    <row r="110" spans="1:5" x14ac:dyDescent="0.25">
      <c r="A110" s="95">
        <f>'Site Data'!B112</f>
        <v>0</v>
      </c>
      <c r="B110">
        <f>'Site Data'!D112</f>
        <v>0</v>
      </c>
      <c r="C110">
        <f>'Site Data'!E112</f>
        <v>0</v>
      </c>
      <c r="D110" s="97">
        <f t="shared" si="4"/>
        <v>0</v>
      </c>
      <c r="E110" s="98" t="str">
        <f t="shared" si="5"/>
        <v>Error</v>
      </c>
    </row>
    <row r="111" spans="1:5" x14ac:dyDescent="0.25">
      <c r="A111" s="95">
        <f>'Site Data'!B113</f>
        <v>0</v>
      </c>
      <c r="B111">
        <f>'Site Data'!D113</f>
        <v>0</v>
      </c>
      <c r="C111">
        <f>'Site Data'!E113</f>
        <v>0</v>
      </c>
      <c r="D111" s="97">
        <f t="shared" si="4"/>
        <v>0</v>
      </c>
      <c r="E111" s="98" t="str">
        <f t="shared" si="5"/>
        <v>Error</v>
      </c>
    </row>
    <row r="112" spans="1:5" x14ac:dyDescent="0.25">
      <c r="A112" s="95">
        <f>'Site Data'!B114</f>
        <v>0</v>
      </c>
      <c r="B112">
        <f>'Site Data'!D114</f>
        <v>0</v>
      </c>
      <c r="C112">
        <f>'Site Data'!E114</f>
        <v>0</v>
      </c>
      <c r="D112" s="97">
        <f t="shared" si="4"/>
        <v>0</v>
      </c>
      <c r="E112" s="98" t="str">
        <f t="shared" si="5"/>
        <v>Error</v>
      </c>
    </row>
    <row r="113" spans="1:5" x14ac:dyDescent="0.25">
      <c r="A113" s="95">
        <f>'Site Data'!B115</f>
        <v>0</v>
      </c>
      <c r="B113">
        <f>'Site Data'!D115</f>
        <v>0</v>
      </c>
      <c r="C113">
        <f>'Site Data'!E115</f>
        <v>0</v>
      </c>
      <c r="D113" s="97">
        <f t="shared" si="4"/>
        <v>0</v>
      </c>
      <c r="E113" s="98" t="str">
        <f t="shared" si="5"/>
        <v>Error</v>
      </c>
    </row>
    <row r="114" spans="1:5" x14ac:dyDescent="0.25">
      <c r="A114" s="95">
        <f>'Site Data'!B116</f>
        <v>0</v>
      </c>
      <c r="B114">
        <f>'Site Data'!D116</f>
        <v>0</v>
      </c>
      <c r="C114">
        <f>'Site Data'!E116</f>
        <v>0</v>
      </c>
      <c r="D114" s="97">
        <f t="shared" si="4"/>
        <v>0</v>
      </c>
      <c r="E114" s="98" t="str">
        <f t="shared" si="5"/>
        <v>Error</v>
      </c>
    </row>
    <row r="115" spans="1:5" x14ac:dyDescent="0.25">
      <c r="A115" s="95">
        <f>'Site Data'!B117</f>
        <v>0</v>
      </c>
      <c r="B115">
        <f>'Site Data'!D117</f>
        <v>0</v>
      </c>
      <c r="C115">
        <f>'Site Data'!E117</f>
        <v>0</v>
      </c>
      <c r="D115" s="97">
        <f t="shared" si="4"/>
        <v>0</v>
      </c>
      <c r="E115" s="98" t="str">
        <f t="shared" si="5"/>
        <v>Error</v>
      </c>
    </row>
    <row r="116" spans="1:5" x14ac:dyDescent="0.25">
      <c r="A116" s="95">
        <f>'Site Data'!B118</f>
        <v>0</v>
      </c>
      <c r="B116">
        <f>'Site Data'!D118</f>
        <v>0</v>
      </c>
      <c r="C116">
        <f>'Site Data'!E118</f>
        <v>0</v>
      </c>
      <c r="D116" s="97">
        <f t="shared" si="4"/>
        <v>0</v>
      </c>
      <c r="E116" s="98" t="str">
        <f t="shared" si="5"/>
        <v>Error</v>
      </c>
    </row>
    <row r="117" spans="1:5" x14ac:dyDescent="0.25">
      <c r="A117" s="95">
        <f>'Site Data'!B119</f>
        <v>0</v>
      </c>
      <c r="B117">
        <f>'Site Data'!D119</f>
        <v>0</v>
      </c>
      <c r="C117">
        <f>'Site Data'!E119</f>
        <v>0</v>
      </c>
      <c r="D117" s="97">
        <f t="shared" si="4"/>
        <v>0</v>
      </c>
      <c r="E117" s="98" t="str">
        <f t="shared" si="5"/>
        <v>Error</v>
      </c>
    </row>
    <row r="118" spans="1:5" x14ac:dyDescent="0.25">
      <c r="A118" s="95">
        <f>'Site Data'!B120</f>
        <v>0</v>
      </c>
      <c r="B118">
        <f>'Site Data'!D120</f>
        <v>0</v>
      </c>
      <c r="C118">
        <f>'Site Data'!E120</f>
        <v>0</v>
      </c>
      <c r="D118" s="97">
        <f t="shared" si="4"/>
        <v>0</v>
      </c>
      <c r="E118" s="98" t="str">
        <f t="shared" si="5"/>
        <v>Error</v>
      </c>
    </row>
    <row r="119" spans="1:5" x14ac:dyDescent="0.25">
      <c r="A119" s="95">
        <f>'Site Data'!B121</f>
        <v>0</v>
      </c>
      <c r="B119">
        <f>'Site Data'!D121</f>
        <v>0</v>
      </c>
      <c r="C119">
        <f>'Site Data'!E121</f>
        <v>0</v>
      </c>
      <c r="D119" s="97">
        <f t="shared" si="4"/>
        <v>0</v>
      </c>
      <c r="E119" s="98" t="str">
        <f t="shared" si="5"/>
        <v>Error</v>
      </c>
    </row>
    <row r="120" spans="1:5" x14ac:dyDescent="0.25">
      <c r="A120" s="95">
        <f>'Site Data'!B122</f>
        <v>0</v>
      </c>
      <c r="B120">
        <f>'Site Data'!D122</f>
        <v>0</v>
      </c>
      <c r="C120">
        <f>'Site Data'!E122</f>
        <v>0</v>
      </c>
      <c r="D120" s="97">
        <f t="shared" si="4"/>
        <v>0</v>
      </c>
      <c r="E120" s="98" t="str">
        <f t="shared" si="5"/>
        <v>Error</v>
      </c>
    </row>
    <row r="121" spans="1:5" x14ac:dyDescent="0.25">
      <c r="A121" s="95">
        <f>'Site Data'!B123</f>
        <v>0</v>
      </c>
      <c r="B121">
        <f>'Site Data'!D123</f>
        <v>0</v>
      </c>
      <c r="C121">
        <f>'Site Data'!E123</f>
        <v>0</v>
      </c>
      <c r="D121" s="97">
        <f t="shared" si="4"/>
        <v>0</v>
      </c>
      <c r="E121" s="98" t="str">
        <f t="shared" si="5"/>
        <v>Error</v>
      </c>
    </row>
    <row r="122" spans="1:5" x14ac:dyDescent="0.25">
      <c r="A122" s="95">
        <f>'Site Data'!B124</f>
        <v>0</v>
      </c>
      <c r="B122">
        <f>'Site Data'!D124</f>
        <v>0</v>
      </c>
      <c r="C122">
        <f>'Site Data'!E124</f>
        <v>0</v>
      </c>
      <c r="D122" s="97">
        <f t="shared" si="4"/>
        <v>0</v>
      </c>
      <c r="E122" s="98" t="str">
        <f t="shared" si="5"/>
        <v>Error</v>
      </c>
    </row>
    <row r="123" spans="1:5" x14ac:dyDescent="0.25">
      <c r="A123" s="95">
        <f>'Site Data'!B125</f>
        <v>0</v>
      </c>
      <c r="B123">
        <f>'Site Data'!D125</f>
        <v>0</v>
      </c>
      <c r="C123">
        <f>'Site Data'!E125</f>
        <v>0</v>
      </c>
      <c r="D123" s="97">
        <f t="shared" si="4"/>
        <v>0</v>
      </c>
      <c r="E123" s="98" t="str">
        <f t="shared" si="5"/>
        <v>Error</v>
      </c>
    </row>
    <row r="124" spans="1:5" x14ac:dyDescent="0.25">
      <c r="A124" s="95">
        <f>'Site Data'!B126</f>
        <v>0</v>
      </c>
      <c r="B124">
        <f>'Site Data'!D126</f>
        <v>0</v>
      </c>
      <c r="C124">
        <f>'Site Data'!E126</f>
        <v>0</v>
      </c>
      <c r="D124" s="97">
        <f t="shared" si="4"/>
        <v>0</v>
      </c>
      <c r="E124" s="98" t="str">
        <f t="shared" si="5"/>
        <v>Error</v>
      </c>
    </row>
    <row r="125" spans="1:5" x14ac:dyDescent="0.25">
      <c r="A125" s="95">
        <f>'Site Data'!B127</f>
        <v>0</v>
      </c>
      <c r="B125">
        <f>'Site Data'!D127</f>
        <v>0</v>
      </c>
      <c r="C125">
        <f>'Site Data'!E127</f>
        <v>0</v>
      </c>
      <c r="D125" s="97">
        <f t="shared" si="4"/>
        <v>0</v>
      </c>
      <c r="E125" s="98" t="str">
        <f t="shared" si="5"/>
        <v>Error</v>
      </c>
    </row>
    <row r="126" spans="1:5" x14ac:dyDescent="0.25">
      <c r="A126" s="95">
        <f>'Site Data'!B128</f>
        <v>0</v>
      </c>
      <c r="B126">
        <f>'Site Data'!D128</f>
        <v>0</v>
      </c>
      <c r="C126">
        <f>'Site Data'!E128</f>
        <v>0</v>
      </c>
      <c r="D126" s="97">
        <f t="shared" si="4"/>
        <v>0</v>
      </c>
      <c r="E126" s="98" t="str">
        <f t="shared" si="5"/>
        <v>Error</v>
      </c>
    </row>
    <row r="127" spans="1:5" x14ac:dyDescent="0.25">
      <c r="A127" s="95">
        <f>'Site Data'!B129</f>
        <v>0</v>
      </c>
      <c r="B127">
        <f>'Site Data'!D129</f>
        <v>0</v>
      </c>
      <c r="C127">
        <f>'Site Data'!E129</f>
        <v>0</v>
      </c>
      <c r="D127" s="97">
        <f t="shared" si="4"/>
        <v>0</v>
      </c>
      <c r="E127" s="98" t="str">
        <f t="shared" si="5"/>
        <v>Error</v>
      </c>
    </row>
    <row r="128" spans="1:5" x14ac:dyDescent="0.25">
      <c r="A128" s="95">
        <f>'Site Data'!B130</f>
        <v>0</v>
      </c>
      <c r="B128">
        <f>'Site Data'!D130</f>
        <v>0</v>
      </c>
      <c r="C128">
        <f>'Site Data'!E130</f>
        <v>0</v>
      </c>
      <c r="D128" s="97">
        <f t="shared" si="4"/>
        <v>0</v>
      </c>
      <c r="E128" s="98" t="str">
        <f t="shared" si="5"/>
        <v>Error</v>
      </c>
    </row>
    <row r="129" spans="1:5" x14ac:dyDescent="0.25">
      <c r="A129" s="95">
        <f>'Site Data'!B131</f>
        <v>0</v>
      </c>
      <c r="B129">
        <f>'Site Data'!D131</f>
        <v>0</v>
      </c>
      <c r="C129">
        <f>'Site Data'!E131</f>
        <v>0</v>
      </c>
      <c r="D129" s="97">
        <f t="shared" si="4"/>
        <v>0</v>
      </c>
      <c r="E129" s="98" t="str">
        <f t="shared" si="5"/>
        <v>Error</v>
      </c>
    </row>
    <row r="130" spans="1:5" x14ac:dyDescent="0.25">
      <c r="A130" s="95">
        <f>'Site Data'!B132</f>
        <v>0</v>
      </c>
      <c r="B130">
        <f>'Site Data'!D132</f>
        <v>0</v>
      </c>
      <c r="C130">
        <f>'Site Data'!E132</f>
        <v>0</v>
      </c>
      <c r="D130" s="97">
        <f t="shared" ref="D130:D193" si="6">B130-C130</f>
        <v>0</v>
      </c>
      <c r="E130" s="98" t="str">
        <f t="shared" ref="E130:E193" si="7">IF(AND(D130 &gt;= 50, D130 &lt;= 60), "Valid", "Error")</f>
        <v>Error</v>
      </c>
    </row>
    <row r="131" spans="1:5" x14ac:dyDescent="0.25">
      <c r="A131" s="95">
        <f>'Site Data'!B133</f>
        <v>0</v>
      </c>
      <c r="B131">
        <f>'Site Data'!D133</f>
        <v>0</v>
      </c>
      <c r="C131">
        <f>'Site Data'!E133</f>
        <v>0</v>
      </c>
      <c r="D131" s="97">
        <f t="shared" si="6"/>
        <v>0</v>
      </c>
      <c r="E131" s="98" t="str">
        <f t="shared" si="7"/>
        <v>Error</v>
      </c>
    </row>
    <row r="132" spans="1:5" x14ac:dyDescent="0.25">
      <c r="A132" s="95">
        <f>'Site Data'!B134</f>
        <v>0</v>
      </c>
      <c r="B132">
        <f>'Site Data'!D134</f>
        <v>0</v>
      </c>
      <c r="C132">
        <f>'Site Data'!E134</f>
        <v>0</v>
      </c>
      <c r="D132" s="97">
        <f t="shared" si="6"/>
        <v>0</v>
      </c>
      <c r="E132" s="98" t="str">
        <f t="shared" si="7"/>
        <v>Error</v>
      </c>
    </row>
    <row r="133" spans="1:5" x14ac:dyDescent="0.25">
      <c r="A133" s="95">
        <f>'Site Data'!B135</f>
        <v>0</v>
      </c>
      <c r="B133">
        <f>'Site Data'!D135</f>
        <v>0</v>
      </c>
      <c r="C133">
        <f>'Site Data'!E135</f>
        <v>0</v>
      </c>
      <c r="D133" s="97">
        <f t="shared" si="6"/>
        <v>0</v>
      </c>
      <c r="E133" s="98" t="str">
        <f t="shared" si="7"/>
        <v>Error</v>
      </c>
    </row>
    <row r="134" spans="1:5" x14ac:dyDescent="0.25">
      <c r="A134" s="95">
        <f>'Site Data'!B136</f>
        <v>0</v>
      </c>
      <c r="B134">
        <f>'Site Data'!D136</f>
        <v>0</v>
      </c>
      <c r="C134">
        <f>'Site Data'!E136</f>
        <v>0</v>
      </c>
      <c r="D134" s="97">
        <f t="shared" si="6"/>
        <v>0</v>
      </c>
      <c r="E134" s="98" t="str">
        <f t="shared" si="7"/>
        <v>Error</v>
      </c>
    </row>
    <row r="135" spans="1:5" x14ac:dyDescent="0.25">
      <c r="A135" s="95">
        <f>'Site Data'!B137</f>
        <v>0</v>
      </c>
      <c r="B135">
        <f>'Site Data'!D137</f>
        <v>0</v>
      </c>
      <c r="C135">
        <f>'Site Data'!E137</f>
        <v>0</v>
      </c>
      <c r="D135" s="97">
        <f t="shared" si="6"/>
        <v>0</v>
      </c>
      <c r="E135" s="98" t="str">
        <f t="shared" si="7"/>
        <v>Error</v>
      </c>
    </row>
    <row r="136" spans="1:5" x14ac:dyDescent="0.25">
      <c r="A136" s="95">
        <f>'Site Data'!B138</f>
        <v>0</v>
      </c>
      <c r="B136">
        <f>'Site Data'!D138</f>
        <v>0</v>
      </c>
      <c r="C136">
        <f>'Site Data'!E138</f>
        <v>0</v>
      </c>
      <c r="D136" s="97">
        <f t="shared" si="6"/>
        <v>0</v>
      </c>
      <c r="E136" s="98" t="str">
        <f t="shared" si="7"/>
        <v>Error</v>
      </c>
    </row>
    <row r="137" spans="1:5" x14ac:dyDescent="0.25">
      <c r="A137" s="95">
        <f>'Site Data'!B139</f>
        <v>0</v>
      </c>
      <c r="B137">
        <f>'Site Data'!D139</f>
        <v>0</v>
      </c>
      <c r="C137">
        <f>'Site Data'!E139</f>
        <v>0</v>
      </c>
      <c r="D137" s="97">
        <f t="shared" si="6"/>
        <v>0</v>
      </c>
      <c r="E137" s="98" t="str">
        <f t="shared" si="7"/>
        <v>Error</v>
      </c>
    </row>
    <row r="138" spans="1:5" x14ac:dyDescent="0.25">
      <c r="A138" s="95">
        <f>'Site Data'!B140</f>
        <v>0</v>
      </c>
      <c r="B138">
        <f>'Site Data'!D140</f>
        <v>0</v>
      </c>
      <c r="C138">
        <f>'Site Data'!E140</f>
        <v>0</v>
      </c>
      <c r="D138" s="97">
        <f t="shared" si="6"/>
        <v>0</v>
      </c>
      <c r="E138" s="98" t="str">
        <f t="shared" si="7"/>
        <v>Error</v>
      </c>
    </row>
    <row r="139" spans="1:5" x14ac:dyDescent="0.25">
      <c r="A139" s="95">
        <f>'Site Data'!B141</f>
        <v>0</v>
      </c>
      <c r="B139">
        <f>'Site Data'!D141</f>
        <v>0</v>
      </c>
      <c r="C139">
        <f>'Site Data'!E141</f>
        <v>0</v>
      </c>
      <c r="D139" s="97">
        <f t="shared" si="6"/>
        <v>0</v>
      </c>
      <c r="E139" s="98" t="str">
        <f t="shared" si="7"/>
        <v>Error</v>
      </c>
    </row>
    <row r="140" spans="1:5" x14ac:dyDescent="0.25">
      <c r="A140" s="95">
        <f>'Site Data'!B142</f>
        <v>0</v>
      </c>
      <c r="B140">
        <f>'Site Data'!D142</f>
        <v>0</v>
      </c>
      <c r="C140">
        <f>'Site Data'!E142</f>
        <v>0</v>
      </c>
      <c r="D140" s="97">
        <f t="shared" si="6"/>
        <v>0</v>
      </c>
      <c r="E140" s="98" t="str">
        <f t="shared" si="7"/>
        <v>Error</v>
      </c>
    </row>
    <row r="141" spans="1:5" x14ac:dyDescent="0.25">
      <c r="A141" s="95">
        <f>'Site Data'!B143</f>
        <v>0</v>
      </c>
      <c r="B141">
        <f>'Site Data'!D143</f>
        <v>0</v>
      </c>
      <c r="C141">
        <f>'Site Data'!E143</f>
        <v>0</v>
      </c>
      <c r="D141" s="97">
        <f t="shared" si="6"/>
        <v>0</v>
      </c>
      <c r="E141" s="98" t="str">
        <f t="shared" si="7"/>
        <v>Error</v>
      </c>
    </row>
    <row r="142" spans="1:5" x14ac:dyDescent="0.25">
      <c r="A142" s="95">
        <f>'Site Data'!B144</f>
        <v>0</v>
      </c>
      <c r="B142">
        <f>'Site Data'!D144</f>
        <v>0</v>
      </c>
      <c r="C142">
        <f>'Site Data'!E144</f>
        <v>0</v>
      </c>
      <c r="D142" s="97">
        <f t="shared" si="6"/>
        <v>0</v>
      </c>
      <c r="E142" s="98" t="str">
        <f t="shared" si="7"/>
        <v>Error</v>
      </c>
    </row>
    <row r="143" spans="1:5" x14ac:dyDescent="0.25">
      <c r="A143" s="95">
        <f>'Site Data'!B145</f>
        <v>0</v>
      </c>
      <c r="B143">
        <f>'Site Data'!D145</f>
        <v>0</v>
      </c>
      <c r="C143">
        <f>'Site Data'!E145</f>
        <v>0</v>
      </c>
      <c r="D143" s="97">
        <f t="shared" si="6"/>
        <v>0</v>
      </c>
      <c r="E143" s="98" t="str">
        <f t="shared" si="7"/>
        <v>Error</v>
      </c>
    </row>
    <row r="144" spans="1:5" x14ac:dyDescent="0.25">
      <c r="A144" s="95">
        <f>'Site Data'!B146</f>
        <v>0</v>
      </c>
      <c r="B144">
        <f>'Site Data'!D146</f>
        <v>0</v>
      </c>
      <c r="C144">
        <f>'Site Data'!E146</f>
        <v>0</v>
      </c>
      <c r="D144" s="97">
        <f t="shared" si="6"/>
        <v>0</v>
      </c>
      <c r="E144" s="98" t="str">
        <f t="shared" si="7"/>
        <v>Error</v>
      </c>
    </row>
    <row r="145" spans="1:5" x14ac:dyDescent="0.25">
      <c r="A145" s="95">
        <f>'Site Data'!B147</f>
        <v>0</v>
      </c>
      <c r="B145">
        <f>'Site Data'!D147</f>
        <v>0</v>
      </c>
      <c r="C145">
        <f>'Site Data'!E147</f>
        <v>0</v>
      </c>
      <c r="D145" s="97">
        <f t="shared" si="6"/>
        <v>0</v>
      </c>
      <c r="E145" s="98" t="str">
        <f t="shared" si="7"/>
        <v>Error</v>
      </c>
    </row>
    <row r="146" spans="1:5" x14ac:dyDescent="0.25">
      <c r="A146" s="95">
        <f>'Site Data'!B148</f>
        <v>0</v>
      </c>
      <c r="B146">
        <f>'Site Data'!D148</f>
        <v>0</v>
      </c>
      <c r="C146">
        <f>'Site Data'!E148</f>
        <v>0</v>
      </c>
      <c r="D146" s="97">
        <f t="shared" si="6"/>
        <v>0</v>
      </c>
      <c r="E146" s="98" t="str">
        <f t="shared" si="7"/>
        <v>Error</v>
      </c>
    </row>
    <row r="147" spans="1:5" x14ac:dyDescent="0.25">
      <c r="A147" s="95">
        <f>'Site Data'!B149</f>
        <v>0</v>
      </c>
      <c r="B147">
        <f>'Site Data'!D149</f>
        <v>0</v>
      </c>
      <c r="C147">
        <f>'Site Data'!E149</f>
        <v>0</v>
      </c>
      <c r="D147" s="97">
        <f t="shared" si="6"/>
        <v>0</v>
      </c>
      <c r="E147" s="98" t="str">
        <f t="shared" si="7"/>
        <v>Error</v>
      </c>
    </row>
    <row r="148" spans="1:5" x14ac:dyDescent="0.25">
      <c r="A148" s="95">
        <f>'Site Data'!B150</f>
        <v>0</v>
      </c>
      <c r="B148">
        <f>'Site Data'!D150</f>
        <v>0</v>
      </c>
      <c r="C148">
        <f>'Site Data'!E150</f>
        <v>0</v>
      </c>
      <c r="D148" s="97">
        <f t="shared" si="6"/>
        <v>0</v>
      </c>
      <c r="E148" s="98" t="str">
        <f t="shared" si="7"/>
        <v>Error</v>
      </c>
    </row>
    <row r="149" spans="1:5" x14ac:dyDescent="0.25">
      <c r="A149" s="95">
        <f>'Site Data'!B151</f>
        <v>0</v>
      </c>
      <c r="B149">
        <f>'Site Data'!D151</f>
        <v>0</v>
      </c>
      <c r="C149">
        <f>'Site Data'!E151</f>
        <v>0</v>
      </c>
      <c r="D149" s="97">
        <f t="shared" si="6"/>
        <v>0</v>
      </c>
      <c r="E149" s="98" t="str">
        <f t="shared" si="7"/>
        <v>Error</v>
      </c>
    </row>
    <row r="150" spans="1:5" x14ac:dyDescent="0.25">
      <c r="A150" s="95">
        <f>'Site Data'!B152</f>
        <v>0</v>
      </c>
      <c r="B150">
        <f>'Site Data'!D152</f>
        <v>0</v>
      </c>
      <c r="C150">
        <f>'Site Data'!E152</f>
        <v>0</v>
      </c>
      <c r="D150" s="97">
        <f t="shared" si="6"/>
        <v>0</v>
      </c>
      <c r="E150" s="98" t="str">
        <f t="shared" si="7"/>
        <v>Error</v>
      </c>
    </row>
    <row r="151" spans="1:5" x14ac:dyDescent="0.25">
      <c r="A151" s="95">
        <f>'Site Data'!B153</f>
        <v>0</v>
      </c>
      <c r="B151">
        <f>'Site Data'!D153</f>
        <v>0</v>
      </c>
      <c r="C151">
        <f>'Site Data'!E153</f>
        <v>0</v>
      </c>
      <c r="D151" s="97">
        <f t="shared" si="6"/>
        <v>0</v>
      </c>
      <c r="E151" s="98" t="str">
        <f t="shared" si="7"/>
        <v>Error</v>
      </c>
    </row>
    <row r="152" spans="1:5" x14ac:dyDescent="0.25">
      <c r="A152" s="95">
        <f>'Site Data'!B154</f>
        <v>0</v>
      </c>
      <c r="B152">
        <f>'Site Data'!D154</f>
        <v>0</v>
      </c>
      <c r="C152">
        <f>'Site Data'!E154</f>
        <v>0</v>
      </c>
      <c r="D152" s="97">
        <f t="shared" si="6"/>
        <v>0</v>
      </c>
      <c r="E152" s="98" t="str">
        <f t="shared" si="7"/>
        <v>Error</v>
      </c>
    </row>
    <row r="153" spans="1:5" x14ac:dyDescent="0.25">
      <c r="A153" s="95">
        <f>'Site Data'!B155</f>
        <v>0</v>
      </c>
      <c r="B153">
        <f>'Site Data'!D155</f>
        <v>0</v>
      </c>
      <c r="C153">
        <f>'Site Data'!E155</f>
        <v>0</v>
      </c>
      <c r="D153" s="97">
        <f t="shared" si="6"/>
        <v>0</v>
      </c>
      <c r="E153" s="98" t="str">
        <f t="shared" si="7"/>
        <v>Error</v>
      </c>
    </row>
    <row r="154" spans="1:5" x14ac:dyDescent="0.25">
      <c r="A154" s="95">
        <f>'Site Data'!B156</f>
        <v>0</v>
      </c>
      <c r="B154">
        <f>'Site Data'!D156</f>
        <v>0</v>
      </c>
      <c r="C154">
        <f>'Site Data'!E156</f>
        <v>0</v>
      </c>
      <c r="D154" s="97">
        <f t="shared" si="6"/>
        <v>0</v>
      </c>
      <c r="E154" s="98" t="str">
        <f t="shared" si="7"/>
        <v>Error</v>
      </c>
    </row>
    <row r="155" spans="1:5" x14ac:dyDescent="0.25">
      <c r="A155" s="95">
        <f>'Site Data'!B157</f>
        <v>0</v>
      </c>
      <c r="B155">
        <f>'Site Data'!D157</f>
        <v>0</v>
      </c>
      <c r="C155">
        <f>'Site Data'!E157</f>
        <v>0</v>
      </c>
      <c r="D155" s="97">
        <f t="shared" si="6"/>
        <v>0</v>
      </c>
      <c r="E155" s="98" t="str">
        <f t="shared" si="7"/>
        <v>Error</v>
      </c>
    </row>
    <row r="156" spans="1:5" x14ac:dyDescent="0.25">
      <c r="A156" s="95">
        <f>'Site Data'!B158</f>
        <v>0</v>
      </c>
      <c r="B156">
        <f>'Site Data'!D158</f>
        <v>0</v>
      </c>
      <c r="C156">
        <f>'Site Data'!E158</f>
        <v>0</v>
      </c>
      <c r="D156" s="97">
        <f t="shared" si="6"/>
        <v>0</v>
      </c>
      <c r="E156" s="98" t="str">
        <f t="shared" si="7"/>
        <v>Error</v>
      </c>
    </row>
    <row r="157" spans="1:5" x14ac:dyDescent="0.25">
      <c r="A157" s="95">
        <f>'Site Data'!B159</f>
        <v>0</v>
      </c>
      <c r="B157">
        <f>'Site Data'!D159</f>
        <v>0</v>
      </c>
      <c r="C157">
        <f>'Site Data'!E159</f>
        <v>0</v>
      </c>
      <c r="D157" s="97">
        <f t="shared" si="6"/>
        <v>0</v>
      </c>
      <c r="E157" s="98" t="str">
        <f t="shared" si="7"/>
        <v>Error</v>
      </c>
    </row>
    <row r="158" spans="1:5" x14ac:dyDescent="0.25">
      <c r="A158" s="95">
        <f>'Site Data'!B160</f>
        <v>0</v>
      </c>
      <c r="B158">
        <f>'Site Data'!D160</f>
        <v>0</v>
      </c>
      <c r="C158">
        <f>'Site Data'!E160</f>
        <v>0</v>
      </c>
      <c r="D158" s="97">
        <f t="shared" si="6"/>
        <v>0</v>
      </c>
      <c r="E158" s="98" t="str">
        <f t="shared" si="7"/>
        <v>Error</v>
      </c>
    </row>
    <row r="159" spans="1:5" x14ac:dyDescent="0.25">
      <c r="A159" s="95">
        <f>'Site Data'!B161</f>
        <v>0</v>
      </c>
      <c r="B159">
        <f>'Site Data'!D161</f>
        <v>0</v>
      </c>
      <c r="C159">
        <f>'Site Data'!E161</f>
        <v>0</v>
      </c>
      <c r="D159" s="97">
        <f t="shared" si="6"/>
        <v>0</v>
      </c>
      <c r="E159" s="98" t="str">
        <f t="shared" si="7"/>
        <v>Error</v>
      </c>
    </row>
    <row r="160" spans="1:5" x14ac:dyDescent="0.25">
      <c r="A160" s="95">
        <f>'Site Data'!B162</f>
        <v>0</v>
      </c>
      <c r="B160">
        <f>'Site Data'!D162</f>
        <v>0</v>
      </c>
      <c r="C160">
        <f>'Site Data'!E162</f>
        <v>0</v>
      </c>
      <c r="D160" s="97">
        <f t="shared" si="6"/>
        <v>0</v>
      </c>
      <c r="E160" s="98" t="str">
        <f t="shared" si="7"/>
        <v>Error</v>
      </c>
    </row>
    <row r="161" spans="1:5" x14ac:dyDescent="0.25">
      <c r="A161" s="95">
        <f>'Site Data'!B163</f>
        <v>0</v>
      </c>
      <c r="B161">
        <f>'Site Data'!D163</f>
        <v>0</v>
      </c>
      <c r="C161">
        <f>'Site Data'!E163</f>
        <v>0</v>
      </c>
      <c r="D161" s="97">
        <f t="shared" si="6"/>
        <v>0</v>
      </c>
      <c r="E161" s="98" t="str">
        <f t="shared" si="7"/>
        <v>Error</v>
      </c>
    </row>
    <row r="162" spans="1:5" x14ac:dyDescent="0.25">
      <c r="A162" s="95">
        <f>'Site Data'!B164</f>
        <v>0</v>
      </c>
      <c r="B162">
        <f>'Site Data'!D164</f>
        <v>0</v>
      </c>
      <c r="C162">
        <f>'Site Data'!E164</f>
        <v>0</v>
      </c>
      <c r="D162" s="97">
        <f t="shared" si="6"/>
        <v>0</v>
      </c>
      <c r="E162" s="98" t="str">
        <f t="shared" si="7"/>
        <v>Error</v>
      </c>
    </row>
    <row r="163" spans="1:5" x14ac:dyDescent="0.25">
      <c r="A163" s="95">
        <f>'Site Data'!B165</f>
        <v>0</v>
      </c>
      <c r="B163">
        <f>'Site Data'!D165</f>
        <v>0</v>
      </c>
      <c r="C163">
        <f>'Site Data'!E165</f>
        <v>0</v>
      </c>
      <c r="D163" s="97">
        <f t="shared" si="6"/>
        <v>0</v>
      </c>
      <c r="E163" s="98" t="str">
        <f t="shared" si="7"/>
        <v>Error</v>
      </c>
    </row>
    <row r="164" spans="1:5" x14ac:dyDescent="0.25">
      <c r="A164" s="95">
        <f>'Site Data'!B166</f>
        <v>0</v>
      </c>
      <c r="B164">
        <f>'Site Data'!D166</f>
        <v>0</v>
      </c>
      <c r="C164">
        <f>'Site Data'!E166</f>
        <v>0</v>
      </c>
      <c r="D164" s="97">
        <f t="shared" si="6"/>
        <v>0</v>
      </c>
      <c r="E164" s="98" t="str">
        <f t="shared" si="7"/>
        <v>Error</v>
      </c>
    </row>
    <row r="165" spans="1:5" x14ac:dyDescent="0.25">
      <c r="A165" s="95">
        <f>'Site Data'!B167</f>
        <v>0</v>
      </c>
      <c r="B165">
        <f>'Site Data'!D167</f>
        <v>0</v>
      </c>
      <c r="C165">
        <f>'Site Data'!E167</f>
        <v>0</v>
      </c>
      <c r="D165" s="97">
        <f t="shared" si="6"/>
        <v>0</v>
      </c>
      <c r="E165" s="98" t="str">
        <f t="shared" si="7"/>
        <v>Error</v>
      </c>
    </row>
    <row r="166" spans="1:5" x14ac:dyDescent="0.25">
      <c r="A166" s="95">
        <f>'Site Data'!B168</f>
        <v>0</v>
      </c>
      <c r="B166">
        <f>'Site Data'!D168</f>
        <v>0</v>
      </c>
      <c r="C166">
        <f>'Site Data'!E168</f>
        <v>0</v>
      </c>
      <c r="D166" s="97">
        <f t="shared" si="6"/>
        <v>0</v>
      </c>
      <c r="E166" s="98" t="str">
        <f t="shared" si="7"/>
        <v>Error</v>
      </c>
    </row>
    <row r="167" spans="1:5" x14ac:dyDescent="0.25">
      <c r="A167" s="95">
        <f>'Site Data'!B169</f>
        <v>0</v>
      </c>
      <c r="B167">
        <f>'Site Data'!D169</f>
        <v>0</v>
      </c>
      <c r="C167">
        <f>'Site Data'!E169</f>
        <v>0</v>
      </c>
      <c r="D167" s="97">
        <f t="shared" si="6"/>
        <v>0</v>
      </c>
      <c r="E167" s="98" t="str">
        <f t="shared" si="7"/>
        <v>Error</v>
      </c>
    </row>
    <row r="168" spans="1:5" x14ac:dyDescent="0.25">
      <c r="A168" s="95">
        <f>'Site Data'!B170</f>
        <v>0</v>
      </c>
      <c r="B168">
        <f>'Site Data'!D170</f>
        <v>0</v>
      </c>
      <c r="C168">
        <f>'Site Data'!E170</f>
        <v>0</v>
      </c>
      <c r="D168" s="97">
        <f t="shared" si="6"/>
        <v>0</v>
      </c>
      <c r="E168" s="98" t="str">
        <f t="shared" si="7"/>
        <v>Error</v>
      </c>
    </row>
    <row r="169" spans="1:5" x14ac:dyDescent="0.25">
      <c r="A169" s="95">
        <f>'Site Data'!B171</f>
        <v>0</v>
      </c>
      <c r="B169">
        <f>'Site Data'!D171</f>
        <v>0</v>
      </c>
      <c r="C169">
        <f>'Site Data'!E171</f>
        <v>0</v>
      </c>
      <c r="D169" s="97">
        <f t="shared" si="6"/>
        <v>0</v>
      </c>
      <c r="E169" s="98" t="str">
        <f t="shared" si="7"/>
        <v>Error</v>
      </c>
    </row>
    <row r="170" spans="1:5" x14ac:dyDescent="0.25">
      <c r="A170" s="95">
        <f>'Site Data'!B172</f>
        <v>0</v>
      </c>
      <c r="B170">
        <f>'Site Data'!D172</f>
        <v>0</v>
      </c>
      <c r="C170">
        <f>'Site Data'!E172</f>
        <v>0</v>
      </c>
      <c r="D170" s="97">
        <f t="shared" si="6"/>
        <v>0</v>
      </c>
      <c r="E170" s="98" t="str">
        <f t="shared" si="7"/>
        <v>Error</v>
      </c>
    </row>
    <row r="171" spans="1:5" x14ac:dyDescent="0.25">
      <c r="A171" s="95">
        <f>'Site Data'!B173</f>
        <v>0</v>
      </c>
      <c r="B171">
        <f>'Site Data'!D173</f>
        <v>0</v>
      </c>
      <c r="C171">
        <f>'Site Data'!E173</f>
        <v>0</v>
      </c>
      <c r="D171" s="97">
        <f t="shared" si="6"/>
        <v>0</v>
      </c>
      <c r="E171" s="98" t="str">
        <f t="shared" si="7"/>
        <v>Error</v>
      </c>
    </row>
    <row r="172" spans="1:5" x14ac:dyDescent="0.25">
      <c r="A172" s="95">
        <f>'Site Data'!B174</f>
        <v>0</v>
      </c>
      <c r="B172">
        <f>'Site Data'!D174</f>
        <v>0</v>
      </c>
      <c r="C172">
        <f>'Site Data'!E174</f>
        <v>0</v>
      </c>
      <c r="D172" s="97">
        <f t="shared" si="6"/>
        <v>0</v>
      </c>
      <c r="E172" s="98" t="str">
        <f t="shared" si="7"/>
        <v>Error</v>
      </c>
    </row>
    <row r="173" spans="1:5" x14ac:dyDescent="0.25">
      <c r="A173" s="95">
        <f>'Site Data'!B175</f>
        <v>0</v>
      </c>
      <c r="B173">
        <f>'Site Data'!D175</f>
        <v>0</v>
      </c>
      <c r="C173">
        <f>'Site Data'!E175</f>
        <v>0</v>
      </c>
      <c r="D173" s="97">
        <f t="shared" si="6"/>
        <v>0</v>
      </c>
      <c r="E173" s="98" t="str">
        <f t="shared" si="7"/>
        <v>Error</v>
      </c>
    </row>
    <row r="174" spans="1:5" x14ac:dyDescent="0.25">
      <c r="A174" s="95">
        <f>'Site Data'!B176</f>
        <v>0</v>
      </c>
      <c r="B174">
        <f>'Site Data'!D176</f>
        <v>0</v>
      </c>
      <c r="C174">
        <f>'Site Data'!E176</f>
        <v>0</v>
      </c>
      <c r="D174" s="97">
        <f t="shared" si="6"/>
        <v>0</v>
      </c>
      <c r="E174" s="98" t="str">
        <f t="shared" si="7"/>
        <v>Error</v>
      </c>
    </row>
    <row r="175" spans="1:5" x14ac:dyDescent="0.25">
      <c r="A175" s="95">
        <f>'Site Data'!B177</f>
        <v>0</v>
      </c>
      <c r="B175">
        <f>'Site Data'!D177</f>
        <v>0</v>
      </c>
      <c r="C175">
        <f>'Site Data'!E177</f>
        <v>0</v>
      </c>
      <c r="D175" s="97">
        <f t="shared" si="6"/>
        <v>0</v>
      </c>
      <c r="E175" s="98" t="str">
        <f t="shared" si="7"/>
        <v>Error</v>
      </c>
    </row>
    <row r="176" spans="1:5" x14ac:dyDescent="0.25">
      <c r="A176" s="95">
        <f>'Site Data'!B178</f>
        <v>0</v>
      </c>
      <c r="B176">
        <f>'Site Data'!D178</f>
        <v>0</v>
      </c>
      <c r="C176">
        <f>'Site Data'!E178</f>
        <v>0</v>
      </c>
      <c r="D176" s="97">
        <f t="shared" si="6"/>
        <v>0</v>
      </c>
      <c r="E176" s="98" t="str">
        <f t="shared" si="7"/>
        <v>Error</v>
      </c>
    </row>
    <row r="177" spans="1:5" x14ac:dyDescent="0.25">
      <c r="A177" s="95">
        <f>'Site Data'!B179</f>
        <v>0</v>
      </c>
      <c r="B177">
        <f>'Site Data'!D179</f>
        <v>0</v>
      </c>
      <c r="C177">
        <f>'Site Data'!E179</f>
        <v>0</v>
      </c>
      <c r="D177" s="97">
        <f t="shared" si="6"/>
        <v>0</v>
      </c>
      <c r="E177" s="98" t="str">
        <f t="shared" si="7"/>
        <v>Error</v>
      </c>
    </row>
    <row r="178" spans="1:5" x14ac:dyDescent="0.25">
      <c r="A178" s="95">
        <f>'Site Data'!B180</f>
        <v>0</v>
      </c>
      <c r="B178">
        <f>'Site Data'!D180</f>
        <v>0</v>
      </c>
      <c r="C178">
        <f>'Site Data'!E180</f>
        <v>0</v>
      </c>
      <c r="D178" s="97">
        <f t="shared" si="6"/>
        <v>0</v>
      </c>
      <c r="E178" s="98" t="str">
        <f t="shared" si="7"/>
        <v>Error</v>
      </c>
    </row>
    <row r="179" spans="1:5" x14ac:dyDescent="0.25">
      <c r="A179" s="95">
        <f>'Site Data'!B181</f>
        <v>0</v>
      </c>
      <c r="B179">
        <f>'Site Data'!D181</f>
        <v>0</v>
      </c>
      <c r="C179">
        <f>'Site Data'!E181</f>
        <v>0</v>
      </c>
      <c r="D179" s="97">
        <f t="shared" si="6"/>
        <v>0</v>
      </c>
      <c r="E179" s="98" t="str">
        <f t="shared" si="7"/>
        <v>Error</v>
      </c>
    </row>
    <row r="180" spans="1:5" x14ac:dyDescent="0.25">
      <c r="A180" s="95">
        <f>'Site Data'!B182</f>
        <v>0</v>
      </c>
      <c r="B180">
        <f>'Site Data'!D182</f>
        <v>0</v>
      </c>
      <c r="C180">
        <f>'Site Data'!E182</f>
        <v>0</v>
      </c>
      <c r="D180" s="97">
        <f t="shared" si="6"/>
        <v>0</v>
      </c>
      <c r="E180" s="98" t="str">
        <f t="shared" si="7"/>
        <v>Error</v>
      </c>
    </row>
    <row r="181" spans="1:5" x14ac:dyDescent="0.25">
      <c r="A181" s="95">
        <f>'Site Data'!B183</f>
        <v>0</v>
      </c>
      <c r="B181">
        <f>'Site Data'!D183</f>
        <v>0</v>
      </c>
      <c r="C181">
        <f>'Site Data'!E183</f>
        <v>0</v>
      </c>
      <c r="D181" s="97">
        <f t="shared" si="6"/>
        <v>0</v>
      </c>
      <c r="E181" s="98" t="str">
        <f t="shared" si="7"/>
        <v>Error</v>
      </c>
    </row>
    <row r="182" spans="1:5" x14ac:dyDescent="0.25">
      <c r="A182" s="95">
        <f>'Site Data'!B184</f>
        <v>0</v>
      </c>
      <c r="B182">
        <f>'Site Data'!D184</f>
        <v>0</v>
      </c>
      <c r="C182">
        <f>'Site Data'!E184</f>
        <v>0</v>
      </c>
      <c r="D182" s="97">
        <f t="shared" si="6"/>
        <v>0</v>
      </c>
      <c r="E182" s="98" t="str">
        <f t="shared" si="7"/>
        <v>Error</v>
      </c>
    </row>
    <row r="183" spans="1:5" x14ac:dyDescent="0.25">
      <c r="A183" s="95">
        <f>'Site Data'!B185</f>
        <v>0</v>
      </c>
      <c r="B183">
        <f>'Site Data'!D185</f>
        <v>0</v>
      </c>
      <c r="C183">
        <f>'Site Data'!E185</f>
        <v>0</v>
      </c>
      <c r="D183" s="97">
        <f t="shared" si="6"/>
        <v>0</v>
      </c>
      <c r="E183" s="98" t="str">
        <f t="shared" si="7"/>
        <v>Error</v>
      </c>
    </row>
    <row r="184" spans="1:5" x14ac:dyDescent="0.25">
      <c r="A184" s="95">
        <f>'Site Data'!B186</f>
        <v>0</v>
      </c>
      <c r="B184">
        <f>'Site Data'!D186</f>
        <v>0</v>
      </c>
      <c r="C184">
        <f>'Site Data'!E186</f>
        <v>0</v>
      </c>
      <c r="D184" s="97">
        <f t="shared" si="6"/>
        <v>0</v>
      </c>
      <c r="E184" s="98" t="str">
        <f t="shared" si="7"/>
        <v>Error</v>
      </c>
    </row>
    <row r="185" spans="1:5" x14ac:dyDescent="0.25">
      <c r="A185" s="95">
        <f>'Site Data'!B187</f>
        <v>0</v>
      </c>
      <c r="B185">
        <f>'Site Data'!D187</f>
        <v>0</v>
      </c>
      <c r="C185">
        <f>'Site Data'!E187</f>
        <v>0</v>
      </c>
      <c r="D185" s="97">
        <f t="shared" si="6"/>
        <v>0</v>
      </c>
      <c r="E185" s="98" t="str">
        <f t="shared" si="7"/>
        <v>Error</v>
      </c>
    </row>
    <row r="186" spans="1:5" x14ac:dyDescent="0.25">
      <c r="A186" s="95">
        <f>'Site Data'!B188</f>
        <v>0</v>
      </c>
      <c r="B186">
        <f>'Site Data'!D188</f>
        <v>0</v>
      </c>
      <c r="C186">
        <f>'Site Data'!E188</f>
        <v>0</v>
      </c>
      <c r="D186" s="97">
        <f t="shared" si="6"/>
        <v>0</v>
      </c>
      <c r="E186" s="98" t="str">
        <f t="shared" si="7"/>
        <v>Error</v>
      </c>
    </row>
    <row r="187" spans="1:5" x14ac:dyDescent="0.25">
      <c r="A187" s="95">
        <f>'Site Data'!B189</f>
        <v>0</v>
      </c>
      <c r="B187">
        <f>'Site Data'!D189</f>
        <v>0</v>
      </c>
      <c r="C187">
        <f>'Site Data'!E189</f>
        <v>0</v>
      </c>
      <c r="D187" s="97">
        <f t="shared" si="6"/>
        <v>0</v>
      </c>
      <c r="E187" s="98" t="str">
        <f t="shared" si="7"/>
        <v>Error</v>
      </c>
    </row>
    <row r="188" spans="1:5" x14ac:dyDescent="0.25">
      <c r="A188" s="95">
        <f>'Site Data'!B190</f>
        <v>0</v>
      </c>
      <c r="B188">
        <f>'Site Data'!D190</f>
        <v>0</v>
      </c>
      <c r="C188">
        <f>'Site Data'!E190</f>
        <v>0</v>
      </c>
      <c r="D188" s="97">
        <f t="shared" si="6"/>
        <v>0</v>
      </c>
      <c r="E188" s="98" t="str">
        <f t="shared" si="7"/>
        <v>Error</v>
      </c>
    </row>
    <row r="189" spans="1:5" x14ac:dyDescent="0.25">
      <c r="A189" s="95">
        <f>'Site Data'!B191</f>
        <v>0</v>
      </c>
      <c r="B189">
        <f>'Site Data'!D191</f>
        <v>0</v>
      </c>
      <c r="C189">
        <f>'Site Data'!E191</f>
        <v>0</v>
      </c>
      <c r="D189" s="97">
        <f t="shared" si="6"/>
        <v>0</v>
      </c>
      <c r="E189" s="98" t="str">
        <f t="shared" si="7"/>
        <v>Error</v>
      </c>
    </row>
    <row r="190" spans="1:5" x14ac:dyDescent="0.25">
      <c r="A190" s="95">
        <f>'Site Data'!B192</f>
        <v>0</v>
      </c>
      <c r="B190">
        <f>'Site Data'!D192</f>
        <v>0</v>
      </c>
      <c r="C190">
        <f>'Site Data'!E192</f>
        <v>0</v>
      </c>
      <c r="D190" s="97">
        <f t="shared" si="6"/>
        <v>0</v>
      </c>
      <c r="E190" s="98" t="str">
        <f t="shared" si="7"/>
        <v>Error</v>
      </c>
    </row>
    <row r="191" spans="1:5" x14ac:dyDescent="0.25">
      <c r="A191" s="95">
        <f>'Site Data'!B193</f>
        <v>0</v>
      </c>
      <c r="B191">
        <f>'Site Data'!D193</f>
        <v>0</v>
      </c>
      <c r="C191">
        <f>'Site Data'!E193</f>
        <v>0</v>
      </c>
      <c r="D191" s="97">
        <f t="shared" si="6"/>
        <v>0</v>
      </c>
      <c r="E191" s="98" t="str">
        <f t="shared" si="7"/>
        <v>Error</v>
      </c>
    </row>
    <row r="192" spans="1:5" x14ac:dyDescent="0.25">
      <c r="A192" s="95">
        <f>'Site Data'!B194</f>
        <v>0</v>
      </c>
      <c r="B192">
        <f>'Site Data'!D194</f>
        <v>0</v>
      </c>
      <c r="C192">
        <f>'Site Data'!E194</f>
        <v>0</v>
      </c>
      <c r="D192" s="97">
        <f t="shared" si="6"/>
        <v>0</v>
      </c>
      <c r="E192" s="98" t="str">
        <f t="shared" si="7"/>
        <v>Error</v>
      </c>
    </row>
    <row r="193" spans="1:5" x14ac:dyDescent="0.25">
      <c r="A193" s="95">
        <f>'Site Data'!B195</f>
        <v>0</v>
      </c>
      <c r="B193">
        <f>'Site Data'!D195</f>
        <v>0</v>
      </c>
      <c r="C193">
        <f>'Site Data'!E195</f>
        <v>0</v>
      </c>
      <c r="D193" s="97">
        <f t="shared" si="6"/>
        <v>0</v>
      </c>
      <c r="E193" s="98" t="str">
        <f t="shared" si="7"/>
        <v>Error</v>
      </c>
    </row>
    <row r="194" spans="1:5" x14ac:dyDescent="0.25">
      <c r="A194" s="95">
        <f>'Site Data'!B196</f>
        <v>0</v>
      </c>
      <c r="B194">
        <f>'Site Data'!D196</f>
        <v>0</v>
      </c>
      <c r="C194">
        <f>'Site Data'!E196</f>
        <v>0</v>
      </c>
      <c r="D194" s="97">
        <f t="shared" ref="D194:D257" si="8">B194-C194</f>
        <v>0</v>
      </c>
      <c r="E194" s="98" t="str">
        <f t="shared" ref="E194:E257" si="9">IF(AND(D194 &gt;= 50, D194 &lt;= 60), "Valid", "Error")</f>
        <v>Error</v>
      </c>
    </row>
    <row r="195" spans="1:5" x14ac:dyDescent="0.25">
      <c r="A195" s="95">
        <f>'Site Data'!B197</f>
        <v>0</v>
      </c>
      <c r="B195">
        <f>'Site Data'!D197</f>
        <v>0</v>
      </c>
      <c r="C195">
        <f>'Site Data'!E197</f>
        <v>0</v>
      </c>
      <c r="D195" s="97">
        <f t="shared" si="8"/>
        <v>0</v>
      </c>
      <c r="E195" s="98" t="str">
        <f t="shared" si="9"/>
        <v>Error</v>
      </c>
    </row>
    <row r="196" spans="1:5" x14ac:dyDescent="0.25">
      <c r="A196" s="95">
        <f>'Site Data'!B198</f>
        <v>0</v>
      </c>
      <c r="B196">
        <f>'Site Data'!D198</f>
        <v>0</v>
      </c>
      <c r="C196">
        <f>'Site Data'!E198</f>
        <v>0</v>
      </c>
      <c r="D196" s="97">
        <f t="shared" si="8"/>
        <v>0</v>
      </c>
      <c r="E196" s="98" t="str">
        <f t="shared" si="9"/>
        <v>Error</v>
      </c>
    </row>
    <row r="197" spans="1:5" x14ac:dyDescent="0.25">
      <c r="A197" s="95">
        <f>'Site Data'!B199</f>
        <v>0</v>
      </c>
      <c r="B197">
        <f>'Site Data'!D199</f>
        <v>0</v>
      </c>
      <c r="C197">
        <f>'Site Data'!E199</f>
        <v>0</v>
      </c>
      <c r="D197" s="97">
        <f t="shared" si="8"/>
        <v>0</v>
      </c>
      <c r="E197" s="98" t="str">
        <f t="shared" si="9"/>
        <v>Error</v>
      </c>
    </row>
    <row r="198" spans="1:5" x14ac:dyDescent="0.25">
      <c r="A198" s="95">
        <f>'Site Data'!B200</f>
        <v>0</v>
      </c>
      <c r="B198">
        <f>'Site Data'!D200</f>
        <v>0</v>
      </c>
      <c r="C198">
        <f>'Site Data'!E200</f>
        <v>0</v>
      </c>
      <c r="D198" s="97">
        <f t="shared" si="8"/>
        <v>0</v>
      </c>
      <c r="E198" s="98" t="str">
        <f t="shared" si="9"/>
        <v>Error</v>
      </c>
    </row>
    <row r="199" spans="1:5" x14ac:dyDescent="0.25">
      <c r="A199" s="95">
        <f>'Site Data'!B201</f>
        <v>0</v>
      </c>
      <c r="B199">
        <f>'Site Data'!D201</f>
        <v>0</v>
      </c>
      <c r="C199">
        <f>'Site Data'!E201</f>
        <v>0</v>
      </c>
      <c r="D199" s="97">
        <f t="shared" si="8"/>
        <v>0</v>
      </c>
      <c r="E199" s="98" t="str">
        <f t="shared" si="9"/>
        <v>Error</v>
      </c>
    </row>
    <row r="200" spans="1:5" x14ac:dyDescent="0.25">
      <c r="A200" s="95">
        <f>'Site Data'!B202</f>
        <v>0</v>
      </c>
      <c r="B200">
        <f>'Site Data'!D202</f>
        <v>0</v>
      </c>
      <c r="C200">
        <f>'Site Data'!E202</f>
        <v>0</v>
      </c>
      <c r="D200" s="97">
        <f t="shared" si="8"/>
        <v>0</v>
      </c>
      <c r="E200" s="98" t="str">
        <f t="shared" si="9"/>
        <v>Error</v>
      </c>
    </row>
    <row r="201" spans="1:5" x14ac:dyDescent="0.25">
      <c r="A201" s="95">
        <f>'Site Data'!B203</f>
        <v>0</v>
      </c>
      <c r="B201">
        <f>'Site Data'!D203</f>
        <v>0</v>
      </c>
      <c r="C201">
        <f>'Site Data'!E203</f>
        <v>0</v>
      </c>
      <c r="D201" s="97">
        <f t="shared" si="8"/>
        <v>0</v>
      </c>
      <c r="E201" s="98" t="str">
        <f t="shared" si="9"/>
        <v>Error</v>
      </c>
    </row>
    <row r="202" spans="1:5" x14ac:dyDescent="0.25">
      <c r="A202" s="95">
        <f>'Site Data'!B204</f>
        <v>0</v>
      </c>
      <c r="B202">
        <f>'Site Data'!D204</f>
        <v>0</v>
      </c>
      <c r="C202">
        <f>'Site Data'!E204</f>
        <v>0</v>
      </c>
      <c r="D202" s="97">
        <f t="shared" si="8"/>
        <v>0</v>
      </c>
      <c r="E202" s="98" t="str">
        <f t="shared" si="9"/>
        <v>Error</v>
      </c>
    </row>
    <row r="203" spans="1:5" x14ac:dyDescent="0.25">
      <c r="A203" s="95">
        <f>'Site Data'!B205</f>
        <v>0</v>
      </c>
      <c r="B203">
        <f>'Site Data'!D205</f>
        <v>0</v>
      </c>
      <c r="C203">
        <f>'Site Data'!E205</f>
        <v>0</v>
      </c>
      <c r="D203" s="97">
        <f t="shared" si="8"/>
        <v>0</v>
      </c>
      <c r="E203" s="98" t="str">
        <f t="shared" si="9"/>
        <v>Error</v>
      </c>
    </row>
    <row r="204" spans="1:5" x14ac:dyDescent="0.25">
      <c r="A204" s="95">
        <f>'Site Data'!B206</f>
        <v>0</v>
      </c>
      <c r="B204">
        <f>'Site Data'!D206</f>
        <v>0</v>
      </c>
      <c r="C204">
        <f>'Site Data'!E206</f>
        <v>0</v>
      </c>
      <c r="D204" s="97">
        <f t="shared" si="8"/>
        <v>0</v>
      </c>
      <c r="E204" s="98" t="str">
        <f t="shared" si="9"/>
        <v>Error</v>
      </c>
    </row>
    <row r="205" spans="1:5" x14ac:dyDescent="0.25">
      <c r="A205" s="95">
        <f>'Site Data'!B207</f>
        <v>0</v>
      </c>
      <c r="B205">
        <f>'Site Data'!D207</f>
        <v>0</v>
      </c>
      <c r="C205">
        <f>'Site Data'!E207</f>
        <v>0</v>
      </c>
      <c r="D205" s="97">
        <f t="shared" si="8"/>
        <v>0</v>
      </c>
      <c r="E205" s="98" t="str">
        <f t="shared" si="9"/>
        <v>Error</v>
      </c>
    </row>
    <row r="206" spans="1:5" x14ac:dyDescent="0.25">
      <c r="A206" s="95">
        <f>'Site Data'!B208</f>
        <v>0</v>
      </c>
      <c r="B206">
        <f>'Site Data'!D208</f>
        <v>0</v>
      </c>
      <c r="C206">
        <f>'Site Data'!E208</f>
        <v>0</v>
      </c>
      <c r="D206" s="97">
        <f t="shared" si="8"/>
        <v>0</v>
      </c>
      <c r="E206" s="98" t="str">
        <f t="shared" si="9"/>
        <v>Error</v>
      </c>
    </row>
    <row r="207" spans="1:5" x14ac:dyDescent="0.25">
      <c r="A207" s="95">
        <f>'Site Data'!B209</f>
        <v>0</v>
      </c>
      <c r="B207">
        <f>'Site Data'!D209</f>
        <v>0</v>
      </c>
      <c r="C207">
        <f>'Site Data'!E209</f>
        <v>0</v>
      </c>
      <c r="D207" s="97">
        <f t="shared" si="8"/>
        <v>0</v>
      </c>
      <c r="E207" s="98" t="str">
        <f t="shared" si="9"/>
        <v>Error</v>
      </c>
    </row>
    <row r="208" spans="1:5" x14ac:dyDescent="0.25">
      <c r="A208" s="95">
        <f>'Site Data'!B210</f>
        <v>0</v>
      </c>
      <c r="B208">
        <f>'Site Data'!D210</f>
        <v>0</v>
      </c>
      <c r="C208">
        <f>'Site Data'!E210</f>
        <v>0</v>
      </c>
      <c r="D208" s="97">
        <f t="shared" si="8"/>
        <v>0</v>
      </c>
      <c r="E208" s="98" t="str">
        <f t="shared" si="9"/>
        <v>Error</v>
      </c>
    </row>
    <row r="209" spans="1:5" x14ac:dyDescent="0.25">
      <c r="A209" s="95">
        <f>'Site Data'!B211</f>
        <v>0</v>
      </c>
      <c r="B209">
        <f>'Site Data'!D211</f>
        <v>0</v>
      </c>
      <c r="C209">
        <f>'Site Data'!E211</f>
        <v>0</v>
      </c>
      <c r="D209" s="97">
        <f t="shared" si="8"/>
        <v>0</v>
      </c>
      <c r="E209" s="98" t="str">
        <f t="shared" si="9"/>
        <v>Error</v>
      </c>
    </row>
    <row r="210" spans="1:5" x14ac:dyDescent="0.25">
      <c r="A210" s="95">
        <f>'Site Data'!B212</f>
        <v>0</v>
      </c>
      <c r="B210">
        <f>'Site Data'!D212</f>
        <v>0</v>
      </c>
      <c r="C210">
        <f>'Site Data'!E212</f>
        <v>0</v>
      </c>
      <c r="D210" s="97">
        <f t="shared" si="8"/>
        <v>0</v>
      </c>
      <c r="E210" s="98" t="str">
        <f t="shared" si="9"/>
        <v>Error</v>
      </c>
    </row>
    <row r="211" spans="1:5" x14ac:dyDescent="0.25">
      <c r="A211" s="95">
        <f>'Site Data'!B213</f>
        <v>0</v>
      </c>
      <c r="B211">
        <f>'Site Data'!D213</f>
        <v>0</v>
      </c>
      <c r="C211">
        <f>'Site Data'!E213</f>
        <v>0</v>
      </c>
      <c r="D211" s="97">
        <f t="shared" si="8"/>
        <v>0</v>
      </c>
      <c r="E211" s="98" t="str">
        <f t="shared" si="9"/>
        <v>Error</v>
      </c>
    </row>
    <row r="212" spans="1:5" x14ac:dyDescent="0.25">
      <c r="A212" s="95">
        <f>'Site Data'!B214</f>
        <v>0</v>
      </c>
      <c r="B212">
        <f>'Site Data'!D214</f>
        <v>0</v>
      </c>
      <c r="C212">
        <f>'Site Data'!E214</f>
        <v>0</v>
      </c>
      <c r="D212" s="97">
        <f t="shared" si="8"/>
        <v>0</v>
      </c>
      <c r="E212" s="98" t="str">
        <f t="shared" si="9"/>
        <v>Error</v>
      </c>
    </row>
    <row r="213" spans="1:5" x14ac:dyDescent="0.25">
      <c r="A213" s="95">
        <f>'Site Data'!B215</f>
        <v>0</v>
      </c>
      <c r="B213">
        <f>'Site Data'!D215</f>
        <v>0</v>
      </c>
      <c r="C213">
        <f>'Site Data'!E215</f>
        <v>0</v>
      </c>
      <c r="D213" s="97">
        <f t="shared" si="8"/>
        <v>0</v>
      </c>
      <c r="E213" s="98" t="str">
        <f t="shared" si="9"/>
        <v>Error</v>
      </c>
    </row>
    <row r="214" spans="1:5" x14ac:dyDescent="0.25">
      <c r="A214" s="95">
        <f>'Site Data'!B216</f>
        <v>0</v>
      </c>
      <c r="B214">
        <f>'Site Data'!D216</f>
        <v>0</v>
      </c>
      <c r="C214">
        <f>'Site Data'!E216</f>
        <v>0</v>
      </c>
      <c r="D214" s="97">
        <f t="shared" si="8"/>
        <v>0</v>
      </c>
      <c r="E214" s="98" t="str">
        <f t="shared" si="9"/>
        <v>Error</v>
      </c>
    </row>
    <row r="215" spans="1:5" x14ac:dyDescent="0.25">
      <c r="A215" s="95">
        <f>'Site Data'!B217</f>
        <v>0</v>
      </c>
      <c r="B215">
        <f>'Site Data'!D217</f>
        <v>0</v>
      </c>
      <c r="C215">
        <f>'Site Data'!E217</f>
        <v>0</v>
      </c>
      <c r="D215" s="97">
        <f t="shared" si="8"/>
        <v>0</v>
      </c>
      <c r="E215" s="98" t="str">
        <f t="shared" si="9"/>
        <v>Error</v>
      </c>
    </row>
    <row r="216" spans="1:5" x14ac:dyDescent="0.25">
      <c r="A216" s="95">
        <f>'Site Data'!B218</f>
        <v>0</v>
      </c>
      <c r="B216">
        <f>'Site Data'!D218</f>
        <v>0</v>
      </c>
      <c r="C216">
        <f>'Site Data'!E218</f>
        <v>0</v>
      </c>
      <c r="D216" s="97">
        <f t="shared" si="8"/>
        <v>0</v>
      </c>
      <c r="E216" s="98" t="str">
        <f t="shared" si="9"/>
        <v>Error</v>
      </c>
    </row>
    <row r="217" spans="1:5" x14ac:dyDescent="0.25">
      <c r="A217" s="95">
        <f>'Site Data'!B219</f>
        <v>0</v>
      </c>
      <c r="B217">
        <f>'Site Data'!D219</f>
        <v>0</v>
      </c>
      <c r="C217">
        <f>'Site Data'!E219</f>
        <v>0</v>
      </c>
      <c r="D217" s="97">
        <f t="shared" si="8"/>
        <v>0</v>
      </c>
      <c r="E217" s="98" t="str">
        <f t="shared" si="9"/>
        <v>Error</v>
      </c>
    </row>
    <row r="218" spans="1:5" x14ac:dyDescent="0.25">
      <c r="A218" s="95">
        <f>'Site Data'!B220</f>
        <v>0</v>
      </c>
      <c r="B218">
        <f>'Site Data'!D220</f>
        <v>0</v>
      </c>
      <c r="C218">
        <f>'Site Data'!E220</f>
        <v>0</v>
      </c>
      <c r="D218" s="97">
        <f t="shared" si="8"/>
        <v>0</v>
      </c>
      <c r="E218" s="98" t="str">
        <f t="shared" si="9"/>
        <v>Error</v>
      </c>
    </row>
    <row r="219" spans="1:5" x14ac:dyDescent="0.25">
      <c r="A219" s="95">
        <f>'Site Data'!B221</f>
        <v>0</v>
      </c>
      <c r="B219">
        <f>'Site Data'!D221</f>
        <v>0</v>
      </c>
      <c r="C219">
        <f>'Site Data'!E221</f>
        <v>0</v>
      </c>
      <c r="D219" s="97">
        <f t="shared" si="8"/>
        <v>0</v>
      </c>
      <c r="E219" s="98" t="str">
        <f t="shared" si="9"/>
        <v>Error</v>
      </c>
    </row>
    <row r="220" spans="1:5" x14ac:dyDescent="0.25">
      <c r="A220" s="95">
        <f>'Site Data'!B222</f>
        <v>0</v>
      </c>
      <c r="B220">
        <f>'Site Data'!D222</f>
        <v>0</v>
      </c>
      <c r="C220">
        <f>'Site Data'!E222</f>
        <v>0</v>
      </c>
      <c r="D220" s="97">
        <f t="shared" si="8"/>
        <v>0</v>
      </c>
      <c r="E220" s="98" t="str">
        <f t="shared" si="9"/>
        <v>Error</v>
      </c>
    </row>
    <row r="221" spans="1:5" x14ac:dyDescent="0.25">
      <c r="A221" s="95">
        <f>'Site Data'!B223</f>
        <v>0</v>
      </c>
      <c r="B221">
        <f>'Site Data'!D223</f>
        <v>0</v>
      </c>
      <c r="C221">
        <f>'Site Data'!E223</f>
        <v>0</v>
      </c>
      <c r="D221" s="97">
        <f t="shared" si="8"/>
        <v>0</v>
      </c>
      <c r="E221" s="98" t="str">
        <f t="shared" si="9"/>
        <v>Error</v>
      </c>
    </row>
    <row r="222" spans="1:5" x14ac:dyDescent="0.25">
      <c r="A222" s="95">
        <f>'Site Data'!B224</f>
        <v>0</v>
      </c>
      <c r="B222">
        <f>'Site Data'!D224</f>
        <v>0</v>
      </c>
      <c r="C222">
        <f>'Site Data'!E224</f>
        <v>0</v>
      </c>
      <c r="D222" s="97">
        <f t="shared" si="8"/>
        <v>0</v>
      </c>
      <c r="E222" s="98" t="str">
        <f t="shared" si="9"/>
        <v>Error</v>
      </c>
    </row>
    <row r="223" spans="1:5" x14ac:dyDescent="0.25">
      <c r="A223" s="95">
        <f>'Site Data'!B225</f>
        <v>0</v>
      </c>
      <c r="B223">
        <f>'Site Data'!D225</f>
        <v>0</v>
      </c>
      <c r="C223">
        <f>'Site Data'!E225</f>
        <v>0</v>
      </c>
      <c r="D223" s="97">
        <f t="shared" si="8"/>
        <v>0</v>
      </c>
      <c r="E223" s="98" t="str">
        <f t="shared" si="9"/>
        <v>Error</v>
      </c>
    </row>
    <row r="224" spans="1:5" x14ac:dyDescent="0.25">
      <c r="A224" s="95">
        <f>'Site Data'!B226</f>
        <v>0</v>
      </c>
      <c r="B224">
        <f>'Site Data'!D226</f>
        <v>0</v>
      </c>
      <c r="C224">
        <f>'Site Data'!E226</f>
        <v>0</v>
      </c>
      <c r="D224" s="97">
        <f t="shared" si="8"/>
        <v>0</v>
      </c>
      <c r="E224" s="98" t="str">
        <f t="shared" si="9"/>
        <v>Error</v>
      </c>
    </row>
    <row r="225" spans="1:5" x14ac:dyDescent="0.25">
      <c r="A225" s="95">
        <f>'Site Data'!B227</f>
        <v>0</v>
      </c>
      <c r="B225">
        <f>'Site Data'!D227</f>
        <v>0</v>
      </c>
      <c r="C225">
        <f>'Site Data'!E227</f>
        <v>0</v>
      </c>
      <c r="D225" s="97">
        <f t="shared" si="8"/>
        <v>0</v>
      </c>
      <c r="E225" s="98" t="str">
        <f t="shared" si="9"/>
        <v>Error</v>
      </c>
    </row>
    <row r="226" spans="1:5" x14ac:dyDescent="0.25">
      <c r="A226" s="95">
        <f>'Site Data'!B228</f>
        <v>0</v>
      </c>
      <c r="B226">
        <f>'Site Data'!D228</f>
        <v>0</v>
      </c>
      <c r="C226">
        <f>'Site Data'!E228</f>
        <v>0</v>
      </c>
      <c r="D226" s="97">
        <f t="shared" si="8"/>
        <v>0</v>
      </c>
      <c r="E226" s="98" t="str">
        <f t="shared" si="9"/>
        <v>Error</v>
      </c>
    </row>
    <row r="227" spans="1:5" x14ac:dyDescent="0.25">
      <c r="A227" s="95">
        <f>'Site Data'!B229</f>
        <v>0</v>
      </c>
      <c r="B227">
        <f>'Site Data'!D229</f>
        <v>0</v>
      </c>
      <c r="C227">
        <f>'Site Data'!E229</f>
        <v>0</v>
      </c>
      <c r="D227" s="97">
        <f t="shared" si="8"/>
        <v>0</v>
      </c>
      <c r="E227" s="98" t="str">
        <f t="shared" si="9"/>
        <v>Error</v>
      </c>
    </row>
    <row r="228" spans="1:5" x14ac:dyDescent="0.25">
      <c r="A228" s="95">
        <f>'Site Data'!B230</f>
        <v>0</v>
      </c>
      <c r="B228">
        <f>'Site Data'!D230</f>
        <v>0</v>
      </c>
      <c r="C228">
        <f>'Site Data'!E230</f>
        <v>0</v>
      </c>
      <c r="D228" s="97">
        <f t="shared" si="8"/>
        <v>0</v>
      </c>
      <c r="E228" s="98" t="str">
        <f t="shared" si="9"/>
        <v>Error</v>
      </c>
    </row>
    <row r="229" spans="1:5" x14ac:dyDescent="0.25">
      <c r="A229" s="95">
        <f>'Site Data'!B231</f>
        <v>0</v>
      </c>
      <c r="B229">
        <f>'Site Data'!D231</f>
        <v>0</v>
      </c>
      <c r="C229">
        <f>'Site Data'!E231</f>
        <v>0</v>
      </c>
      <c r="D229" s="97">
        <f t="shared" si="8"/>
        <v>0</v>
      </c>
      <c r="E229" s="98" t="str">
        <f t="shared" si="9"/>
        <v>Error</v>
      </c>
    </row>
    <row r="230" spans="1:5" x14ac:dyDescent="0.25">
      <c r="A230" s="95">
        <f>'Site Data'!B232</f>
        <v>0</v>
      </c>
      <c r="B230">
        <f>'Site Data'!D232</f>
        <v>0</v>
      </c>
      <c r="C230">
        <f>'Site Data'!E232</f>
        <v>0</v>
      </c>
      <c r="D230" s="97">
        <f t="shared" si="8"/>
        <v>0</v>
      </c>
      <c r="E230" s="98" t="str">
        <f t="shared" si="9"/>
        <v>Error</v>
      </c>
    </row>
    <row r="231" spans="1:5" x14ac:dyDescent="0.25">
      <c r="A231" s="95">
        <f>'Site Data'!B233</f>
        <v>0</v>
      </c>
      <c r="B231">
        <f>'Site Data'!D233</f>
        <v>0</v>
      </c>
      <c r="C231">
        <f>'Site Data'!E233</f>
        <v>0</v>
      </c>
      <c r="D231" s="97">
        <f t="shared" si="8"/>
        <v>0</v>
      </c>
      <c r="E231" s="98" t="str">
        <f t="shared" si="9"/>
        <v>Error</v>
      </c>
    </row>
    <row r="232" spans="1:5" x14ac:dyDescent="0.25">
      <c r="A232" s="95">
        <f>'Site Data'!B234</f>
        <v>0</v>
      </c>
      <c r="B232">
        <f>'Site Data'!D234</f>
        <v>0</v>
      </c>
      <c r="C232">
        <f>'Site Data'!E234</f>
        <v>0</v>
      </c>
      <c r="D232" s="97">
        <f t="shared" si="8"/>
        <v>0</v>
      </c>
      <c r="E232" s="98" t="str">
        <f t="shared" si="9"/>
        <v>Error</v>
      </c>
    </row>
    <row r="233" spans="1:5" x14ac:dyDescent="0.25">
      <c r="A233" s="95">
        <f>'Site Data'!B235</f>
        <v>0</v>
      </c>
      <c r="B233">
        <f>'Site Data'!D235</f>
        <v>0</v>
      </c>
      <c r="C233">
        <f>'Site Data'!E235</f>
        <v>0</v>
      </c>
      <c r="D233" s="97">
        <f t="shared" si="8"/>
        <v>0</v>
      </c>
      <c r="E233" s="98" t="str">
        <f t="shared" si="9"/>
        <v>Error</v>
      </c>
    </row>
    <row r="234" spans="1:5" x14ac:dyDescent="0.25">
      <c r="A234" s="95">
        <f>'Site Data'!B236</f>
        <v>0</v>
      </c>
      <c r="B234">
        <f>'Site Data'!D236</f>
        <v>0</v>
      </c>
      <c r="C234">
        <f>'Site Data'!E236</f>
        <v>0</v>
      </c>
      <c r="D234" s="97">
        <f t="shared" si="8"/>
        <v>0</v>
      </c>
      <c r="E234" s="98" t="str">
        <f t="shared" si="9"/>
        <v>Error</v>
      </c>
    </row>
    <row r="235" spans="1:5" x14ac:dyDescent="0.25">
      <c r="A235" s="95">
        <f>'Site Data'!B237</f>
        <v>0</v>
      </c>
      <c r="B235">
        <f>'Site Data'!D237</f>
        <v>0</v>
      </c>
      <c r="C235">
        <f>'Site Data'!E237</f>
        <v>0</v>
      </c>
      <c r="D235" s="97">
        <f t="shared" si="8"/>
        <v>0</v>
      </c>
      <c r="E235" s="98" t="str">
        <f t="shared" si="9"/>
        <v>Error</v>
      </c>
    </row>
    <row r="236" spans="1:5" x14ac:dyDescent="0.25">
      <c r="A236" s="95">
        <f>'Site Data'!B238</f>
        <v>0</v>
      </c>
      <c r="B236">
        <f>'Site Data'!D238</f>
        <v>0</v>
      </c>
      <c r="C236">
        <f>'Site Data'!E238</f>
        <v>0</v>
      </c>
      <c r="D236" s="97">
        <f t="shared" si="8"/>
        <v>0</v>
      </c>
      <c r="E236" s="98" t="str">
        <f t="shared" si="9"/>
        <v>Error</v>
      </c>
    </row>
    <row r="237" spans="1:5" x14ac:dyDescent="0.25">
      <c r="A237" s="95">
        <f>'Site Data'!B239</f>
        <v>0</v>
      </c>
      <c r="B237">
        <f>'Site Data'!D239</f>
        <v>0</v>
      </c>
      <c r="C237">
        <f>'Site Data'!E239</f>
        <v>0</v>
      </c>
      <c r="D237" s="97">
        <f t="shared" si="8"/>
        <v>0</v>
      </c>
      <c r="E237" s="98" t="str">
        <f t="shared" si="9"/>
        <v>Error</v>
      </c>
    </row>
    <row r="238" spans="1:5" x14ac:dyDescent="0.25">
      <c r="A238" s="95">
        <f>'Site Data'!B240</f>
        <v>0</v>
      </c>
      <c r="B238">
        <f>'Site Data'!D240</f>
        <v>0</v>
      </c>
      <c r="C238">
        <f>'Site Data'!E240</f>
        <v>0</v>
      </c>
      <c r="D238" s="97">
        <f t="shared" si="8"/>
        <v>0</v>
      </c>
      <c r="E238" s="98" t="str">
        <f t="shared" si="9"/>
        <v>Error</v>
      </c>
    </row>
    <row r="239" spans="1:5" x14ac:dyDescent="0.25">
      <c r="A239" s="95">
        <f>'Site Data'!B241</f>
        <v>0</v>
      </c>
      <c r="B239">
        <f>'Site Data'!D241</f>
        <v>0</v>
      </c>
      <c r="C239">
        <f>'Site Data'!E241</f>
        <v>0</v>
      </c>
      <c r="D239" s="97">
        <f t="shared" si="8"/>
        <v>0</v>
      </c>
      <c r="E239" s="98" t="str">
        <f t="shared" si="9"/>
        <v>Error</v>
      </c>
    </row>
    <row r="240" spans="1:5" x14ac:dyDescent="0.25">
      <c r="A240" s="95">
        <f>'Site Data'!B242</f>
        <v>0</v>
      </c>
      <c r="B240">
        <f>'Site Data'!D242</f>
        <v>0</v>
      </c>
      <c r="C240">
        <f>'Site Data'!E242</f>
        <v>0</v>
      </c>
      <c r="D240" s="97">
        <f t="shared" si="8"/>
        <v>0</v>
      </c>
      <c r="E240" s="98" t="str">
        <f t="shared" si="9"/>
        <v>Error</v>
      </c>
    </row>
    <row r="241" spans="1:5" x14ac:dyDescent="0.25">
      <c r="A241" s="95">
        <f>'Site Data'!B243</f>
        <v>0</v>
      </c>
      <c r="B241">
        <f>'Site Data'!D243</f>
        <v>0</v>
      </c>
      <c r="C241">
        <f>'Site Data'!E243</f>
        <v>0</v>
      </c>
      <c r="D241" s="97">
        <f t="shared" si="8"/>
        <v>0</v>
      </c>
      <c r="E241" s="98" t="str">
        <f t="shared" si="9"/>
        <v>Error</v>
      </c>
    </row>
    <row r="242" spans="1:5" x14ac:dyDescent="0.25">
      <c r="A242" s="95">
        <f>'Site Data'!B244</f>
        <v>0</v>
      </c>
      <c r="B242">
        <f>'Site Data'!D244</f>
        <v>0</v>
      </c>
      <c r="C242">
        <f>'Site Data'!E244</f>
        <v>0</v>
      </c>
      <c r="D242" s="97">
        <f t="shared" si="8"/>
        <v>0</v>
      </c>
      <c r="E242" s="98" t="str">
        <f t="shared" si="9"/>
        <v>Error</v>
      </c>
    </row>
    <row r="243" spans="1:5" x14ac:dyDescent="0.25">
      <c r="A243" s="95">
        <f>'Site Data'!B245</f>
        <v>0</v>
      </c>
      <c r="B243">
        <f>'Site Data'!D245</f>
        <v>0</v>
      </c>
      <c r="C243">
        <f>'Site Data'!E245</f>
        <v>0</v>
      </c>
      <c r="D243" s="97">
        <f t="shared" si="8"/>
        <v>0</v>
      </c>
      <c r="E243" s="98" t="str">
        <f t="shared" si="9"/>
        <v>Error</v>
      </c>
    </row>
    <row r="244" spans="1:5" x14ac:dyDescent="0.25">
      <c r="A244" s="95">
        <f>'Site Data'!B246</f>
        <v>0</v>
      </c>
      <c r="B244">
        <f>'Site Data'!D246</f>
        <v>0</v>
      </c>
      <c r="C244">
        <f>'Site Data'!E246</f>
        <v>0</v>
      </c>
      <c r="D244" s="97">
        <f t="shared" si="8"/>
        <v>0</v>
      </c>
      <c r="E244" s="98" t="str">
        <f t="shared" si="9"/>
        <v>Error</v>
      </c>
    </row>
    <row r="245" spans="1:5" x14ac:dyDescent="0.25">
      <c r="A245" s="95">
        <f>'Site Data'!B247</f>
        <v>0</v>
      </c>
      <c r="B245">
        <f>'Site Data'!D247</f>
        <v>0</v>
      </c>
      <c r="C245">
        <f>'Site Data'!E247</f>
        <v>0</v>
      </c>
      <c r="D245" s="97">
        <f t="shared" si="8"/>
        <v>0</v>
      </c>
      <c r="E245" s="98" t="str">
        <f t="shared" si="9"/>
        <v>Error</v>
      </c>
    </row>
    <row r="246" spans="1:5" x14ac:dyDescent="0.25">
      <c r="A246" s="95">
        <f>'Site Data'!B248</f>
        <v>0</v>
      </c>
      <c r="B246">
        <f>'Site Data'!D248</f>
        <v>0</v>
      </c>
      <c r="C246">
        <f>'Site Data'!E248</f>
        <v>0</v>
      </c>
      <c r="D246" s="97">
        <f t="shared" si="8"/>
        <v>0</v>
      </c>
      <c r="E246" s="98" t="str">
        <f t="shared" si="9"/>
        <v>Error</v>
      </c>
    </row>
    <row r="247" spans="1:5" x14ac:dyDescent="0.25">
      <c r="A247" s="95">
        <f>'Site Data'!B249</f>
        <v>0</v>
      </c>
      <c r="B247">
        <f>'Site Data'!D249</f>
        <v>0</v>
      </c>
      <c r="C247">
        <f>'Site Data'!E249</f>
        <v>0</v>
      </c>
      <c r="D247" s="97">
        <f t="shared" si="8"/>
        <v>0</v>
      </c>
      <c r="E247" s="98" t="str">
        <f t="shared" si="9"/>
        <v>Error</v>
      </c>
    </row>
    <row r="248" spans="1:5" x14ac:dyDescent="0.25">
      <c r="A248" s="95">
        <f>'Site Data'!B250</f>
        <v>0</v>
      </c>
      <c r="B248">
        <f>'Site Data'!D250</f>
        <v>0</v>
      </c>
      <c r="C248">
        <f>'Site Data'!E250</f>
        <v>0</v>
      </c>
      <c r="D248" s="97">
        <f t="shared" si="8"/>
        <v>0</v>
      </c>
      <c r="E248" s="98" t="str">
        <f t="shared" si="9"/>
        <v>Error</v>
      </c>
    </row>
    <row r="249" spans="1:5" x14ac:dyDescent="0.25">
      <c r="A249" s="95">
        <f>'Site Data'!B251</f>
        <v>0</v>
      </c>
      <c r="B249">
        <f>'Site Data'!D251</f>
        <v>0</v>
      </c>
      <c r="C249">
        <f>'Site Data'!E251</f>
        <v>0</v>
      </c>
      <c r="D249" s="97">
        <f t="shared" si="8"/>
        <v>0</v>
      </c>
      <c r="E249" s="98" t="str">
        <f t="shared" si="9"/>
        <v>Error</v>
      </c>
    </row>
    <row r="250" spans="1:5" x14ac:dyDescent="0.25">
      <c r="A250" s="95">
        <f>'Site Data'!B252</f>
        <v>0</v>
      </c>
      <c r="B250">
        <f>'Site Data'!D252</f>
        <v>0</v>
      </c>
      <c r="C250">
        <f>'Site Data'!E252</f>
        <v>0</v>
      </c>
      <c r="D250" s="97">
        <f t="shared" si="8"/>
        <v>0</v>
      </c>
      <c r="E250" s="98" t="str">
        <f t="shared" si="9"/>
        <v>Error</v>
      </c>
    </row>
    <row r="251" spans="1:5" x14ac:dyDescent="0.25">
      <c r="A251" s="95">
        <f>'Site Data'!B253</f>
        <v>0</v>
      </c>
      <c r="B251">
        <f>'Site Data'!D253</f>
        <v>0</v>
      </c>
      <c r="C251">
        <f>'Site Data'!E253</f>
        <v>0</v>
      </c>
      <c r="D251" s="97">
        <f t="shared" si="8"/>
        <v>0</v>
      </c>
      <c r="E251" s="98" t="str">
        <f t="shared" si="9"/>
        <v>Error</v>
      </c>
    </row>
    <row r="252" spans="1:5" x14ac:dyDescent="0.25">
      <c r="A252" s="95">
        <f>'Site Data'!B254</f>
        <v>0</v>
      </c>
      <c r="B252">
        <f>'Site Data'!D254</f>
        <v>0</v>
      </c>
      <c r="C252">
        <f>'Site Data'!E254</f>
        <v>0</v>
      </c>
      <c r="D252" s="97">
        <f t="shared" si="8"/>
        <v>0</v>
      </c>
      <c r="E252" s="98" t="str">
        <f t="shared" si="9"/>
        <v>Error</v>
      </c>
    </row>
    <row r="253" spans="1:5" x14ac:dyDescent="0.25">
      <c r="A253" s="95">
        <f>'Site Data'!B255</f>
        <v>0</v>
      </c>
      <c r="B253">
        <f>'Site Data'!D255</f>
        <v>0</v>
      </c>
      <c r="C253">
        <f>'Site Data'!E255</f>
        <v>0</v>
      </c>
      <c r="D253" s="97">
        <f t="shared" si="8"/>
        <v>0</v>
      </c>
      <c r="E253" s="98" t="str">
        <f t="shared" si="9"/>
        <v>Error</v>
      </c>
    </row>
    <row r="254" spans="1:5" x14ac:dyDescent="0.25">
      <c r="A254" s="95">
        <f>'Site Data'!B256</f>
        <v>0</v>
      </c>
      <c r="B254">
        <f>'Site Data'!D256</f>
        <v>0</v>
      </c>
      <c r="C254">
        <f>'Site Data'!E256</f>
        <v>0</v>
      </c>
      <c r="D254" s="97">
        <f t="shared" si="8"/>
        <v>0</v>
      </c>
      <c r="E254" s="98" t="str">
        <f t="shared" si="9"/>
        <v>Error</v>
      </c>
    </row>
    <row r="255" spans="1:5" x14ac:dyDescent="0.25">
      <c r="A255" s="95">
        <f>'Site Data'!B257</f>
        <v>0</v>
      </c>
      <c r="B255">
        <f>'Site Data'!D257</f>
        <v>0</v>
      </c>
      <c r="C255">
        <f>'Site Data'!E257</f>
        <v>0</v>
      </c>
      <c r="D255" s="97">
        <f t="shared" si="8"/>
        <v>0</v>
      </c>
      <c r="E255" s="98" t="str">
        <f t="shared" si="9"/>
        <v>Error</v>
      </c>
    </row>
    <row r="256" spans="1:5" x14ac:dyDescent="0.25">
      <c r="A256" s="95">
        <f>'Site Data'!B258</f>
        <v>0</v>
      </c>
      <c r="B256">
        <f>'Site Data'!D258</f>
        <v>0</v>
      </c>
      <c r="C256">
        <f>'Site Data'!E258</f>
        <v>0</v>
      </c>
      <c r="D256" s="97">
        <f t="shared" si="8"/>
        <v>0</v>
      </c>
      <c r="E256" s="98" t="str">
        <f t="shared" si="9"/>
        <v>Error</v>
      </c>
    </row>
    <row r="257" spans="1:5" x14ac:dyDescent="0.25">
      <c r="A257" s="95">
        <f>'Site Data'!B259</f>
        <v>0</v>
      </c>
      <c r="B257">
        <f>'Site Data'!D259</f>
        <v>0</v>
      </c>
      <c r="C257">
        <f>'Site Data'!E259</f>
        <v>0</v>
      </c>
      <c r="D257" s="97">
        <f t="shared" si="8"/>
        <v>0</v>
      </c>
      <c r="E257" s="98" t="str">
        <f t="shared" si="9"/>
        <v>Error</v>
      </c>
    </row>
    <row r="258" spans="1:5" x14ac:dyDescent="0.25">
      <c r="A258" s="95">
        <f>'Site Data'!B260</f>
        <v>0</v>
      </c>
      <c r="B258">
        <f>'Site Data'!D260</f>
        <v>0</v>
      </c>
      <c r="C258">
        <f>'Site Data'!E260</f>
        <v>0</v>
      </c>
      <c r="D258" s="97">
        <f t="shared" ref="D258:D321" si="10">B258-C258</f>
        <v>0</v>
      </c>
      <c r="E258" s="98" t="str">
        <f t="shared" ref="E258:E321" si="11">IF(AND(D258 &gt;= 50, D258 &lt;= 60), "Valid", "Error")</f>
        <v>Error</v>
      </c>
    </row>
    <row r="259" spans="1:5" x14ac:dyDescent="0.25">
      <c r="A259" s="95">
        <f>'Site Data'!B261</f>
        <v>0</v>
      </c>
      <c r="B259">
        <f>'Site Data'!D261</f>
        <v>0</v>
      </c>
      <c r="C259">
        <f>'Site Data'!E261</f>
        <v>0</v>
      </c>
      <c r="D259" s="97">
        <f t="shared" si="10"/>
        <v>0</v>
      </c>
      <c r="E259" s="98" t="str">
        <f t="shared" si="11"/>
        <v>Error</v>
      </c>
    </row>
    <row r="260" spans="1:5" x14ac:dyDescent="0.25">
      <c r="A260" s="95">
        <f>'Site Data'!B262</f>
        <v>0</v>
      </c>
      <c r="B260">
        <f>'Site Data'!D262</f>
        <v>0</v>
      </c>
      <c r="C260">
        <f>'Site Data'!E262</f>
        <v>0</v>
      </c>
      <c r="D260" s="97">
        <f t="shared" si="10"/>
        <v>0</v>
      </c>
      <c r="E260" s="98" t="str">
        <f t="shared" si="11"/>
        <v>Error</v>
      </c>
    </row>
    <row r="261" spans="1:5" x14ac:dyDescent="0.25">
      <c r="A261" s="95">
        <f>'Site Data'!B263</f>
        <v>0</v>
      </c>
      <c r="B261">
        <f>'Site Data'!D263</f>
        <v>0</v>
      </c>
      <c r="C261">
        <f>'Site Data'!E263</f>
        <v>0</v>
      </c>
      <c r="D261" s="97">
        <f t="shared" si="10"/>
        <v>0</v>
      </c>
      <c r="E261" s="98" t="str">
        <f t="shared" si="11"/>
        <v>Error</v>
      </c>
    </row>
    <row r="262" spans="1:5" x14ac:dyDescent="0.25">
      <c r="A262" s="95">
        <f>'Site Data'!B264</f>
        <v>0</v>
      </c>
      <c r="B262">
        <f>'Site Data'!D264</f>
        <v>0</v>
      </c>
      <c r="C262">
        <f>'Site Data'!E264</f>
        <v>0</v>
      </c>
      <c r="D262" s="97">
        <f t="shared" si="10"/>
        <v>0</v>
      </c>
      <c r="E262" s="98" t="str">
        <f t="shared" si="11"/>
        <v>Error</v>
      </c>
    </row>
    <row r="263" spans="1:5" x14ac:dyDescent="0.25">
      <c r="A263" s="95">
        <f>'Site Data'!B265</f>
        <v>0</v>
      </c>
      <c r="B263">
        <f>'Site Data'!D265</f>
        <v>0</v>
      </c>
      <c r="C263">
        <f>'Site Data'!E265</f>
        <v>0</v>
      </c>
      <c r="D263" s="97">
        <f t="shared" si="10"/>
        <v>0</v>
      </c>
      <c r="E263" s="98" t="str">
        <f t="shared" si="11"/>
        <v>Error</v>
      </c>
    </row>
    <row r="264" spans="1:5" x14ac:dyDescent="0.25">
      <c r="A264" s="95">
        <f>'Site Data'!B266</f>
        <v>0</v>
      </c>
      <c r="B264">
        <f>'Site Data'!D266</f>
        <v>0</v>
      </c>
      <c r="C264">
        <f>'Site Data'!E266</f>
        <v>0</v>
      </c>
      <c r="D264" s="97">
        <f t="shared" si="10"/>
        <v>0</v>
      </c>
      <c r="E264" s="98" t="str">
        <f t="shared" si="11"/>
        <v>Error</v>
      </c>
    </row>
    <row r="265" spans="1:5" x14ac:dyDescent="0.25">
      <c r="A265" s="95">
        <f>'Site Data'!B267</f>
        <v>0</v>
      </c>
      <c r="B265">
        <f>'Site Data'!D267</f>
        <v>0</v>
      </c>
      <c r="C265">
        <f>'Site Data'!E267</f>
        <v>0</v>
      </c>
      <c r="D265" s="97">
        <f t="shared" si="10"/>
        <v>0</v>
      </c>
      <c r="E265" s="98" t="str">
        <f t="shared" si="11"/>
        <v>Error</v>
      </c>
    </row>
    <row r="266" spans="1:5" x14ac:dyDescent="0.25">
      <c r="A266" s="95">
        <f>'Site Data'!B268</f>
        <v>0</v>
      </c>
      <c r="B266">
        <f>'Site Data'!D268</f>
        <v>0</v>
      </c>
      <c r="C266">
        <f>'Site Data'!E268</f>
        <v>0</v>
      </c>
      <c r="D266" s="97">
        <f t="shared" si="10"/>
        <v>0</v>
      </c>
      <c r="E266" s="98" t="str">
        <f t="shared" si="11"/>
        <v>Error</v>
      </c>
    </row>
    <row r="267" spans="1:5" x14ac:dyDescent="0.25">
      <c r="A267" s="95">
        <f>'Site Data'!B269</f>
        <v>0</v>
      </c>
      <c r="B267">
        <f>'Site Data'!D269</f>
        <v>0</v>
      </c>
      <c r="C267">
        <f>'Site Data'!E269</f>
        <v>0</v>
      </c>
      <c r="D267" s="97">
        <f t="shared" si="10"/>
        <v>0</v>
      </c>
      <c r="E267" s="98" t="str">
        <f t="shared" si="11"/>
        <v>Error</v>
      </c>
    </row>
    <row r="268" spans="1:5" x14ac:dyDescent="0.25">
      <c r="A268" s="95">
        <f>'Site Data'!B270</f>
        <v>0</v>
      </c>
      <c r="B268">
        <f>'Site Data'!D270</f>
        <v>0</v>
      </c>
      <c r="C268">
        <f>'Site Data'!E270</f>
        <v>0</v>
      </c>
      <c r="D268" s="97">
        <f t="shared" si="10"/>
        <v>0</v>
      </c>
      <c r="E268" s="98" t="str">
        <f t="shared" si="11"/>
        <v>Error</v>
      </c>
    </row>
    <row r="269" spans="1:5" x14ac:dyDescent="0.25">
      <c r="A269" s="95">
        <f>'Site Data'!B271</f>
        <v>0</v>
      </c>
      <c r="B269">
        <f>'Site Data'!D271</f>
        <v>0</v>
      </c>
      <c r="C269">
        <f>'Site Data'!E271</f>
        <v>0</v>
      </c>
      <c r="D269" s="97">
        <f t="shared" si="10"/>
        <v>0</v>
      </c>
      <c r="E269" s="98" t="str">
        <f t="shared" si="11"/>
        <v>Error</v>
      </c>
    </row>
    <row r="270" spans="1:5" x14ac:dyDescent="0.25">
      <c r="A270" s="95">
        <f>'Site Data'!B272</f>
        <v>0</v>
      </c>
      <c r="B270">
        <f>'Site Data'!D272</f>
        <v>0</v>
      </c>
      <c r="C270">
        <f>'Site Data'!E272</f>
        <v>0</v>
      </c>
      <c r="D270" s="97">
        <f t="shared" si="10"/>
        <v>0</v>
      </c>
      <c r="E270" s="98" t="str">
        <f t="shared" si="11"/>
        <v>Error</v>
      </c>
    </row>
    <row r="271" spans="1:5" x14ac:dyDescent="0.25">
      <c r="A271" s="95">
        <f>'Site Data'!B273</f>
        <v>0</v>
      </c>
      <c r="B271">
        <f>'Site Data'!D273</f>
        <v>0</v>
      </c>
      <c r="C271">
        <f>'Site Data'!E273</f>
        <v>0</v>
      </c>
      <c r="D271" s="97">
        <f t="shared" si="10"/>
        <v>0</v>
      </c>
      <c r="E271" s="98" t="str">
        <f t="shared" si="11"/>
        <v>Error</v>
      </c>
    </row>
    <row r="272" spans="1:5" x14ac:dyDescent="0.25">
      <c r="A272" s="95">
        <f>'Site Data'!B274</f>
        <v>0</v>
      </c>
      <c r="B272">
        <f>'Site Data'!D274</f>
        <v>0</v>
      </c>
      <c r="C272">
        <f>'Site Data'!E274</f>
        <v>0</v>
      </c>
      <c r="D272" s="97">
        <f t="shared" si="10"/>
        <v>0</v>
      </c>
      <c r="E272" s="98" t="str">
        <f t="shared" si="11"/>
        <v>Error</v>
      </c>
    </row>
    <row r="273" spans="1:5" x14ac:dyDescent="0.25">
      <c r="A273" s="95">
        <f>'Site Data'!B275</f>
        <v>0</v>
      </c>
      <c r="B273">
        <f>'Site Data'!D275</f>
        <v>0</v>
      </c>
      <c r="C273">
        <f>'Site Data'!E275</f>
        <v>0</v>
      </c>
      <c r="D273" s="97">
        <f t="shared" si="10"/>
        <v>0</v>
      </c>
      <c r="E273" s="98" t="str">
        <f t="shared" si="11"/>
        <v>Error</v>
      </c>
    </row>
    <row r="274" spans="1:5" x14ac:dyDescent="0.25">
      <c r="A274" s="95">
        <f>'Site Data'!B276</f>
        <v>0</v>
      </c>
      <c r="B274">
        <f>'Site Data'!D276</f>
        <v>0</v>
      </c>
      <c r="C274">
        <f>'Site Data'!E276</f>
        <v>0</v>
      </c>
      <c r="D274" s="97">
        <f t="shared" si="10"/>
        <v>0</v>
      </c>
      <c r="E274" s="98" t="str">
        <f t="shared" si="11"/>
        <v>Error</v>
      </c>
    </row>
    <row r="275" spans="1:5" x14ac:dyDescent="0.25">
      <c r="A275" s="95">
        <f>'Site Data'!B277</f>
        <v>0</v>
      </c>
      <c r="B275">
        <f>'Site Data'!D277</f>
        <v>0</v>
      </c>
      <c r="C275">
        <f>'Site Data'!E277</f>
        <v>0</v>
      </c>
      <c r="D275" s="97">
        <f t="shared" si="10"/>
        <v>0</v>
      </c>
      <c r="E275" s="98" t="str">
        <f t="shared" si="11"/>
        <v>Error</v>
      </c>
    </row>
    <row r="276" spans="1:5" x14ac:dyDescent="0.25">
      <c r="A276" s="95">
        <f>'Site Data'!B278</f>
        <v>0</v>
      </c>
      <c r="B276">
        <f>'Site Data'!D278</f>
        <v>0</v>
      </c>
      <c r="C276">
        <f>'Site Data'!E278</f>
        <v>0</v>
      </c>
      <c r="D276" s="97">
        <f t="shared" si="10"/>
        <v>0</v>
      </c>
      <c r="E276" s="98" t="str">
        <f t="shared" si="11"/>
        <v>Error</v>
      </c>
    </row>
    <row r="277" spans="1:5" x14ac:dyDescent="0.25">
      <c r="A277" s="95">
        <f>'Site Data'!B279</f>
        <v>0</v>
      </c>
      <c r="B277">
        <f>'Site Data'!D279</f>
        <v>0</v>
      </c>
      <c r="C277">
        <f>'Site Data'!E279</f>
        <v>0</v>
      </c>
      <c r="D277" s="97">
        <f t="shared" si="10"/>
        <v>0</v>
      </c>
      <c r="E277" s="98" t="str">
        <f t="shared" si="11"/>
        <v>Error</v>
      </c>
    </row>
    <row r="278" spans="1:5" x14ac:dyDescent="0.25">
      <c r="A278" s="95">
        <f>'Site Data'!B280</f>
        <v>0</v>
      </c>
      <c r="B278">
        <f>'Site Data'!D280</f>
        <v>0</v>
      </c>
      <c r="C278">
        <f>'Site Data'!E280</f>
        <v>0</v>
      </c>
      <c r="D278" s="97">
        <f t="shared" si="10"/>
        <v>0</v>
      </c>
      <c r="E278" s="98" t="str">
        <f t="shared" si="11"/>
        <v>Error</v>
      </c>
    </row>
    <row r="279" spans="1:5" x14ac:dyDescent="0.25">
      <c r="A279" s="95">
        <f>'Site Data'!B281</f>
        <v>0</v>
      </c>
      <c r="B279">
        <f>'Site Data'!D281</f>
        <v>0</v>
      </c>
      <c r="C279">
        <f>'Site Data'!E281</f>
        <v>0</v>
      </c>
      <c r="D279" s="97">
        <f t="shared" si="10"/>
        <v>0</v>
      </c>
      <c r="E279" s="98" t="str">
        <f t="shared" si="11"/>
        <v>Error</v>
      </c>
    </row>
    <row r="280" spans="1:5" x14ac:dyDescent="0.25">
      <c r="A280" s="95">
        <f>'Site Data'!B282</f>
        <v>0</v>
      </c>
      <c r="B280">
        <f>'Site Data'!D282</f>
        <v>0</v>
      </c>
      <c r="C280">
        <f>'Site Data'!E282</f>
        <v>0</v>
      </c>
      <c r="D280" s="97">
        <f t="shared" si="10"/>
        <v>0</v>
      </c>
      <c r="E280" s="98" t="str">
        <f t="shared" si="11"/>
        <v>Error</v>
      </c>
    </row>
    <row r="281" spans="1:5" x14ac:dyDescent="0.25">
      <c r="A281" s="95">
        <f>'Site Data'!B283</f>
        <v>0</v>
      </c>
      <c r="B281">
        <f>'Site Data'!D283</f>
        <v>0</v>
      </c>
      <c r="C281">
        <f>'Site Data'!E283</f>
        <v>0</v>
      </c>
      <c r="D281" s="97">
        <f t="shared" si="10"/>
        <v>0</v>
      </c>
      <c r="E281" s="98" t="str">
        <f t="shared" si="11"/>
        <v>Error</v>
      </c>
    </row>
    <row r="282" spans="1:5" x14ac:dyDescent="0.25">
      <c r="A282" s="95">
        <f>'Site Data'!B284</f>
        <v>0</v>
      </c>
      <c r="B282">
        <f>'Site Data'!D284</f>
        <v>0</v>
      </c>
      <c r="C282">
        <f>'Site Data'!E284</f>
        <v>0</v>
      </c>
      <c r="D282" s="97">
        <f t="shared" si="10"/>
        <v>0</v>
      </c>
      <c r="E282" s="98" t="str">
        <f t="shared" si="11"/>
        <v>Error</v>
      </c>
    </row>
    <row r="283" spans="1:5" x14ac:dyDescent="0.25">
      <c r="A283" s="95">
        <f>'Site Data'!B285</f>
        <v>0</v>
      </c>
      <c r="B283">
        <f>'Site Data'!D285</f>
        <v>0</v>
      </c>
      <c r="C283">
        <f>'Site Data'!E285</f>
        <v>0</v>
      </c>
      <c r="D283" s="97">
        <f t="shared" si="10"/>
        <v>0</v>
      </c>
      <c r="E283" s="98" t="str">
        <f t="shared" si="11"/>
        <v>Error</v>
      </c>
    </row>
    <row r="284" spans="1:5" x14ac:dyDescent="0.25">
      <c r="A284" s="95">
        <f>'Site Data'!B286</f>
        <v>0</v>
      </c>
      <c r="B284">
        <f>'Site Data'!D286</f>
        <v>0</v>
      </c>
      <c r="C284">
        <f>'Site Data'!E286</f>
        <v>0</v>
      </c>
      <c r="D284" s="97">
        <f t="shared" si="10"/>
        <v>0</v>
      </c>
      <c r="E284" s="98" t="str">
        <f t="shared" si="11"/>
        <v>Error</v>
      </c>
    </row>
    <row r="285" spans="1:5" x14ac:dyDescent="0.25">
      <c r="A285" s="95">
        <f>'Site Data'!B287</f>
        <v>0</v>
      </c>
      <c r="B285">
        <f>'Site Data'!D287</f>
        <v>0</v>
      </c>
      <c r="C285">
        <f>'Site Data'!E287</f>
        <v>0</v>
      </c>
      <c r="D285" s="97">
        <f t="shared" si="10"/>
        <v>0</v>
      </c>
      <c r="E285" s="98" t="str">
        <f t="shared" si="11"/>
        <v>Error</v>
      </c>
    </row>
    <row r="286" spans="1:5" x14ac:dyDescent="0.25">
      <c r="A286" s="95">
        <f>'Site Data'!B288</f>
        <v>0</v>
      </c>
      <c r="B286">
        <f>'Site Data'!D288</f>
        <v>0</v>
      </c>
      <c r="C286">
        <f>'Site Data'!E288</f>
        <v>0</v>
      </c>
      <c r="D286" s="97">
        <f t="shared" si="10"/>
        <v>0</v>
      </c>
      <c r="E286" s="98" t="str">
        <f t="shared" si="11"/>
        <v>Error</v>
      </c>
    </row>
    <row r="287" spans="1:5" x14ac:dyDescent="0.25">
      <c r="A287" s="95">
        <f>'Site Data'!B289</f>
        <v>0</v>
      </c>
      <c r="B287">
        <f>'Site Data'!D289</f>
        <v>0</v>
      </c>
      <c r="C287">
        <f>'Site Data'!E289</f>
        <v>0</v>
      </c>
      <c r="D287" s="97">
        <f t="shared" si="10"/>
        <v>0</v>
      </c>
      <c r="E287" s="98" t="str">
        <f t="shared" si="11"/>
        <v>Error</v>
      </c>
    </row>
    <row r="288" spans="1:5" x14ac:dyDescent="0.25">
      <c r="A288" s="95">
        <f>'Site Data'!B290</f>
        <v>0</v>
      </c>
      <c r="B288">
        <f>'Site Data'!D290</f>
        <v>0</v>
      </c>
      <c r="C288">
        <f>'Site Data'!E290</f>
        <v>0</v>
      </c>
      <c r="D288" s="97">
        <f t="shared" si="10"/>
        <v>0</v>
      </c>
      <c r="E288" s="98" t="str">
        <f t="shared" si="11"/>
        <v>Error</v>
      </c>
    </row>
    <row r="289" spans="1:5" x14ac:dyDescent="0.25">
      <c r="A289" s="95">
        <f>'Site Data'!B291</f>
        <v>0</v>
      </c>
      <c r="B289">
        <f>'Site Data'!D291</f>
        <v>0</v>
      </c>
      <c r="C289">
        <f>'Site Data'!E291</f>
        <v>0</v>
      </c>
      <c r="D289" s="97">
        <f t="shared" si="10"/>
        <v>0</v>
      </c>
      <c r="E289" s="98" t="str">
        <f t="shared" si="11"/>
        <v>Error</v>
      </c>
    </row>
    <row r="290" spans="1:5" x14ac:dyDescent="0.25">
      <c r="A290" s="95">
        <f>'Site Data'!B292</f>
        <v>0</v>
      </c>
      <c r="B290">
        <f>'Site Data'!D292</f>
        <v>0</v>
      </c>
      <c r="C290">
        <f>'Site Data'!E292</f>
        <v>0</v>
      </c>
      <c r="D290" s="97">
        <f t="shared" si="10"/>
        <v>0</v>
      </c>
      <c r="E290" s="98" t="str">
        <f t="shared" si="11"/>
        <v>Error</v>
      </c>
    </row>
    <row r="291" spans="1:5" x14ac:dyDescent="0.25">
      <c r="A291" s="95">
        <f>'Site Data'!B293</f>
        <v>0</v>
      </c>
      <c r="B291">
        <f>'Site Data'!D293</f>
        <v>0</v>
      </c>
      <c r="C291">
        <f>'Site Data'!E293</f>
        <v>0</v>
      </c>
      <c r="D291" s="97">
        <f t="shared" si="10"/>
        <v>0</v>
      </c>
      <c r="E291" s="98" t="str">
        <f t="shared" si="11"/>
        <v>Error</v>
      </c>
    </row>
    <row r="292" spans="1:5" x14ac:dyDescent="0.25">
      <c r="A292" s="95">
        <f>'Site Data'!B294</f>
        <v>0</v>
      </c>
      <c r="B292">
        <f>'Site Data'!D294</f>
        <v>0</v>
      </c>
      <c r="C292">
        <f>'Site Data'!E294</f>
        <v>0</v>
      </c>
      <c r="D292" s="97">
        <f t="shared" si="10"/>
        <v>0</v>
      </c>
      <c r="E292" s="98" t="str">
        <f t="shared" si="11"/>
        <v>Error</v>
      </c>
    </row>
    <row r="293" spans="1:5" x14ac:dyDescent="0.25">
      <c r="A293" s="95">
        <f>'Site Data'!B295</f>
        <v>0</v>
      </c>
      <c r="B293">
        <f>'Site Data'!D295</f>
        <v>0</v>
      </c>
      <c r="C293">
        <f>'Site Data'!E295</f>
        <v>0</v>
      </c>
      <c r="D293" s="97">
        <f t="shared" si="10"/>
        <v>0</v>
      </c>
      <c r="E293" s="98" t="str">
        <f t="shared" si="11"/>
        <v>Error</v>
      </c>
    </row>
    <row r="294" spans="1:5" x14ac:dyDescent="0.25">
      <c r="A294" s="95">
        <f>'Site Data'!B296</f>
        <v>0</v>
      </c>
      <c r="B294">
        <f>'Site Data'!D296</f>
        <v>0</v>
      </c>
      <c r="C294">
        <f>'Site Data'!E296</f>
        <v>0</v>
      </c>
      <c r="D294" s="97">
        <f t="shared" si="10"/>
        <v>0</v>
      </c>
      <c r="E294" s="98" t="str">
        <f t="shared" si="11"/>
        <v>Error</v>
      </c>
    </row>
    <row r="295" spans="1:5" x14ac:dyDescent="0.25">
      <c r="A295" s="95">
        <f>'Site Data'!B297</f>
        <v>0</v>
      </c>
      <c r="B295">
        <f>'Site Data'!D297</f>
        <v>0</v>
      </c>
      <c r="C295">
        <f>'Site Data'!E297</f>
        <v>0</v>
      </c>
      <c r="D295" s="97">
        <f t="shared" si="10"/>
        <v>0</v>
      </c>
      <c r="E295" s="98" t="str">
        <f t="shared" si="11"/>
        <v>Error</v>
      </c>
    </row>
    <row r="296" spans="1:5" x14ac:dyDescent="0.25">
      <c r="A296" s="95">
        <f>'Site Data'!B298</f>
        <v>0</v>
      </c>
      <c r="B296">
        <f>'Site Data'!D298</f>
        <v>0</v>
      </c>
      <c r="C296">
        <f>'Site Data'!E298</f>
        <v>0</v>
      </c>
      <c r="D296" s="97">
        <f t="shared" si="10"/>
        <v>0</v>
      </c>
      <c r="E296" s="98" t="str">
        <f t="shared" si="11"/>
        <v>Error</v>
      </c>
    </row>
    <row r="297" spans="1:5" x14ac:dyDescent="0.25">
      <c r="A297" s="95">
        <f>'Site Data'!B299</f>
        <v>0</v>
      </c>
      <c r="B297">
        <f>'Site Data'!D299</f>
        <v>0</v>
      </c>
      <c r="C297">
        <f>'Site Data'!E299</f>
        <v>0</v>
      </c>
      <c r="D297" s="97">
        <f t="shared" si="10"/>
        <v>0</v>
      </c>
      <c r="E297" s="98" t="str">
        <f t="shared" si="11"/>
        <v>Error</v>
      </c>
    </row>
    <row r="298" spans="1:5" x14ac:dyDescent="0.25">
      <c r="A298" s="95">
        <f>'Site Data'!B300</f>
        <v>0</v>
      </c>
      <c r="B298">
        <f>'Site Data'!D300</f>
        <v>0</v>
      </c>
      <c r="C298">
        <f>'Site Data'!E300</f>
        <v>0</v>
      </c>
      <c r="D298" s="97">
        <f t="shared" si="10"/>
        <v>0</v>
      </c>
      <c r="E298" s="98" t="str">
        <f t="shared" si="11"/>
        <v>Error</v>
      </c>
    </row>
    <row r="299" spans="1:5" x14ac:dyDescent="0.25">
      <c r="A299" s="95">
        <f>'Site Data'!B301</f>
        <v>0</v>
      </c>
      <c r="B299">
        <f>'Site Data'!D301</f>
        <v>0</v>
      </c>
      <c r="C299">
        <f>'Site Data'!E301</f>
        <v>0</v>
      </c>
      <c r="D299" s="97">
        <f t="shared" si="10"/>
        <v>0</v>
      </c>
      <c r="E299" s="98" t="str">
        <f t="shared" si="11"/>
        <v>Error</v>
      </c>
    </row>
    <row r="300" spans="1:5" x14ac:dyDescent="0.25">
      <c r="A300" s="95">
        <f>'Site Data'!B302</f>
        <v>0</v>
      </c>
      <c r="B300">
        <f>'Site Data'!D302</f>
        <v>0</v>
      </c>
      <c r="C300">
        <f>'Site Data'!E302</f>
        <v>0</v>
      </c>
      <c r="D300" s="97">
        <f t="shared" si="10"/>
        <v>0</v>
      </c>
      <c r="E300" s="98" t="str">
        <f t="shared" si="11"/>
        <v>Error</v>
      </c>
    </row>
    <row r="301" spans="1:5" x14ac:dyDescent="0.25">
      <c r="A301" s="95">
        <f>'Site Data'!B303</f>
        <v>0</v>
      </c>
      <c r="B301">
        <f>'Site Data'!D303</f>
        <v>0</v>
      </c>
      <c r="C301">
        <f>'Site Data'!E303</f>
        <v>0</v>
      </c>
      <c r="D301" s="97">
        <f t="shared" si="10"/>
        <v>0</v>
      </c>
      <c r="E301" s="98" t="str">
        <f t="shared" si="11"/>
        <v>Error</v>
      </c>
    </row>
    <row r="302" spans="1:5" x14ac:dyDescent="0.25">
      <c r="A302" s="95">
        <f>'Site Data'!B304</f>
        <v>0</v>
      </c>
      <c r="B302">
        <f>'Site Data'!D304</f>
        <v>0</v>
      </c>
      <c r="C302">
        <f>'Site Data'!E304</f>
        <v>0</v>
      </c>
      <c r="D302" s="97">
        <f t="shared" si="10"/>
        <v>0</v>
      </c>
      <c r="E302" s="98" t="str">
        <f t="shared" si="11"/>
        <v>Error</v>
      </c>
    </row>
    <row r="303" spans="1:5" x14ac:dyDescent="0.25">
      <c r="A303" s="95">
        <f>'Site Data'!B305</f>
        <v>0</v>
      </c>
      <c r="B303">
        <f>'Site Data'!D305</f>
        <v>0</v>
      </c>
      <c r="C303">
        <f>'Site Data'!E305</f>
        <v>0</v>
      </c>
      <c r="D303" s="97">
        <f t="shared" si="10"/>
        <v>0</v>
      </c>
      <c r="E303" s="98" t="str">
        <f t="shared" si="11"/>
        <v>Error</v>
      </c>
    </row>
    <row r="304" spans="1:5" x14ac:dyDescent="0.25">
      <c r="A304" s="95">
        <f>'Site Data'!B306</f>
        <v>0</v>
      </c>
      <c r="B304">
        <f>'Site Data'!D306</f>
        <v>0</v>
      </c>
      <c r="C304">
        <f>'Site Data'!E306</f>
        <v>0</v>
      </c>
      <c r="D304" s="97">
        <f t="shared" si="10"/>
        <v>0</v>
      </c>
      <c r="E304" s="98" t="str">
        <f t="shared" si="11"/>
        <v>Error</v>
      </c>
    </row>
    <row r="305" spans="1:5" x14ac:dyDescent="0.25">
      <c r="A305" s="95">
        <f>'Site Data'!B307</f>
        <v>0</v>
      </c>
      <c r="B305">
        <f>'Site Data'!D307</f>
        <v>0</v>
      </c>
      <c r="C305">
        <f>'Site Data'!E307</f>
        <v>0</v>
      </c>
      <c r="D305" s="97">
        <f t="shared" si="10"/>
        <v>0</v>
      </c>
      <c r="E305" s="98" t="str">
        <f t="shared" si="11"/>
        <v>Error</v>
      </c>
    </row>
    <row r="306" spans="1:5" x14ac:dyDescent="0.25">
      <c r="A306" s="95">
        <f>'Site Data'!B308</f>
        <v>0</v>
      </c>
      <c r="B306">
        <f>'Site Data'!D308</f>
        <v>0</v>
      </c>
      <c r="C306">
        <f>'Site Data'!E308</f>
        <v>0</v>
      </c>
      <c r="D306" s="97">
        <f t="shared" si="10"/>
        <v>0</v>
      </c>
      <c r="E306" s="98" t="str">
        <f t="shared" si="11"/>
        <v>Error</v>
      </c>
    </row>
    <row r="307" spans="1:5" x14ac:dyDescent="0.25">
      <c r="A307" s="95">
        <f>'Site Data'!B309</f>
        <v>0</v>
      </c>
      <c r="B307">
        <f>'Site Data'!D309</f>
        <v>0</v>
      </c>
      <c r="C307">
        <f>'Site Data'!E309</f>
        <v>0</v>
      </c>
      <c r="D307" s="97">
        <f t="shared" si="10"/>
        <v>0</v>
      </c>
      <c r="E307" s="98" t="str">
        <f t="shared" si="11"/>
        <v>Error</v>
      </c>
    </row>
    <row r="308" spans="1:5" x14ac:dyDescent="0.25">
      <c r="A308" s="95">
        <f>'Site Data'!B310</f>
        <v>0</v>
      </c>
      <c r="B308">
        <f>'Site Data'!D310</f>
        <v>0</v>
      </c>
      <c r="C308">
        <f>'Site Data'!E310</f>
        <v>0</v>
      </c>
      <c r="D308" s="97">
        <f t="shared" si="10"/>
        <v>0</v>
      </c>
      <c r="E308" s="98" t="str">
        <f t="shared" si="11"/>
        <v>Error</v>
      </c>
    </row>
    <row r="309" spans="1:5" x14ac:dyDescent="0.25">
      <c r="A309" s="95">
        <f>'Site Data'!B311</f>
        <v>0</v>
      </c>
      <c r="B309">
        <f>'Site Data'!D311</f>
        <v>0</v>
      </c>
      <c r="C309">
        <f>'Site Data'!E311</f>
        <v>0</v>
      </c>
      <c r="D309" s="97">
        <f t="shared" si="10"/>
        <v>0</v>
      </c>
      <c r="E309" s="98" t="str">
        <f t="shared" si="11"/>
        <v>Error</v>
      </c>
    </row>
    <row r="310" spans="1:5" x14ac:dyDescent="0.25">
      <c r="A310" s="95">
        <f>'Site Data'!B312</f>
        <v>0</v>
      </c>
      <c r="B310">
        <f>'Site Data'!D312</f>
        <v>0</v>
      </c>
      <c r="C310">
        <f>'Site Data'!E312</f>
        <v>0</v>
      </c>
      <c r="D310" s="97">
        <f t="shared" si="10"/>
        <v>0</v>
      </c>
      <c r="E310" s="98" t="str">
        <f t="shared" si="11"/>
        <v>Error</v>
      </c>
    </row>
    <row r="311" spans="1:5" x14ac:dyDescent="0.25">
      <c r="A311" s="95">
        <f>'Site Data'!B313</f>
        <v>0</v>
      </c>
      <c r="B311">
        <f>'Site Data'!D313</f>
        <v>0</v>
      </c>
      <c r="C311">
        <f>'Site Data'!E313</f>
        <v>0</v>
      </c>
      <c r="D311" s="97">
        <f t="shared" si="10"/>
        <v>0</v>
      </c>
      <c r="E311" s="98" t="str">
        <f t="shared" si="11"/>
        <v>Error</v>
      </c>
    </row>
    <row r="312" spans="1:5" x14ac:dyDescent="0.25">
      <c r="A312" s="95">
        <f>'Site Data'!B314</f>
        <v>0</v>
      </c>
      <c r="B312">
        <f>'Site Data'!D314</f>
        <v>0</v>
      </c>
      <c r="C312">
        <f>'Site Data'!E314</f>
        <v>0</v>
      </c>
      <c r="D312" s="97">
        <f t="shared" si="10"/>
        <v>0</v>
      </c>
      <c r="E312" s="98" t="str">
        <f t="shared" si="11"/>
        <v>Error</v>
      </c>
    </row>
    <row r="313" spans="1:5" x14ac:dyDescent="0.25">
      <c r="A313" s="95">
        <f>'Site Data'!B315</f>
        <v>0</v>
      </c>
      <c r="B313">
        <f>'Site Data'!D315</f>
        <v>0</v>
      </c>
      <c r="C313">
        <f>'Site Data'!E315</f>
        <v>0</v>
      </c>
      <c r="D313" s="97">
        <f t="shared" si="10"/>
        <v>0</v>
      </c>
      <c r="E313" s="98" t="str">
        <f t="shared" si="11"/>
        <v>Error</v>
      </c>
    </row>
    <row r="314" spans="1:5" x14ac:dyDescent="0.25">
      <c r="A314" s="95">
        <f>'Site Data'!B316</f>
        <v>0</v>
      </c>
      <c r="B314">
        <f>'Site Data'!D316</f>
        <v>0</v>
      </c>
      <c r="C314">
        <f>'Site Data'!E316</f>
        <v>0</v>
      </c>
      <c r="D314" s="97">
        <f t="shared" si="10"/>
        <v>0</v>
      </c>
      <c r="E314" s="98" t="str">
        <f t="shared" si="11"/>
        <v>Error</v>
      </c>
    </row>
    <row r="315" spans="1:5" x14ac:dyDescent="0.25">
      <c r="A315" s="95">
        <f>'Site Data'!B317</f>
        <v>0</v>
      </c>
      <c r="B315">
        <f>'Site Data'!D317</f>
        <v>0</v>
      </c>
      <c r="C315">
        <f>'Site Data'!E317</f>
        <v>0</v>
      </c>
      <c r="D315" s="97">
        <f t="shared" si="10"/>
        <v>0</v>
      </c>
      <c r="E315" s="98" t="str">
        <f t="shared" si="11"/>
        <v>Error</v>
      </c>
    </row>
    <row r="316" spans="1:5" x14ac:dyDescent="0.25">
      <c r="A316" s="95">
        <f>'Site Data'!B318</f>
        <v>0</v>
      </c>
      <c r="B316">
        <f>'Site Data'!D318</f>
        <v>0</v>
      </c>
      <c r="C316">
        <f>'Site Data'!E318</f>
        <v>0</v>
      </c>
      <c r="D316" s="97">
        <f t="shared" si="10"/>
        <v>0</v>
      </c>
      <c r="E316" s="98" t="str">
        <f t="shared" si="11"/>
        <v>Error</v>
      </c>
    </row>
    <row r="317" spans="1:5" x14ac:dyDescent="0.25">
      <c r="A317" s="95">
        <f>'Site Data'!B319</f>
        <v>0</v>
      </c>
      <c r="B317">
        <f>'Site Data'!D319</f>
        <v>0</v>
      </c>
      <c r="C317">
        <f>'Site Data'!E319</f>
        <v>0</v>
      </c>
      <c r="D317" s="97">
        <f t="shared" si="10"/>
        <v>0</v>
      </c>
      <c r="E317" s="98" t="str">
        <f t="shared" si="11"/>
        <v>Error</v>
      </c>
    </row>
    <row r="318" spans="1:5" x14ac:dyDescent="0.25">
      <c r="A318" s="95">
        <f>'Site Data'!B320</f>
        <v>0</v>
      </c>
      <c r="B318">
        <f>'Site Data'!D320</f>
        <v>0</v>
      </c>
      <c r="C318">
        <f>'Site Data'!E320</f>
        <v>0</v>
      </c>
      <c r="D318" s="97">
        <f t="shared" si="10"/>
        <v>0</v>
      </c>
      <c r="E318" s="98" t="str">
        <f t="shared" si="11"/>
        <v>Error</v>
      </c>
    </row>
    <row r="319" spans="1:5" x14ac:dyDescent="0.25">
      <c r="A319" s="95">
        <f>'Site Data'!B321</f>
        <v>0</v>
      </c>
      <c r="B319">
        <f>'Site Data'!D321</f>
        <v>0</v>
      </c>
      <c r="C319">
        <f>'Site Data'!E321</f>
        <v>0</v>
      </c>
      <c r="D319" s="97">
        <f t="shared" si="10"/>
        <v>0</v>
      </c>
      <c r="E319" s="98" t="str">
        <f t="shared" si="11"/>
        <v>Error</v>
      </c>
    </row>
    <row r="320" spans="1:5" x14ac:dyDescent="0.25">
      <c r="A320" s="95">
        <f>'Site Data'!B322</f>
        <v>0</v>
      </c>
      <c r="B320">
        <f>'Site Data'!D322</f>
        <v>0</v>
      </c>
      <c r="C320">
        <f>'Site Data'!E322</f>
        <v>0</v>
      </c>
      <c r="D320" s="97">
        <f t="shared" si="10"/>
        <v>0</v>
      </c>
      <c r="E320" s="98" t="str">
        <f t="shared" si="11"/>
        <v>Error</v>
      </c>
    </row>
    <row r="321" spans="1:5" x14ac:dyDescent="0.25">
      <c r="A321" s="95">
        <f>'Site Data'!B323</f>
        <v>0</v>
      </c>
      <c r="B321">
        <f>'Site Data'!D323</f>
        <v>0</v>
      </c>
      <c r="C321">
        <f>'Site Data'!E323</f>
        <v>0</v>
      </c>
      <c r="D321" s="97">
        <f t="shared" si="10"/>
        <v>0</v>
      </c>
      <c r="E321" s="98" t="str">
        <f t="shared" si="11"/>
        <v>Error</v>
      </c>
    </row>
    <row r="322" spans="1:5" x14ac:dyDescent="0.25">
      <c r="A322" s="95">
        <f>'Site Data'!B324</f>
        <v>0</v>
      </c>
      <c r="B322">
        <f>'Site Data'!D324</f>
        <v>0</v>
      </c>
      <c r="C322">
        <f>'Site Data'!E324</f>
        <v>0</v>
      </c>
      <c r="D322" s="97">
        <f t="shared" ref="D322:D385" si="12">B322-C322</f>
        <v>0</v>
      </c>
      <c r="E322" s="98" t="str">
        <f t="shared" ref="E322:E385" si="13">IF(AND(D322 &gt;= 50, D322 &lt;= 60), "Valid", "Error")</f>
        <v>Error</v>
      </c>
    </row>
    <row r="323" spans="1:5" x14ac:dyDescent="0.25">
      <c r="A323" s="95">
        <f>'Site Data'!B325</f>
        <v>0</v>
      </c>
      <c r="B323">
        <f>'Site Data'!D325</f>
        <v>0</v>
      </c>
      <c r="C323">
        <f>'Site Data'!E325</f>
        <v>0</v>
      </c>
      <c r="D323" s="97">
        <f t="shared" si="12"/>
        <v>0</v>
      </c>
      <c r="E323" s="98" t="str">
        <f t="shared" si="13"/>
        <v>Error</v>
      </c>
    </row>
    <row r="324" spans="1:5" x14ac:dyDescent="0.25">
      <c r="A324" s="95">
        <f>'Site Data'!B326</f>
        <v>0</v>
      </c>
      <c r="B324">
        <f>'Site Data'!D326</f>
        <v>0</v>
      </c>
      <c r="C324">
        <f>'Site Data'!E326</f>
        <v>0</v>
      </c>
      <c r="D324" s="97">
        <f t="shared" si="12"/>
        <v>0</v>
      </c>
      <c r="E324" s="98" t="str">
        <f t="shared" si="13"/>
        <v>Error</v>
      </c>
    </row>
    <row r="325" spans="1:5" x14ac:dyDescent="0.25">
      <c r="A325" s="95">
        <f>'Site Data'!B327</f>
        <v>0</v>
      </c>
      <c r="B325">
        <f>'Site Data'!D327</f>
        <v>0</v>
      </c>
      <c r="C325">
        <f>'Site Data'!E327</f>
        <v>0</v>
      </c>
      <c r="D325" s="97">
        <f t="shared" si="12"/>
        <v>0</v>
      </c>
      <c r="E325" s="98" t="str">
        <f t="shared" si="13"/>
        <v>Error</v>
      </c>
    </row>
    <row r="326" spans="1:5" x14ac:dyDescent="0.25">
      <c r="A326" s="95">
        <f>'Site Data'!B328</f>
        <v>0</v>
      </c>
      <c r="B326">
        <f>'Site Data'!D328</f>
        <v>0</v>
      </c>
      <c r="C326">
        <f>'Site Data'!E328</f>
        <v>0</v>
      </c>
      <c r="D326" s="97">
        <f t="shared" si="12"/>
        <v>0</v>
      </c>
      <c r="E326" s="98" t="str">
        <f t="shared" si="13"/>
        <v>Error</v>
      </c>
    </row>
    <row r="327" spans="1:5" x14ac:dyDescent="0.25">
      <c r="A327" s="95">
        <f>'Site Data'!B329</f>
        <v>0</v>
      </c>
      <c r="B327">
        <f>'Site Data'!D329</f>
        <v>0</v>
      </c>
      <c r="C327">
        <f>'Site Data'!E329</f>
        <v>0</v>
      </c>
      <c r="D327" s="97">
        <f t="shared" si="12"/>
        <v>0</v>
      </c>
      <c r="E327" s="98" t="str">
        <f t="shared" si="13"/>
        <v>Error</v>
      </c>
    </row>
    <row r="328" spans="1:5" x14ac:dyDescent="0.25">
      <c r="A328" s="95">
        <f>'Site Data'!B330</f>
        <v>0</v>
      </c>
      <c r="B328">
        <f>'Site Data'!D330</f>
        <v>0</v>
      </c>
      <c r="C328">
        <f>'Site Data'!E330</f>
        <v>0</v>
      </c>
      <c r="D328" s="97">
        <f t="shared" si="12"/>
        <v>0</v>
      </c>
      <c r="E328" s="98" t="str">
        <f t="shared" si="13"/>
        <v>Error</v>
      </c>
    </row>
    <row r="329" spans="1:5" x14ac:dyDescent="0.25">
      <c r="A329" s="95">
        <f>'Site Data'!B331</f>
        <v>0</v>
      </c>
      <c r="B329">
        <f>'Site Data'!D331</f>
        <v>0</v>
      </c>
      <c r="C329">
        <f>'Site Data'!E331</f>
        <v>0</v>
      </c>
      <c r="D329" s="97">
        <f t="shared" si="12"/>
        <v>0</v>
      </c>
      <c r="E329" s="98" t="str">
        <f t="shared" si="13"/>
        <v>Error</v>
      </c>
    </row>
    <row r="330" spans="1:5" x14ac:dyDescent="0.25">
      <c r="A330" s="95">
        <f>'Site Data'!B332</f>
        <v>0</v>
      </c>
      <c r="B330">
        <f>'Site Data'!D332</f>
        <v>0</v>
      </c>
      <c r="C330">
        <f>'Site Data'!E332</f>
        <v>0</v>
      </c>
      <c r="D330" s="97">
        <f t="shared" si="12"/>
        <v>0</v>
      </c>
      <c r="E330" s="98" t="str">
        <f t="shared" si="13"/>
        <v>Error</v>
      </c>
    </row>
    <row r="331" spans="1:5" x14ac:dyDescent="0.25">
      <c r="A331" s="95">
        <f>'Site Data'!B333</f>
        <v>0</v>
      </c>
      <c r="B331">
        <f>'Site Data'!D333</f>
        <v>0</v>
      </c>
      <c r="C331">
        <f>'Site Data'!E333</f>
        <v>0</v>
      </c>
      <c r="D331" s="97">
        <f t="shared" si="12"/>
        <v>0</v>
      </c>
      <c r="E331" s="98" t="str">
        <f t="shared" si="13"/>
        <v>Error</v>
      </c>
    </row>
    <row r="332" spans="1:5" x14ac:dyDescent="0.25">
      <c r="A332" s="95">
        <f>'Site Data'!B334</f>
        <v>0</v>
      </c>
      <c r="B332">
        <f>'Site Data'!D334</f>
        <v>0</v>
      </c>
      <c r="C332">
        <f>'Site Data'!E334</f>
        <v>0</v>
      </c>
      <c r="D332" s="97">
        <f t="shared" si="12"/>
        <v>0</v>
      </c>
      <c r="E332" s="98" t="str">
        <f t="shared" si="13"/>
        <v>Error</v>
      </c>
    </row>
    <row r="333" spans="1:5" x14ac:dyDescent="0.25">
      <c r="A333" s="95">
        <f>'Site Data'!B335</f>
        <v>0</v>
      </c>
      <c r="B333">
        <f>'Site Data'!D335</f>
        <v>0</v>
      </c>
      <c r="C333">
        <f>'Site Data'!E335</f>
        <v>0</v>
      </c>
      <c r="D333" s="97">
        <f t="shared" si="12"/>
        <v>0</v>
      </c>
      <c r="E333" s="98" t="str">
        <f t="shared" si="13"/>
        <v>Error</v>
      </c>
    </row>
    <row r="334" spans="1:5" x14ac:dyDescent="0.25">
      <c r="A334" s="95">
        <f>'Site Data'!B336</f>
        <v>0</v>
      </c>
      <c r="B334">
        <f>'Site Data'!D336</f>
        <v>0</v>
      </c>
      <c r="C334">
        <f>'Site Data'!E336</f>
        <v>0</v>
      </c>
      <c r="D334" s="97">
        <f t="shared" si="12"/>
        <v>0</v>
      </c>
      <c r="E334" s="98" t="str">
        <f t="shared" si="13"/>
        <v>Error</v>
      </c>
    </row>
    <row r="335" spans="1:5" x14ac:dyDescent="0.25">
      <c r="A335" s="95">
        <f>'Site Data'!B337</f>
        <v>0</v>
      </c>
      <c r="B335">
        <f>'Site Data'!D337</f>
        <v>0</v>
      </c>
      <c r="C335">
        <f>'Site Data'!E337</f>
        <v>0</v>
      </c>
      <c r="D335" s="97">
        <f t="shared" si="12"/>
        <v>0</v>
      </c>
      <c r="E335" s="98" t="str">
        <f t="shared" si="13"/>
        <v>Error</v>
      </c>
    </row>
    <row r="336" spans="1:5" x14ac:dyDescent="0.25">
      <c r="A336" s="95">
        <f>'Site Data'!B338</f>
        <v>0</v>
      </c>
      <c r="B336">
        <f>'Site Data'!D338</f>
        <v>0</v>
      </c>
      <c r="C336">
        <f>'Site Data'!E338</f>
        <v>0</v>
      </c>
      <c r="D336" s="97">
        <f t="shared" si="12"/>
        <v>0</v>
      </c>
      <c r="E336" s="98" t="str">
        <f t="shared" si="13"/>
        <v>Error</v>
      </c>
    </row>
    <row r="337" spans="1:5" x14ac:dyDescent="0.25">
      <c r="A337" s="95">
        <f>'Site Data'!B339</f>
        <v>0</v>
      </c>
      <c r="B337">
        <f>'Site Data'!D339</f>
        <v>0</v>
      </c>
      <c r="C337">
        <f>'Site Data'!E339</f>
        <v>0</v>
      </c>
      <c r="D337" s="97">
        <f t="shared" si="12"/>
        <v>0</v>
      </c>
      <c r="E337" s="98" t="str">
        <f t="shared" si="13"/>
        <v>Error</v>
      </c>
    </row>
    <row r="338" spans="1:5" x14ac:dyDescent="0.25">
      <c r="A338" s="95">
        <f>'Site Data'!B340</f>
        <v>0</v>
      </c>
      <c r="B338">
        <f>'Site Data'!D340</f>
        <v>0</v>
      </c>
      <c r="C338">
        <f>'Site Data'!E340</f>
        <v>0</v>
      </c>
      <c r="D338" s="97">
        <f t="shared" si="12"/>
        <v>0</v>
      </c>
      <c r="E338" s="98" t="str">
        <f t="shared" si="13"/>
        <v>Error</v>
      </c>
    </row>
    <row r="339" spans="1:5" x14ac:dyDescent="0.25">
      <c r="A339" s="95">
        <f>'Site Data'!B341</f>
        <v>0</v>
      </c>
      <c r="B339">
        <f>'Site Data'!D341</f>
        <v>0</v>
      </c>
      <c r="C339">
        <f>'Site Data'!E341</f>
        <v>0</v>
      </c>
      <c r="D339" s="97">
        <f t="shared" si="12"/>
        <v>0</v>
      </c>
      <c r="E339" s="98" t="str">
        <f t="shared" si="13"/>
        <v>Error</v>
      </c>
    </row>
    <row r="340" spans="1:5" x14ac:dyDescent="0.25">
      <c r="A340" s="95">
        <f>'Site Data'!B342</f>
        <v>0</v>
      </c>
      <c r="B340">
        <f>'Site Data'!D342</f>
        <v>0</v>
      </c>
      <c r="C340">
        <f>'Site Data'!E342</f>
        <v>0</v>
      </c>
      <c r="D340" s="97">
        <f t="shared" si="12"/>
        <v>0</v>
      </c>
      <c r="E340" s="98" t="str">
        <f t="shared" si="13"/>
        <v>Error</v>
      </c>
    </row>
    <row r="341" spans="1:5" x14ac:dyDescent="0.25">
      <c r="A341" s="95">
        <f>'Site Data'!B343</f>
        <v>0</v>
      </c>
      <c r="B341">
        <f>'Site Data'!D343</f>
        <v>0</v>
      </c>
      <c r="C341">
        <f>'Site Data'!E343</f>
        <v>0</v>
      </c>
      <c r="D341" s="97">
        <f t="shared" si="12"/>
        <v>0</v>
      </c>
      <c r="E341" s="98" t="str">
        <f t="shared" si="13"/>
        <v>Error</v>
      </c>
    </row>
    <row r="342" spans="1:5" x14ac:dyDescent="0.25">
      <c r="A342" s="95">
        <f>'Site Data'!B344</f>
        <v>0</v>
      </c>
      <c r="B342">
        <f>'Site Data'!D344</f>
        <v>0</v>
      </c>
      <c r="C342">
        <f>'Site Data'!E344</f>
        <v>0</v>
      </c>
      <c r="D342" s="97">
        <f t="shared" si="12"/>
        <v>0</v>
      </c>
      <c r="E342" s="98" t="str">
        <f t="shared" si="13"/>
        <v>Error</v>
      </c>
    </row>
    <row r="343" spans="1:5" x14ac:dyDescent="0.25">
      <c r="A343" s="95">
        <f>'Site Data'!B345</f>
        <v>0</v>
      </c>
      <c r="B343">
        <f>'Site Data'!D345</f>
        <v>0</v>
      </c>
      <c r="C343">
        <f>'Site Data'!E345</f>
        <v>0</v>
      </c>
      <c r="D343" s="97">
        <f t="shared" si="12"/>
        <v>0</v>
      </c>
      <c r="E343" s="98" t="str">
        <f t="shared" si="13"/>
        <v>Error</v>
      </c>
    </row>
    <row r="344" spans="1:5" x14ac:dyDescent="0.25">
      <c r="A344" s="95">
        <f>'Site Data'!B346</f>
        <v>0</v>
      </c>
      <c r="B344">
        <f>'Site Data'!D346</f>
        <v>0</v>
      </c>
      <c r="C344">
        <f>'Site Data'!E346</f>
        <v>0</v>
      </c>
      <c r="D344" s="97">
        <f t="shared" si="12"/>
        <v>0</v>
      </c>
      <c r="E344" s="98" t="str">
        <f t="shared" si="13"/>
        <v>Error</v>
      </c>
    </row>
    <row r="345" spans="1:5" x14ac:dyDescent="0.25">
      <c r="A345" s="95">
        <f>'Site Data'!B347</f>
        <v>0</v>
      </c>
      <c r="B345">
        <f>'Site Data'!D347</f>
        <v>0</v>
      </c>
      <c r="C345">
        <f>'Site Data'!E347</f>
        <v>0</v>
      </c>
      <c r="D345" s="97">
        <f t="shared" si="12"/>
        <v>0</v>
      </c>
      <c r="E345" s="98" t="str">
        <f t="shared" si="13"/>
        <v>Error</v>
      </c>
    </row>
    <row r="346" spans="1:5" x14ac:dyDescent="0.25">
      <c r="A346" s="95">
        <f>'Site Data'!B348</f>
        <v>0</v>
      </c>
      <c r="B346">
        <f>'Site Data'!D348</f>
        <v>0</v>
      </c>
      <c r="C346">
        <f>'Site Data'!E348</f>
        <v>0</v>
      </c>
      <c r="D346" s="97">
        <f t="shared" si="12"/>
        <v>0</v>
      </c>
      <c r="E346" s="98" t="str">
        <f t="shared" si="13"/>
        <v>Error</v>
      </c>
    </row>
    <row r="347" spans="1:5" x14ac:dyDescent="0.25">
      <c r="A347" s="95">
        <f>'Site Data'!B349</f>
        <v>0</v>
      </c>
      <c r="B347">
        <f>'Site Data'!D349</f>
        <v>0</v>
      </c>
      <c r="C347">
        <f>'Site Data'!E349</f>
        <v>0</v>
      </c>
      <c r="D347" s="97">
        <f t="shared" si="12"/>
        <v>0</v>
      </c>
      <c r="E347" s="98" t="str">
        <f t="shared" si="13"/>
        <v>Error</v>
      </c>
    </row>
    <row r="348" spans="1:5" x14ac:dyDescent="0.25">
      <c r="A348" s="95">
        <f>'Site Data'!B350</f>
        <v>0</v>
      </c>
      <c r="B348">
        <f>'Site Data'!D350</f>
        <v>0</v>
      </c>
      <c r="C348">
        <f>'Site Data'!E350</f>
        <v>0</v>
      </c>
      <c r="D348" s="97">
        <f t="shared" si="12"/>
        <v>0</v>
      </c>
      <c r="E348" s="98" t="str">
        <f t="shared" si="13"/>
        <v>Error</v>
      </c>
    </row>
    <row r="349" spans="1:5" x14ac:dyDescent="0.25">
      <c r="A349" s="95">
        <f>'Site Data'!B351</f>
        <v>0</v>
      </c>
      <c r="B349">
        <f>'Site Data'!D351</f>
        <v>0</v>
      </c>
      <c r="C349">
        <f>'Site Data'!E351</f>
        <v>0</v>
      </c>
      <c r="D349" s="97">
        <f t="shared" si="12"/>
        <v>0</v>
      </c>
      <c r="E349" s="98" t="str">
        <f t="shared" si="13"/>
        <v>Error</v>
      </c>
    </row>
    <row r="350" spans="1:5" x14ac:dyDescent="0.25">
      <c r="A350" s="95">
        <f>'Site Data'!B352</f>
        <v>0</v>
      </c>
      <c r="B350">
        <f>'Site Data'!D352</f>
        <v>0</v>
      </c>
      <c r="C350">
        <f>'Site Data'!E352</f>
        <v>0</v>
      </c>
      <c r="D350" s="97">
        <f t="shared" si="12"/>
        <v>0</v>
      </c>
      <c r="E350" s="98" t="str">
        <f t="shared" si="13"/>
        <v>Error</v>
      </c>
    </row>
    <row r="351" spans="1:5" x14ac:dyDescent="0.25">
      <c r="A351" s="95">
        <f>'Site Data'!B353</f>
        <v>0</v>
      </c>
      <c r="B351">
        <f>'Site Data'!D353</f>
        <v>0</v>
      </c>
      <c r="C351">
        <f>'Site Data'!E353</f>
        <v>0</v>
      </c>
      <c r="D351" s="97">
        <f t="shared" si="12"/>
        <v>0</v>
      </c>
      <c r="E351" s="98" t="str">
        <f t="shared" si="13"/>
        <v>Error</v>
      </c>
    </row>
    <row r="352" spans="1:5" x14ac:dyDescent="0.25">
      <c r="A352" s="95">
        <f>'Site Data'!B354</f>
        <v>0</v>
      </c>
      <c r="B352">
        <f>'Site Data'!D354</f>
        <v>0</v>
      </c>
      <c r="C352">
        <f>'Site Data'!E354</f>
        <v>0</v>
      </c>
      <c r="D352" s="97">
        <f t="shared" si="12"/>
        <v>0</v>
      </c>
      <c r="E352" s="98" t="str">
        <f t="shared" si="13"/>
        <v>Error</v>
      </c>
    </row>
    <row r="353" spans="1:5" x14ac:dyDescent="0.25">
      <c r="A353" s="95">
        <f>'Site Data'!B355</f>
        <v>0</v>
      </c>
      <c r="B353">
        <f>'Site Data'!D355</f>
        <v>0</v>
      </c>
      <c r="C353">
        <f>'Site Data'!E355</f>
        <v>0</v>
      </c>
      <c r="D353" s="97">
        <f t="shared" si="12"/>
        <v>0</v>
      </c>
      <c r="E353" s="98" t="str">
        <f t="shared" si="13"/>
        <v>Error</v>
      </c>
    </row>
    <row r="354" spans="1:5" x14ac:dyDescent="0.25">
      <c r="A354" s="95">
        <f>'Site Data'!B356</f>
        <v>0</v>
      </c>
      <c r="B354">
        <f>'Site Data'!D356</f>
        <v>0</v>
      </c>
      <c r="C354">
        <f>'Site Data'!E356</f>
        <v>0</v>
      </c>
      <c r="D354" s="97">
        <f t="shared" si="12"/>
        <v>0</v>
      </c>
      <c r="E354" s="98" t="str">
        <f t="shared" si="13"/>
        <v>Error</v>
      </c>
    </row>
    <row r="355" spans="1:5" x14ac:dyDescent="0.25">
      <c r="A355" s="95">
        <f>'Site Data'!B357</f>
        <v>0</v>
      </c>
      <c r="B355">
        <f>'Site Data'!D357</f>
        <v>0</v>
      </c>
      <c r="C355">
        <f>'Site Data'!E357</f>
        <v>0</v>
      </c>
      <c r="D355" s="97">
        <f t="shared" si="12"/>
        <v>0</v>
      </c>
      <c r="E355" s="98" t="str">
        <f t="shared" si="13"/>
        <v>Error</v>
      </c>
    </row>
    <row r="356" spans="1:5" x14ac:dyDescent="0.25">
      <c r="A356" s="95">
        <f>'Site Data'!B358</f>
        <v>0</v>
      </c>
      <c r="B356">
        <f>'Site Data'!D358</f>
        <v>0</v>
      </c>
      <c r="C356">
        <f>'Site Data'!E358</f>
        <v>0</v>
      </c>
      <c r="D356" s="97">
        <f t="shared" si="12"/>
        <v>0</v>
      </c>
      <c r="E356" s="98" t="str">
        <f t="shared" si="13"/>
        <v>Error</v>
      </c>
    </row>
    <row r="357" spans="1:5" x14ac:dyDescent="0.25">
      <c r="A357" s="95">
        <f>'Site Data'!B359</f>
        <v>0</v>
      </c>
      <c r="B357">
        <f>'Site Data'!D359</f>
        <v>0</v>
      </c>
      <c r="C357">
        <f>'Site Data'!E359</f>
        <v>0</v>
      </c>
      <c r="D357" s="97">
        <f t="shared" si="12"/>
        <v>0</v>
      </c>
      <c r="E357" s="98" t="str">
        <f t="shared" si="13"/>
        <v>Error</v>
      </c>
    </row>
    <row r="358" spans="1:5" x14ac:dyDescent="0.25">
      <c r="A358" s="95">
        <f>'Site Data'!B360</f>
        <v>0</v>
      </c>
      <c r="B358">
        <f>'Site Data'!D360</f>
        <v>0</v>
      </c>
      <c r="C358">
        <f>'Site Data'!E360</f>
        <v>0</v>
      </c>
      <c r="D358" s="97">
        <f t="shared" si="12"/>
        <v>0</v>
      </c>
      <c r="E358" s="98" t="str">
        <f t="shared" si="13"/>
        <v>Error</v>
      </c>
    </row>
    <row r="359" spans="1:5" x14ac:dyDescent="0.25">
      <c r="A359" s="95">
        <f>'Site Data'!B361</f>
        <v>0</v>
      </c>
      <c r="B359">
        <f>'Site Data'!D361</f>
        <v>0</v>
      </c>
      <c r="C359">
        <f>'Site Data'!E361</f>
        <v>0</v>
      </c>
      <c r="D359" s="97">
        <f t="shared" si="12"/>
        <v>0</v>
      </c>
      <c r="E359" s="98" t="str">
        <f t="shared" si="13"/>
        <v>Error</v>
      </c>
    </row>
    <row r="360" spans="1:5" x14ac:dyDescent="0.25">
      <c r="A360" s="95">
        <f>'Site Data'!B362</f>
        <v>0</v>
      </c>
      <c r="B360">
        <f>'Site Data'!D362</f>
        <v>0</v>
      </c>
      <c r="C360">
        <f>'Site Data'!E362</f>
        <v>0</v>
      </c>
      <c r="D360" s="97">
        <f t="shared" si="12"/>
        <v>0</v>
      </c>
      <c r="E360" s="98" t="str">
        <f t="shared" si="13"/>
        <v>Error</v>
      </c>
    </row>
    <row r="361" spans="1:5" x14ac:dyDescent="0.25">
      <c r="A361" s="95">
        <f>'Site Data'!B363</f>
        <v>0</v>
      </c>
      <c r="B361">
        <f>'Site Data'!D363</f>
        <v>0</v>
      </c>
      <c r="C361">
        <f>'Site Data'!E363</f>
        <v>0</v>
      </c>
      <c r="D361" s="97">
        <f t="shared" si="12"/>
        <v>0</v>
      </c>
      <c r="E361" s="98" t="str">
        <f t="shared" si="13"/>
        <v>Error</v>
      </c>
    </row>
    <row r="362" spans="1:5" x14ac:dyDescent="0.25">
      <c r="A362" s="95">
        <f>'Site Data'!B364</f>
        <v>0</v>
      </c>
      <c r="B362">
        <f>'Site Data'!D364</f>
        <v>0</v>
      </c>
      <c r="C362">
        <f>'Site Data'!E364</f>
        <v>0</v>
      </c>
      <c r="D362" s="97">
        <f t="shared" si="12"/>
        <v>0</v>
      </c>
      <c r="E362" s="98" t="str">
        <f t="shared" si="13"/>
        <v>Error</v>
      </c>
    </row>
    <row r="363" spans="1:5" x14ac:dyDescent="0.25">
      <c r="A363" s="95">
        <f>'Site Data'!B365</f>
        <v>0</v>
      </c>
      <c r="B363">
        <f>'Site Data'!D365</f>
        <v>0</v>
      </c>
      <c r="C363">
        <f>'Site Data'!E365</f>
        <v>0</v>
      </c>
      <c r="D363" s="97">
        <f t="shared" si="12"/>
        <v>0</v>
      </c>
      <c r="E363" s="98" t="str">
        <f t="shared" si="13"/>
        <v>Error</v>
      </c>
    </row>
    <row r="364" spans="1:5" x14ac:dyDescent="0.25">
      <c r="A364" s="95">
        <f>'Site Data'!B366</f>
        <v>0</v>
      </c>
      <c r="B364">
        <f>'Site Data'!D366</f>
        <v>0</v>
      </c>
      <c r="C364">
        <f>'Site Data'!E366</f>
        <v>0</v>
      </c>
      <c r="D364" s="97">
        <f t="shared" si="12"/>
        <v>0</v>
      </c>
      <c r="E364" s="98" t="str">
        <f t="shared" si="13"/>
        <v>Error</v>
      </c>
    </row>
    <row r="365" spans="1:5" x14ac:dyDescent="0.25">
      <c r="A365" s="95">
        <f>'Site Data'!B367</f>
        <v>0</v>
      </c>
      <c r="B365">
        <f>'Site Data'!D367</f>
        <v>0</v>
      </c>
      <c r="C365">
        <f>'Site Data'!E367</f>
        <v>0</v>
      </c>
      <c r="D365" s="97">
        <f t="shared" si="12"/>
        <v>0</v>
      </c>
      <c r="E365" s="98" t="str">
        <f t="shared" si="13"/>
        <v>Error</v>
      </c>
    </row>
    <row r="366" spans="1:5" x14ac:dyDescent="0.25">
      <c r="A366" s="95">
        <f>'Site Data'!B368</f>
        <v>0</v>
      </c>
      <c r="B366">
        <f>'Site Data'!D368</f>
        <v>0</v>
      </c>
      <c r="C366">
        <f>'Site Data'!E368</f>
        <v>0</v>
      </c>
      <c r="D366" s="97">
        <f t="shared" si="12"/>
        <v>0</v>
      </c>
      <c r="E366" s="98" t="str">
        <f t="shared" si="13"/>
        <v>Error</v>
      </c>
    </row>
    <row r="367" spans="1:5" x14ac:dyDescent="0.25">
      <c r="A367" s="95">
        <f>'Site Data'!B369</f>
        <v>0</v>
      </c>
      <c r="B367">
        <f>'Site Data'!D369</f>
        <v>0</v>
      </c>
      <c r="C367">
        <f>'Site Data'!E369</f>
        <v>0</v>
      </c>
      <c r="D367" s="97">
        <f t="shared" si="12"/>
        <v>0</v>
      </c>
      <c r="E367" s="98" t="str">
        <f t="shared" si="13"/>
        <v>Error</v>
      </c>
    </row>
    <row r="368" spans="1:5" x14ac:dyDescent="0.25">
      <c r="A368" s="95">
        <f>'Site Data'!B370</f>
        <v>0</v>
      </c>
      <c r="B368">
        <f>'Site Data'!D370</f>
        <v>0</v>
      </c>
      <c r="C368">
        <f>'Site Data'!E370</f>
        <v>0</v>
      </c>
      <c r="D368" s="97">
        <f t="shared" si="12"/>
        <v>0</v>
      </c>
      <c r="E368" s="98" t="str">
        <f t="shared" si="13"/>
        <v>Error</v>
      </c>
    </row>
    <row r="369" spans="1:5" x14ac:dyDescent="0.25">
      <c r="A369" s="95">
        <f>'Site Data'!B371</f>
        <v>0</v>
      </c>
      <c r="B369">
        <f>'Site Data'!D371</f>
        <v>0</v>
      </c>
      <c r="C369">
        <f>'Site Data'!E371</f>
        <v>0</v>
      </c>
      <c r="D369" s="97">
        <f t="shared" si="12"/>
        <v>0</v>
      </c>
      <c r="E369" s="98" t="str">
        <f t="shared" si="13"/>
        <v>Error</v>
      </c>
    </row>
    <row r="370" spans="1:5" x14ac:dyDescent="0.25">
      <c r="A370" s="95">
        <f>'Site Data'!B372</f>
        <v>0</v>
      </c>
      <c r="B370">
        <f>'Site Data'!D372</f>
        <v>0</v>
      </c>
      <c r="C370">
        <f>'Site Data'!E372</f>
        <v>0</v>
      </c>
      <c r="D370" s="97">
        <f t="shared" si="12"/>
        <v>0</v>
      </c>
      <c r="E370" s="98" t="str">
        <f t="shared" si="13"/>
        <v>Error</v>
      </c>
    </row>
    <row r="371" spans="1:5" x14ac:dyDescent="0.25">
      <c r="A371" s="95">
        <f>'Site Data'!B373</f>
        <v>0</v>
      </c>
      <c r="B371">
        <f>'Site Data'!D373</f>
        <v>0</v>
      </c>
      <c r="C371">
        <f>'Site Data'!E373</f>
        <v>0</v>
      </c>
      <c r="D371" s="97">
        <f t="shared" si="12"/>
        <v>0</v>
      </c>
      <c r="E371" s="98" t="str">
        <f t="shared" si="13"/>
        <v>Error</v>
      </c>
    </row>
    <row r="372" spans="1:5" x14ac:dyDescent="0.25">
      <c r="A372" s="95">
        <f>'Site Data'!B374</f>
        <v>0</v>
      </c>
      <c r="B372">
        <f>'Site Data'!D374</f>
        <v>0</v>
      </c>
      <c r="C372">
        <f>'Site Data'!E374</f>
        <v>0</v>
      </c>
      <c r="D372" s="97">
        <f t="shared" si="12"/>
        <v>0</v>
      </c>
      <c r="E372" s="98" t="str">
        <f t="shared" si="13"/>
        <v>Error</v>
      </c>
    </row>
    <row r="373" spans="1:5" x14ac:dyDescent="0.25">
      <c r="A373" s="95">
        <f>'Site Data'!B375</f>
        <v>0</v>
      </c>
      <c r="B373">
        <f>'Site Data'!D375</f>
        <v>0</v>
      </c>
      <c r="C373">
        <f>'Site Data'!E375</f>
        <v>0</v>
      </c>
      <c r="D373" s="97">
        <f t="shared" si="12"/>
        <v>0</v>
      </c>
      <c r="E373" s="98" t="str">
        <f t="shared" si="13"/>
        <v>Error</v>
      </c>
    </row>
    <row r="374" spans="1:5" x14ac:dyDescent="0.25">
      <c r="A374" s="95">
        <f>'Site Data'!B376</f>
        <v>0</v>
      </c>
      <c r="B374">
        <f>'Site Data'!D376</f>
        <v>0</v>
      </c>
      <c r="C374">
        <f>'Site Data'!E376</f>
        <v>0</v>
      </c>
      <c r="D374" s="97">
        <f t="shared" si="12"/>
        <v>0</v>
      </c>
      <c r="E374" s="98" t="str">
        <f t="shared" si="13"/>
        <v>Error</v>
      </c>
    </row>
    <row r="375" spans="1:5" x14ac:dyDescent="0.25">
      <c r="A375" s="95">
        <f>'Site Data'!B377</f>
        <v>0</v>
      </c>
      <c r="B375">
        <f>'Site Data'!D377</f>
        <v>0</v>
      </c>
      <c r="C375">
        <f>'Site Data'!E377</f>
        <v>0</v>
      </c>
      <c r="D375" s="97">
        <f t="shared" si="12"/>
        <v>0</v>
      </c>
      <c r="E375" s="98" t="str">
        <f t="shared" si="13"/>
        <v>Error</v>
      </c>
    </row>
    <row r="376" spans="1:5" x14ac:dyDescent="0.25">
      <c r="A376" s="95">
        <f>'Site Data'!B378</f>
        <v>0</v>
      </c>
      <c r="B376">
        <f>'Site Data'!D378</f>
        <v>0</v>
      </c>
      <c r="C376">
        <f>'Site Data'!E378</f>
        <v>0</v>
      </c>
      <c r="D376" s="97">
        <f t="shared" si="12"/>
        <v>0</v>
      </c>
      <c r="E376" s="98" t="str">
        <f t="shared" si="13"/>
        <v>Error</v>
      </c>
    </row>
    <row r="377" spans="1:5" x14ac:dyDescent="0.25">
      <c r="A377" s="95">
        <f>'Site Data'!B379</f>
        <v>0</v>
      </c>
      <c r="B377">
        <f>'Site Data'!D379</f>
        <v>0</v>
      </c>
      <c r="C377">
        <f>'Site Data'!E379</f>
        <v>0</v>
      </c>
      <c r="D377" s="97">
        <f t="shared" si="12"/>
        <v>0</v>
      </c>
      <c r="E377" s="98" t="str">
        <f t="shared" si="13"/>
        <v>Error</v>
      </c>
    </row>
    <row r="378" spans="1:5" x14ac:dyDescent="0.25">
      <c r="A378" s="95">
        <f>'Site Data'!B380</f>
        <v>0</v>
      </c>
      <c r="B378">
        <f>'Site Data'!D380</f>
        <v>0</v>
      </c>
      <c r="C378">
        <f>'Site Data'!E380</f>
        <v>0</v>
      </c>
      <c r="D378" s="97">
        <f t="shared" si="12"/>
        <v>0</v>
      </c>
      <c r="E378" s="98" t="str">
        <f t="shared" si="13"/>
        <v>Error</v>
      </c>
    </row>
    <row r="379" spans="1:5" x14ac:dyDescent="0.25">
      <c r="A379" s="95">
        <f>'Site Data'!B381</f>
        <v>0</v>
      </c>
      <c r="B379">
        <f>'Site Data'!D381</f>
        <v>0</v>
      </c>
      <c r="C379">
        <f>'Site Data'!E381</f>
        <v>0</v>
      </c>
      <c r="D379" s="97">
        <f t="shared" si="12"/>
        <v>0</v>
      </c>
      <c r="E379" s="98" t="str">
        <f t="shared" si="13"/>
        <v>Error</v>
      </c>
    </row>
    <row r="380" spans="1:5" x14ac:dyDescent="0.25">
      <c r="A380" s="95">
        <f>'Site Data'!B382</f>
        <v>0</v>
      </c>
      <c r="B380">
        <f>'Site Data'!D382</f>
        <v>0</v>
      </c>
      <c r="C380">
        <f>'Site Data'!E382</f>
        <v>0</v>
      </c>
      <c r="D380" s="97">
        <f t="shared" si="12"/>
        <v>0</v>
      </c>
      <c r="E380" s="98" t="str">
        <f t="shared" si="13"/>
        <v>Error</v>
      </c>
    </row>
    <row r="381" spans="1:5" x14ac:dyDescent="0.25">
      <c r="A381" s="95">
        <f>'Site Data'!B383</f>
        <v>0</v>
      </c>
      <c r="B381">
        <f>'Site Data'!D383</f>
        <v>0</v>
      </c>
      <c r="C381">
        <f>'Site Data'!E383</f>
        <v>0</v>
      </c>
      <c r="D381" s="97">
        <f t="shared" si="12"/>
        <v>0</v>
      </c>
      <c r="E381" s="98" t="str">
        <f t="shared" si="13"/>
        <v>Error</v>
      </c>
    </row>
    <row r="382" spans="1:5" x14ac:dyDescent="0.25">
      <c r="A382" s="95">
        <f>'Site Data'!B384</f>
        <v>0</v>
      </c>
      <c r="B382">
        <f>'Site Data'!D384</f>
        <v>0</v>
      </c>
      <c r="C382">
        <f>'Site Data'!E384</f>
        <v>0</v>
      </c>
      <c r="D382" s="97">
        <f t="shared" si="12"/>
        <v>0</v>
      </c>
      <c r="E382" s="98" t="str">
        <f t="shared" si="13"/>
        <v>Error</v>
      </c>
    </row>
    <row r="383" spans="1:5" x14ac:dyDescent="0.25">
      <c r="A383" s="95">
        <f>'Site Data'!B385</f>
        <v>0</v>
      </c>
      <c r="B383">
        <f>'Site Data'!D385</f>
        <v>0</v>
      </c>
      <c r="C383">
        <f>'Site Data'!E385</f>
        <v>0</v>
      </c>
      <c r="D383" s="97">
        <f t="shared" si="12"/>
        <v>0</v>
      </c>
      <c r="E383" s="98" t="str">
        <f t="shared" si="13"/>
        <v>Error</v>
      </c>
    </row>
    <row r="384" spans="1:5" x14ac:dyDescent="0.25">
      <c r="A384" s="95">
        <f>'Site Data'!B386</f>
        <v>0</v>
      </c>
      <c r="B384">
        <f>'Site Data'!D386</f>
        <v>0</v>
      </c>
      <c r="C384">
        <f>'Site Data'!E386</f>
        <v>0</v>
      </c>
      <c r="D384" s="97">
        <f t="shared" si="12"/>
        <v>0</v>
      </c>
      <c r="E384" s="98" t="str">
        <f t="shared" si="13"/>
        <v>Error</v>
      </c>
    </row>
    <row r="385" spans="1:5" x14ac:dyDescent="0.25">
      <c r="A385" s="95">
        <f>'Site Data'!B387</f>
        <v>0</v>
      </c>
      <c r="B385">
        <f>'Site Data'!D387</f>
        <v>0</v>
      </c>
      <c r="C385">
        <f>'Site Data'!E387</f>
        <v>0</v>
      </c>
      <c r="D385" s="97">
        <f t="shared" si="12"/>
        <v>0</v>
      </c>
      <c r="E385" s="98" t="str">
        <f t="shared" si="13"/>
        <v>Error</v>
      </c>
    </row>
    <row r="386" spans="1:5" x14ac:dyDescent="0.25">
      <c r="A386" s="95">
        <f>'Site Data'!B388</f>
        <v>0</v>
      </c>
      <c r="B386">
        <f>'Site Data'!D388</f>
        <v>0</v>
      </c>
      <c r="C386">
        <f>'Site Data'!E388</f>
        <v>0</v>
      </c>
      <c r="D386" s="97">
        <f t="shared" ref="D386:D449" si="14">B386-C386</f>
        <v>0</v>
      </c>
      <c r="E386" s="98" t="str">
        <f t="shared" ref="E386:E449" si="15">IF(AND(D386 &gt;= 50, D386 &lt;= 60), "Valid", "Error")</f>
        <v>Error</v>
      </c>
    </row>
    <row r="387" spans="1:5" x14ac:dyDescent="0.25">
      <c r="A387" s="95">
        <f>'Site Data'!B389</f>
        <v>0</v>
      </c>
      <c r="B387">
        <f>'Site Data'!D389</f>
        <v>0</v>
      </c>
      <c r="C387">
        <f>'Site Data'!E389</f>
        <v>0</v>
      </c>
      <c r="D387" s="97">
        <f t="shared" si="14"/>
        <v>0</v>
      </c>
      <c r="E387" s="98" t="str">
        <f t="shared" si="15"/>
        <v>Error</v>
      </c>
    </row>
    <row r="388" spans="1:5" x14ac:dyDescent="0.25">
      <c r="A388" s="95">
        <f>'Site Data'!B390</f>
        <v>0</v>
      </c>
      <c r="B388">
        <f>'Site Data'!D390</f>
        <v>0</v>
      </c>
      <c r="C388">
        <f>'Site Data'!E390</f>
        <v>0</v>
      </c>
      <c r="D388" s="97">
        <f t="shared" si="14"/>
        <v>0</v>
      </c>
      <c r="E388" s="98" t="str">
        <f t="shared" si="15"/>
        <v>Error</v>
      </c>
    </row>
    <row r="389" spans="1:5" x14ac:dyDescent="0.25">
      <c r="A389" s="95">
        <f>'Site Data'!B391</f>
        <v>0</v>
      </c>
      <c r="B389">
        <f>'Site Data'!D391</f>
        <v>0</v>
      </c>
      <c r="C389">
        <f>'Site Data'!E391</f>
        <v>0</v>
      </c>
      <c r="D389" s="97">
        <f t="shared" si="14"/>
        <v>0</v>
      </c>
      <c r="E389" s="98" t="str">
        <f t="shared" si="15"/>
        <v>Error</v>
      </c>
    </row>
    <row r="390" spans="1:5" x14ac:dyDescent="0.25">
      <c r="A390" s="95">
        <f>'Site Data'!B392</f>
        <v>0</v>
      </c>
      <c r="B390">
        <f>'Site Data'!D392</f>
        <v>0</v>
      </c>
      <c r="C390">
        <f>'Site Data'!E392</f>
        <v>0</v>
      </c>
      <c r="D390" s="97">
        <f t="shared" si="14"/>
        <v>0</v>
      </c>
      <c r="E390" s="98" t="str">
        <f t="shared" si="15"/>
        <v>Error</v>
      </c>
    </row>
    <row r="391" spans="1:5" x14ac:dyDescent="0.25">
      <c r="A391" s="95">
        <f>'Site Data'!B393</f>
        <v>0</v>
      </c>
      <c r="B391">
        <f>'Site Data'!D393</f>
        <v>0</v>
      </c>
      <c r="C391">
        <f>'Site Data'!E393</f>
        <v>0</v>
      </c>
      <c r="D391" s="97">
        <f t="shared" si="14"/>
        <v>0</v>
      </c>
      <c r="E391" s="98" t="str">
        <f t="shared" si="15"/>
        <v>Error</v>
      </c>
    </row>
    <row r="392" spans="1:5" x14ac:dyDescent="0.25">
      <c r="A392" s="95">
        <f>'Site Data'!B394</f>
        <v>0</v>
      </c>
      <c r="B392">
        <f>'Site Data'!D394</f>
        <v>0</v>
      </c>
      <c r="C392">
        <f>'Site Data'!E394</f>
        <v>0</v>
      </c>
      <c r="D392" s="97">
        <f t="shared" si="14"/>
        <v>0</v>
      </c>
      <c r="E392" s="98" t="str">
        <f t="shared" si="15"/>
        <v>Error</v>
      </c>
    </row>
    <row r="393" spans="1:5" x14ac:dyDescent="0.25">
      <c r="A393" s="95">
        <f>'Site Data'!B395</f>
        <v>0</v>
      </c>
      <c r="B393">
        <f>'Site Data'!D395</f>
        <v>0</v>
      </c>
      <c r="C393">
        <f>'Site Data'!E395</f>
        <v>0</v>
      </c>
      <c r="D393" s="97">
        <f t="shared" si="14"/>
        <v>0</v>
      </c>
      <c r="E393" s="98" t="str">
        <f t="shared" si="15"/>
        <v>Error</v>
      </c>
    </row>
    <row r="394" spans="1:5" x14ac:dyDescent="0.25">
      <c r="A394" s="95">
        <f>'Site Data'!B396</f>
        <v>0</v>
      </c>
      <c r="B394">
        <f>'Site Data'!D396</f>
        <v>0</v>
      </c>
      <c r="C394">
        <f>'Site Data'!E396</f>
        <v>0</v>
      </c>
      <c r="D394" s="97">
        <f t="shared" si="14"/>
        <v>0</v>
      </c>
      <c r="E394" s="98" t="str">
        <f t="shared" si="15"/>
        <v>Error</v>
      </c>
    </row>
    <row r="395" spans="1:5" x14ac:dyDescent="0.25">
      <c r="A395" s="95">
        <f>'Site Data'!B397</f>
        <v>0</v>
      </c>
      <c r="B395">
        <f>'Site Data'!D397</f>
        <v>0</v>
      </c>
      <c r="C395">
        <f>'Site Data'!E397</f>
        <v>0</v>
      </c>
      <c r="D395" s="97">
        <f t="shared" si="14"/>
        <v>0</v>
      </c>
      <c r="E395" s="98" t="str">
        <f t="shared" si="15"/>
        <v>Error</v>
      </c>
    </row>
    <row r="396" spans="1:5" x14ac:dyDescent="0.25">
      <c r="A396" s="95">
        <f>'Site Data'!B398</f>
        <v>0</v>
      </c>
      <c r="B396">
        <f>'Site Data'!D398</f>
        <v>0</v>
      </c>
      <c r="C396">
        <f>'Site Data'!E398</f>
        <v>0</v>
      </c>
      <c r="D396" s="97">
        <f t="shared" si="14"/>
        <v>0</v>
      </c>
      <c r="E396" s="98" t="str">
        <f t="shared" si="15"/>
        <v>Error</v>
      </c>
    </row>
    <row r="397" spans="1:5" x14ac:dyDescent="0.25">
      <c r="A397" s="95">
        <f>'Site Data'!B399</f>
        <v>0</v>
      </c>
      <c r="B397">
        <f>'Site Data'!D399</f>
        <v>0</v>
      </c>
      <c r="C397">
        <f>'Site Data'!E399</f>
        <v>0</v>
      </c>
      <c r="D397" s="97">
        <f t="shared" si="14"/>
        <v>0</v>
      </c>
      <c r="E397" s="98" t="str">
        <f t="shared" si="15"/>
        <v>Error</v>
      </c>
    </row>
    <row r="398" spans="1:5" x14ac:dyDescent="0.25">
      <c r="A398" s="95">
        <f>'Site Data'!B400</f>
        <v>0</v>
      </c>
      <c r="B398">
        <f>'Site Data'!D400</f>
        <v>0</v>
      </c>
      <c r="C398">
        <f>'Site Data'!E400</f>
        <v>0</v>
      </c>
      <c r="D398" s="97">
        <f t="shared" si="14"/>
        <v>0</v>
      </c>
      <c r="E398" s="98" t="str">
        <f t="shared" si="15"/>
        <v>Error</v>
      </c>
    </row>
    <row r="399" spans="1:5" x14ac:dyDescent="0.25">
      <c r="A399" s="95">
        <f>'Site Data'!B401</f>
        <v>0</v>
      </c>
      <c r="B399">
        <f>'Site Data'!D401</f>
        <v>0</v>
      </c>
      <c r="C399">
        <f>'Site Data'!E401</f>
        <v>0</v>
      </c>
      <c r="D399" s="97">
        <f t="shared" si="14"/>
        <v>0</v>
      </c>
      <c r="E399" s="98" t="str">
        <f t="shared" si="15"/>
        <v>Error</v>
      </c>
    </row>
    <row r="400" spans="1:5" x14ac:dyDescent="0.25">
      <c r="A400" s="95">
        <f>'Site Data'!B402</f>
        <v>0</v>
      </c>
      <c r="B400">
        <f>'Site Data'!D402</f>
        <v>0</v>
      </c>
      <c r="C400">
        <f>'Site Data'!E402</f>
        <v>0</v>
      </c>
      <c r="D400" s="97">
        <f t="shared" si="14"/>
        <v>0</v>
      </c>
      <c r="E400" s="98" t="str">
        <f t="shared" si="15"/>
        <v>Error</v>
      </c>
    </row>
    <row r="401" spans="1:5" x14ac:dyDescent="0.25">
      <c r="A401" s="95">
        <f>'Site Data'!B403</f>
        <v>0</v>
      </c>
      <c r="B401">
        <f>'Site Data'!D403</f>
        <v>0</v>
      </c>
      <c r="C401">
        <f>'Site Data'!E403</f>
        <v>0</v>
      </c>
      <c r="D401" s="97">
        <f t="shared" si="14"/>
        <v>0</v>
      </c>
      <c r="E401" s="98" t="str">
        <f t="shared" si="15"/>
        <v>Error</v>
      </c>
    </row>
    <row r="402" spans="1:5" x14ac:dyDescent="0.25">
      <c r="A402" s="95">
        <f>'Site Data'!B404</f>
        <v>0</v>
      </c>
      <c r="B402">
        <f>'Site Data'!D404</f>
        <v>0</v>
      </c>
      <c r="C402">
        <f>'Site Data'!E404</f>
        <v>0</v>
      </c>
      <c r="D402" s="97">
        <f t="shared" si="14"/>
        <v>0</v>
      </c>
      <c r="E402" s="98" t="str">
        <f t="shared" si="15"/>
        <v>Error</v>
      </c>
    </row>
    <row r="403" spans="1:5" x14ac:dyDescent="0.25">
      <c r="A403" s="95">
        <f>'Site Data'!B405</f>
        <v>0</v>
      </c>
      <c r="B403">
        <f>'Site Data'!D405</f>
        <v>0</v>
      </c>
      <c r="C403">
        <f>'Site Data'!E405</f>
        <v>0</v>
      </c>
      <c r="D403" s="97">
        <f t="shared" si="14"/>
        <v>0</v>
      </c>
      <c r="E403" s="98" t="str">
        <f t="shared" si="15"/>
        <v>Error</v>
      </c>
    </row>
    <row r="404" spans="1:5" x14ac:dyDescent="0.25">
      <c r="A404" s="95">
        <f>'Site Data'!B406</f>
        <v>0</v>
      </c>
      <c r="B404">
        <f>'Site Data'!D406</f>
        <v>0</v>
      </c>
      <c r="C404">
        <f>'Site Data'!E406</f>
        <v>0</v>
      </c>
      <c r="D404" s="97">
        <f t="shared" si="14"/>
        <v>0</v>
      </c>
      <c r="E404" s="98" t="str">
        <f t="shared" si="15"/>
        <v>Error</v>
      </c>
    </row>
    <row r="405" spans="1:5" x14ac:dyDescent="0.25">
      <c r="A405" s="95">
        <f>'Site Data'!B407</f>
        <v>0</v>
      </c>
      <c r="B405">
        <f>'Site Data'!D407</f>
        <v>0</v>
      </c>
      <c r="C405">
        <f>'Site Data'!E407</f>
        <v>0</v>
      </c>
      <c r="D405" s="97">
        <f t="shared" si="14"/>
        <v>0</v>
      </c>
      <c r="E405" s="98" t="str">
        <f t="shared" si="15"/>
        <v>Error</v>
      </c>
    </row>
    <row r="406" spans="1:5" x14ac:dyDescent="0.25">
      <c r="A406" s="95">
        <f>'Site Data'!B408</f>
        <v>0</v>
      </c>
      <c r="B406">
        <f>'Site Data'!D408</f>
        <v>0</v>
      </c>
      <c r="C406">
        <f>'Site Data'!E408</f>
        <v>0</v>
      </c>
      <c r="D406" s="97">
        <f t="shared" si="14"/>
        <v>0</v>
      </c>
      <c r="E406" s="98" t="str">
        <f t="shared" si="15"/>
        <v>Error</v>
      </c>
    </row>
    <row r="407" spans="1:5" x14ac:dyDescent="0.25">
      <c r="A407" s="95">
        <f>'Site Data'!B409</f>
        <v>0</v>
      </c>
      <c r="B407">
        <f>'Site Data'!D409</f>
        <v>0</v>
      </c>
      <c r="C407">
        <f>'Site Data'!E409</f>
        <v>0</v>
      </c>
      <c r="D407" s="97">
        <f t="shared" si="14"/>
        <v>0</v>
      </c>
      <c r="E407" s="98" t="str">
        <f t="shared" si="15"/>
        <v>Error</v>
      </c>
    </row>
    <row r="408" spans="1:5" x14ac:dyDescent="0.25">
      <c r="A408" s="95">
        <f>'Site Data'!B410</f>
        <v>0</v>
      </c>
      <c r="B408">
        <f>'Site Data'!D410</f>
        <v>0</v>
      </c>
      <c r="C408">
        <f>'Site Data'!E410</f>
        <v>0</v>
      </c>
      <c r="D408" s="97">
        <f t="shared" si="14"/>
        <v>0</v>
      </c>
      <c r="E408" s="98" t="str">
        <f t="shared" si="15"/>
        <v>Error</v>
      </c>
    </row>
    <row r="409" spans="1:5" x14ac:dyDescent="0.25">
      <c r="A409" s="95">
        <f>'Site Data'!B411</f>
        <v>0</v>
      </c>
      <c r="B409">
        <f>'Site Data'!D411</f>
        <v>0</v>
      </c>
      <c r="C409">
        <f>'Site Data'!E411</f>
        <v>0</v>
      </c>
      <c r="D409" s="97">
        <f t="shared" si="14"/>
        <v>0</v>
      </c>
      <c r="E409" s="98" t="str">
        <f t="shared" si="15"/>
        <v>Error</v>
      </c>
    </row>
    <row r="410" spans="1:5" x14ac:dyDescent="0.25">
      <c r="A410" s="95">
        <f>'Site Data'!B412</f>
        <v>0</v>
      </c>
      <c r="B410">
        <f>'Site Data'!D412</f>
        <v>0</v>
      </c>
      <c r="C410">
        <f>'Site Data'!E412</f>
        <v>0</v>
      </c>
      <c r="D410" s="97">
        <f t="shared" si="14"/>
        <v>0</v>
      </c>
      <c r="E410" s="98" t="str">
        <f t="shared" si="15"/>
        <v>Error</v>
      </c>
    </row>
    <row r="411" spans="1:5" x14ac:dyDescent="0.25">
      <c r="A411" s="95">
        <f>'Site Data'!B413</f>
        <v>0</v>
      </c>
      <c r="B411">
        <f>'Site Data'!D413</f>
        <v>0</v>
      </c>
      <c r="C411">
        <f>'Site Data'!E413</f>
        <v>0</v>
      </c>
      <c r="D411" s="97">
        <f t="shared" si="14"/>
        <v>0</v>
      </c>
      <c r="E411" s="98" t="str">
        <f t="shared" si="15"/>
        <v>Error</v>
      </c>
    </row>
    <row r="412" spans="1:5" x14ac:dyDescent="0.25">
      <c r="A412" s="95">
        <f>'Site Data'!B414</f>
        <v>0</v>
      </c>
      <c r="B412">
        <f>'Site Data'!D414</f>
        <v>0</v>
      </c>
      <c r="C412">
        <f>'Site Data'!E414</f>
        <v>0</v>
      </c>
      <c r="D412" s="97">
        <f t="shared" si="14"/>
        <v>0</v>
      </c>
      <c r="E412" s="98" t="str">
        <f t="shared" si="15"/>
        <v>Error</v>
      </c>
    </row>
    <row r="413" spans="1:5" x14ac:dyDescent="0.25">
      <c r="A413" s="95">
        <f>'Site Data'!B415</f>
        <v>0</v>
      </c>
      <c r="B413">
        <f>'Site Data'!D415</f>
        <v>0</v>
      </c>
      <c r="C413">
        <f>'Site Data'!E415</f>
        <v>0</v>
      </c>
      <c r="D413" s="97">
        <f t="shared" si="14"/>
        <v>0</v>
      </c>
      <c r="E413" s="98" t="str">
        <f t="shared" si="15"/>
        <v>Error</v>
      </c>
    </row>
    <row r="414" spans="1:5" x14ac:dyDescent="0.25">
      <c r="A414" s="95">
        <f>'Site Data'!B416</f>
        <v>0</v>
      </c>
      <c r="B414">
        <f>'Site Data'!D416</f>
        <v>0</v>
      </c>
      <c r="C414">
        <f>'Site Data'!E416</f>
        <v>0</v>
      </c>
      <c r="D414" s="97">
        <f t="shared" si="14"/>
        <v>0</v>
      </c>
      <c r="E414" s="98" t="str">
        <f t="shared" si="15"/>
        <v>Error</v>
      </c>
    </row>
    <row r="415" spans="1:5" x14ac:dyDescent="0.25">
      <c r="A415" s="95">
        <f>'Site Data'!B417</f>
        <v>0</v>
      </c>
      <c r="B415">
        <f>'Site Data'!D417</f>
        <v>0</v>
      </c>
      <c r="C415">
        <f>'Site Data'!E417</f>
        <v>0</v>
      </c>
      <c r="D415" s="97">
        <f t="shared" si="14"/>
        <v>0</v>
      </c>
      <c r="E415" s="98" t="str">
        <f t="shared" si="15"/>
        <v>Error</v>
      </c>
    </row>
    <row r="416" spans="1:5" x14ac:dyDescent="0.25">
      <c r="A416" s="95">
        <f>'Site Data'!B418</f>
        <v>0</v>
      </c>
      <c r="B416">
        <f>'Site Data'!D418</f>
        <v>0</v>
      </c>
      <c r="C416">
        <f>'Site Data'!E418</f>
        <v>0</v>
      </c>
      <c r="D416" s="97">
        <f t="shared" si="14"/>
        <v>0</v>
      </c>
      <c r="E416" s="98" t="str">
        <f t="shared" si="15"/>
        <v>Error</v>
      </c>
    </row>
    <row r="417" spans="1:5" x14ac:dyDescent="0.25">
      <c r="A417" s="95">
        <f>'Site Data'!B419</f>
        <v>0</v>
      </c>
      <c r="B417">
        <f>'Site Data'!D419</f>
        <v>0</v>
      </c>
      <c r="C417">
        <f>'Site Data'!E419</f>
        <v>0</v>
      </c>
      <c r="D417" s="97">
        <f t="shared" si="14"/>
        <v>0</v>
      </c>
      <c r="E417" s="98" t="str">
        <f t="shared" si="15"/>
        <v>Error</v>
      </c>
    </row>
    <row r="418" spans="1:5" x14ac:dyDescent="0.25">
      <c r="A418" s="95">
        <f>'Site Data'!B420</f>
        <v>0</v>
      </c>
      <c r="B418">
        <f>'Site Data'!D420</f>
        <v>0</v>
      </c>
      <c r="C418">
        <f>'Site Data'!E420</f>
        <v>0</v>
      </c>
      <c r="D418" s="97">
        <f t="shared" si="14"/>
        <v>0</v>
      </c>
      <c r="E418" s="98" t="str">
        <f t="shared" si="15"/>
        <v>Error</v>
      </c>
    </row>
    <row r="419" spans="1:5" x14ac:dyDescent="0.25">
      <c r="A419" s="95">
        <f>'Site Data'!B421</f>
        <v>0</v>
      </c>
      <c r="B419">
        <f>'Site Data'!D421</f>
        <v>0</v>
      </c>
      <c r="C419">
        <f>'Site Data'!E421</f>
        <v>0</v>
      </c>
      <c r="D419" s="97">
        <f t="shared" si="14"/>
        <v>0</v>
      </c>
      <c r="E419" s="98" t="str">
        <f t="shared" si="15"/>
        <v>Error</v>
      </c>
    </row>
    <row r="420" spans="1:5" x14ac:dyDescent="0.25">
      <c r="A420" s="95">
        <f>'Site Data'!B422</f>
        <v>0</v>
      </c>
      <c r="B420">
        <f>'Site Data'!D422</f>
        <v>0</v>
      </c>
      <c r="C420">
        <f>'Site Data'!E422</f>
        <v>0</v>
      </c>
      <c r="D420" s="97">
        <f t="shared" si="14"/>
        <v>0</v>
      </c>
      <c r="E420" s="98" t="str">
        <f t="shared" si="15"/>
        <v>Error</v>
      </c>
    </row>
    <row r="421" spans="1:5" x14ac:dyDescent="0.25">
      <c r="A421" s="95">
        <f>'Site Data'!B423</f>
        <v>0</v>
      </c>
      <c r="B421">
        <f>'Site Data'!D423</f>
        <v>0</v>
      </c>
      <c r="C421">
        <f>'Site Data'!E423</f>
        <v>0</v>
      </c>
      <c r="D421" s="97">
        <f t="shared" si="14"/>
        <v>0</v>
      </c>
      <c r="E421" s="98" t="str">
        <f t="shared" si="15"/>
        <v>Error</v>
      </c>
    </row>
    <row r="422" spans="1:5" x14ac:dyDescent="0.25">
      <c r="A422" s="95">
        <f>'Site Data'!B424</f>
        <v>0</v>
      </c>
      <c r="B422">
        <f>'Site Data'!D424</f>
        <v>0</v>
      </c>
      <c r="C422">
        <f>'Site Data'!E424</f>
        <v>0</v>
      </c>
      <c r="D422" s="97">
        <f t="shared" si="14"/>
        <v>0</v>
      </c>
      <c r="E422" s="98" t="str">
        <f t="shared" si="15"/>
        <v>Error</v>
      </c>
    </row>
    <row r="423" spans="1:5" x14ac:dyDescent="0.25">
      <c r="A423" s="95">
        <f>'Site Data'!B425</f>
        <v>0</v>
      </c>
      <c r="B423">
        <f>'Site Data'!D425</f>
        <v>0</v>
      </c>
      <c r="C423">
        <f>'Site Data'!E425</f>
        <v>0</v>
      </c>
      <c r="D423" s="97">
        <f t="shared" si="14"/>
        <v>0</v>
      </c>
      <c r="E423" s="98" t="str">
        <f t="shared" si="15"/>
        <v>Error</v>
      </c>
    </row>
    <row r="424" spans="1:5" x14ac:dyDescent="0.25">
      <c r="A424" s="95">
        <f>'Site Data'!B426</f>
        <v>0</v>
      </c>
      <c r="B424">
        <f>'Site Data'!D426</f>
        <v>0</v>
      </c>
      <c r="C424">
        <f>'Site Data'!E426</f>
        <v>0</v>
      </c>
      <c r="D424" s="97">
        <f t="shared" si="14"/>
        <v>0</v>
      </c>
      <c r="E424" s="98" t="str">
        <f t="shared" si="15"/>
        <v>Error</v>
      </c>
    </row>
    <row r="425" spans="1:5" x14ac:dyDescent="0.25">
      <c r="A425" s="95">
        <f>'Site Data'!B427</f>
        <v>0</v>
      </c>
      <c r="B425">
        <f>'Site Data'!D427</f>
        <v>0</v>
      </c>
      <c r="C425">
        <f>'Site Data'!E427</f>
        <v>0</v>
      </c>
      <c r="D425" s="97">
        <f t="shared" si="14"/>
        <v>0</v>
      </c>
      <c r="E425" s="98" t="str">
        <f t="shared" si="15"/>
        <v>Error</v>
      </c>
    </row>
    <row r="426" spans="1:5" x14ac:dyDescent="0.25">
      <c r="A426" s="95">
        <f>'Site Data'!B428</f>
        <v>0</v>
      </c>
      <c r="B426">
        <f>'Site Data'!D428</f>
        <v>0</v>
      </c>
      <c r="C426">
        <f>'Site Data'!E428</f>
        <v>0</v>
      </c>
      <c r="D426" s="97">
        <f t="shared" si="14"/>
        <v>0</v>
      </c>
      <c r="E426" s="98" t="str">
        <f t="shared" si="15"/>
        <v>Error</v>
      </c>
    </row>
    <row r="427" spans="1:5" x14ac:dyDescent="0.25">
      <c r="A427" s="95">
        <f>'Site Data'!B429</f>
        <v>0</v>
      </c>
      <c r="B427">
        <f>'Site Data'!D429</f>
        <v>0</v>
      </c>
      <c r="C427">
        <f>'Site Data'!E429</f>
        <v>0</v>
      </c>
      <c r="D427" s="97">
        <f t="shared" si="14"/>
        <v>0</v>
      </c>
      <c r="E427" s="98" t="str">
        <f t="shared" si="15"/>
        <v>Error</v>
      </c>
    </row>
    <row r="428" spans="1:5" x14ac:dyDescent="0.25">
      <c r="A428" s="95">
        <f>'Site Data'!B430</f>
        <v>0</v>
      </c>
      <c r="B428">
        <f>'Site Data'!D430</f>
        <v>0</v>
      </c>
      <c r="C428">
        <f>'Site Data'!E430</f>
        <v>0</v>
      </c>
      <c r="D428" s="97">
        <f t="shared" si="14"/>
        <v>0</v>
      </c>
      <c r="E428" s="98" t="str">
        <f t="shared" si="15"/>
        <v>Error</v>
      </c>
    </row>
    <row r="429" spans="1:5" x14ac:dyDescent="0.25">
      <c r="A429" s="95">
        <f>'Site Data'!B431</f>
        <v>0</v>
      </c>
      <c r="B429">
        <f>'Site Data'!D431</f>
        <v>0</v>
      </c>
      <c r="C429">
        <f>'Site Data'!E431</f>
        <v>0</v>
      </c>
      <c r="D429" s="97">
        <f t="shared" si="14"/>
        <v>0</v>
      </c>
      <c r="E429" s="98" t="str">
        <f t="shared" si="15"/>
        <v>Error</v>
      </c>
    </row>
    <row r="430" spans="1:5" x14ac:dyDescent="0.25">
      <c r="A430" s="95">
        <f>'Site Data'!B432</f>
        <v>0</v>
      </c>
      <c r="B430">
        <f>'Site Data'!D432</f>
        <v>0</v>
      </c>
      <c r="C430">
        <f>'Site Data'!E432</f>
        <v>0</v>
      </c>
      <c r="D430" s="97">
        <f t="shared" si="14"/>
        <v>0</v>
      </c>
      <c r="E430" s="98" t="str">
        <f t="shared" si="15"/>
        <v>Error</v>
      </c>
    </row>
    <row r="431" spans="1:5" x14ac:dyDescent="0.25">
      <c r="A431" s="95">
        <f>'Site Data'!B433</f>
        <v>0</v>
      </c>
      <c r="B431">
        <f>'Site Data'!D433</f>
        <v>0</v>
      </c>
      <c r="C431">
        <f>'Site Data'!E433</f>
        <v>0</v>
      </c>
      <c r="D431" s="97">
        <f t="shared" si="14"/>
        <v>0</v>
      </c>
      <c r="E431" s="98" t="str">
        <f t="shared" si="15"/>
        <v>Error</v>
      </c>
    </row>
    <row r="432" spans="1:5" x14ac:dyDescent="0.25">
      <c r="A432" s="95">
        <f>'Site Data'!B434</f>
        <v>0</v>
      </c>
      <c r="B432">
        <f>'Site Data'!D434</f>
        <v>0</v>
      </c>
      <c r="C432">
        <f>'Site Data'!E434</f>
        <v>0</v>
      </c>
      <c r="D432" s="97">
        <f t="shared" si="14"/>
        <v>0</v>
      </c>
      <c r="E432" s="98" t="str">
        <f t="shared" si="15"/>
        <v>Error</v>
      </c>
    </row>
    <row r="433" spans="1:5" x14ac:dyDescent="0.25">
      <c r="A433" s="95">
        <f>'Site Data'!B435</f>
        <v>0</v>
      </c>
      <c r="B433">
        <f>'Site Data'!D435</f>
        <v>0</v>
      </c>
      <c r="C433">
        <f>'Site Data'!E435</f>
        <v>0</v>
      </c>
      <c r="D433" s="97">
        <f t="shared" si="14"/>
        <v>0</v>
      </c>
      <c r="E433" s="98" t="str">
        <f t="shared" si="15"/>
        <v>Error</v>
      </c>
    </row>
    <row r="434" spans="1:5" x14ac:dyDescent="0.25">
      <c r="A434" s="95">
        <f>'Site Data'!B436</f>
        <v>0</v>
      </c>
      <c r="B434">
        <f>'Site Data'!D436</f>
        <v>0</v>
      </c>
      <c r="C434">
        <f>'Site Data'!E436</f>
        <v>0</v>
      </c>
      <c r="D434" s="97">
        <f t="shared" si="14"/>
        <v>0</v>
      </c>
      <c r="E434" s="98" t="str">
        <f t="shared" si="15"/>
        <v>Error</v>
      </c>
    </row>
    <row r="435" spans="1:5" x14ac:dyDescent="0.25">
      <c r="A435" s="95">
        <f>'Site Data'!B437</f>
        <v>0</v>
      </c>
      <c r="B435">
        <f>'Site Data'!D437</f>
        <v>0</v>
      </c>
      <c r="C435">
        <f>'Site Data'!E437</f>
        <v>0</v>
      </c>
      <c r="D435" s="97">
        <f t="shared" si="14"/>
        <v>0</v>
      </c>
      <c r="E435" s="98" t="str">
        <f t="shared" si="15"/>
        <v>Error</v>
      </c>
    </row>
    <row r="436" spans="1:5" x14ac:dyDescent="0.25">
      <c r="A436" s="95">
        <f>'Site Data'!B438</f>
        <v>0</v>
      </c>
      <c r="B436">
        <f>'Site Data'!D438</f>
        <v>0</v>
      </c>
      <c r="C436">
        <f>'Site Data'!E438</f>
        <v>0</v>
      </c>
      <c r="D436" s="97">
        <f t="shared" si="14"/>
        <v>0</v>
      </c>
      <c r="E436" s="98" t="str">
        <f t="shared" si="15"/>
        <v>Error</v>
      </c>
    </row>
    <row r="437" spans="1:5" x14ac:dyDescent="0.25">
      <c r="A437" s="95">
        <f>'Site Data'!B439</f>
        <v>0</v>
      </c>
      <c r="B437">
        <f>'Site Data'!D439</f>
        <v>0</v>
      </c>
      <c r="C437">
        <f>'Site Data'!E439</f>
        <v>0</v>
      </c>
      <c r="D437" s="97">
        <f t="shared" si="14"/>
        <v>0</v>
      </c>
      <c r="E437" s="98" t="str">
        <f t="shared" si="15"/>
        <v>Error</v>
      </c>
    </row>
    <row r="438" spans="1:5" x14ac:dyDescent="0.25">
      <c r="A438" s="95">
        <f>'Site Data'!B440</f>
        <v>0</v>
      </c>
      <c r="B438">
        <f>'Site Data'!D440</f>
        <v>0</v>
      </c>
      <c r="C438">
        <f>'Site Data'!E440</f>
        <v>0</v>
      </c>
      <c r="D438" s="97">
        <f t="shared" si="14"/>
        <v>0</v>
      </c>
      <c r="E438" s="98" t="str">
        <f t="shared" si="15"/>
        <v>Error</v>
      </c>
    </row>
    <row r="439" spans="1:5" x14ac:dyDescent="0.25">
      <c r="A439" s="95">
        <f>'Site Data'!B441</f>
        <v>0</v>
      </c>
      <c r="B439">
        <f>'Site Data'!D441</f>
        <v>0</v>
      </c>
      <c r="C439">
        <f>'Site Data'!E441</f>
        <v>0</v>
      </c>
      <c r="D439" s="97">
        <f t="shared" si="14"/>
        <v>0</v>
      </c>
      <c r="E439" s="98" t="str">
        <f t="shared" si="15"/>
        <v>Error</v>
      </c>
    </row>
    <row r="440" spans="1:5" x14ac:dyDescent="0.25">
      <c r="A440" s="95">
        <f>'Site Data'!B442</f>
        <v>0</v>
      </c>
      <c r="B440">
        <f>'Site Data'!D442</f>
        <v>0</v>
      </c>
      <c r="C440">
        <f>'Site Data'!E442</f>
        <v>0</v>
      </c>
      <c r="D440" s="97">
        <f t="shared" si="14"/>
        <v>0</v>
      </c>
      <c r="E440" s="98" t="str">
        <f t="shared" si="15"/>
        <v>Error</v>
      </c>
    </row>
    <row r="441" spans="1:5" x14ac:dyDescent="0.25">
      <c r="A441" s="95">
        <f>'Site Data'!B443</f>
        <v>0</v>
      </c>
      <c r="B441">
        <f>'Site Data'!D443</f>
        <v>0</v>
      </c>
      <c r="C441">
        <f>'Site Data'!E443</f>
        <v>0</v>
      </c>
      <c r="D441" s="97">
        <f t="shared" si="14"/>
        <v>0</v>
      </c>
      <c r="E441" s="98" t="str">
        <f t="shared" si="15"/>
        <v>Error</v>
      </c>
    </row>
    <row r="442" spans="1:5" x14ac:dyDescent="0.25">
      <c r="A442" s="95">
        <f>'Site Data'!B444</f>
        <v>0</v>
      </c>
      <c r="B442">
        <f>'Site Data'!D444</f>
        <v>0</v>
      </c>
      <c r="C442">
        <f>'Site Data'!E444</f>
        <v>0</v>
      </c>
      <c r="D442" s="97">
        <f t="shared" si="14"/>
        <v>0</v>
      </c>
      <c r="E442" s="98" t="str">
        <f t="shared" si="15"/>
        <v>Error</v>
      </c>
    </row>
    <row r="443" spans="1:5" x14ac:dyDescent="0.25">
      <c r="A443" s="95">
        <f>'Site Data'!B445</f>
        <v>0</v>
      </c>
      <c r="B443">
        <f>'Site Data'!D445</f>
        <v>0</v>
      </c>
      <c r="C443">
        <f>'Site Data'!E445</f>
        <v>0</v>
      </c>
      <c r="D443" s="97">
        <f t="shared" si="14"/>
        <v>0</v>
      </c>
      <c r="E443" s="98" t="str">
        <f t="shared" si="15"/>
        <v>Error</v>
      </c>
    </row>
    <row r="444" spans="1:5" x14ac:dyDescent="0.25">
      <c r="A444" s="95">
        <f>'Site Data'!B446</f>
        <v>0</v>
      </c>
      <c r="B444">
        <f>'Site Data'!D446</f>
        <v>0</v>
      </c>
      <c r="C444">
        <f>'Site Data'!E446</f>
        <v>0</v>
      </c>
      <c r="D444" s="97">
        <f t="shared" si="14"/>
        <v>0</v>
      </c>
      <c r="E444" s="98" t="str">
        <f t="shared" si="15"/>
        <v>Error</v>
      </c>
    </row>
    <row r="445" spans="1:5" x14ac:dyDescent="0.25">
      <c r="A445" s="95">
        <f>'Site Data'!B447</f>
        <v>0</v>
      </c>
      <c r="B445">
        <f>'Site Data'!D447</f>
        <v>0</v>
      </c>
      <c r="C445">
        <f>'Site Data'!E447</f>
        <v>0</v>
      </c>
      <c r="D445" s="97">
        <f t="shared" si="14"/>
        <v>0</v>
      </c>
      <c r="E445" s="98" t="str">
        <f t="shared" si="15"/>
        <v>Error</v>
      </c>
    </row>
    <row r="446" spans="1:5" x14ac:dyDescent="0.25">
      <c r="A446" s="95">
        <f>'Site Data'!B448</f>
        <v>0</v>
      </c>
      <c r="B446">
        <f>'Site Data'!D448</f>
        <v>0</v>
      </c>
      <c r="C446">
        <f>'Site Data'!E448</f>
        <v>0</v>
      </c>
      <c r="D446" s="97">
        <f t="shared" si="14"/>
        <v>0</v>
      </c>
      <c r="E446" s="98" t="str">
        <f t="shared" si="15"/>
        <v>Error</v>
      </c>
    </row>
    <row r="447" spans="1:5" x14ac:dyDescent="0.25">
      <c r="A447" s="95">
        <f>'Site Data'!B449</f>
        <v>0</v>
      </c>
      <c r="B447">
        <f>'Site Data'!D449</f>
        <v>0</v>
      </c>
      <c r="C447">
        <f>'Site Data'!E449</f>
        <v>0</v>
      </c>
      <c r="D447" s="97">
        <f t="shared" si="14"/>
        <v>0</v>
      </c>
      <c r="E447" s="98" t="str">
        <f t="shared" si="15"/>
        <v>Error</v>
      </c>
    </row>
    <row r="448" spans="1:5" x14ac:dyDescent="0.25">
      <c r="A448" s="95">
        <f>'Site Data'!B450</f>
        <v>0</v>
      </c>
      <c r="B448">
        <f>'Site Data'!D450</f>
        <v>0</v>
      </c>
      <c r="C448">
        <f>'Site Data'!E450</f>
        <v>0</v>
      </c>
      <c r="D448" s="97">
        <f t="shared" si="14"/>
        <v>0</v>
      </c>
      <c r="E448" s="98" t="str">
        <f t="shared" si="15"/>
        <v>Error</v>
      </c>
    </row>
    <row r="449" spans="1:5" x14ac:dyDescent="0.25">
      <c r="A449" s="95">
        <f>'Site Data'!B451</f>
        <v>0</v>
      </c>
      <c r="B449">
        <f>'Site Data'!D451</f>
        <v>0</v>
      </c>
      <c r="C449">
        <f>'Site Data'!E451</f>
        <v>0</v>
      </c>
      <c r="D449" s="97">
        <f t="shared" si="14"/>
        <v>0</v>
      </c>
      <c r="E449" s="98" t="str">
        <f t="shared" si="15"/>
        <v>Error</v>
      </c>
    </row>
    <row r="450" spans="1:5" x14ac:dyDescent="0.25">
      <c r="A450" s="95">
        <f>'Site Data'!B452</f>
        <v>0</v>
      </c>
      <c r="B450">
        <f>'Site Data'!D452</f>
        <v>0</v>
      </c>
      <c r="C450">
        <f>'Site Data'!E452</f>
        <v>0</v>
      </c>
      <c r="D450" s="97">
        <f t="shared" ref="D450:D513" si="16">B450-C450</f>
        <v>0</v>
      </c>
      <c r="E450" s="98" t="str">
        <f t="shared" ref="E450:E513" si="17">IF(AND(D450 &gt;= 50, D450 &lt;= 60), "Valid", "Error")</f>
        <v>Error</v>
      </c>
    </row>
    <row r="451" spans="1:5" x14ac:dyDescent="0.25">
      <c r="A451" s="95">
        <f>'Site Data'!B453</f>
        <v>0</v>
      </c>
      <c r="B451">
        <f>'Site Data'!D453</f>
        <v>0</v>
      </c>
      <c r="C451">
        <f>'Site Data'!E453</f>
        <v>0</v>
      </c>
      <c r="D451" s="97">
        <f t="shared" si="16"/>
        <v>0</v>
      </c>
      <c r="E451" s="98" t="str">
        <f t="shared" si="17"/>
        <v>Error</v>
      </c>
    </row>
    <row r="452" spans="1:5" x14ac:dyDescent="0.25">
      <c r="A452" s="95">
        <f>'Site Data'!B454</f>
        <v>0</v>
      </c>
      <c r="B452">
        <f>'Site Data'!D454</f>
        <v>0</v>
      </c>
      <c r="C452">
        <f>'Site Data'!E454</f>
        <v>0</v>
      </c>
      <c r="D452" s="97">
        <f t="shared" si="16"/>
        <v>0</v>
      </c>
      <c r="E452" s="98" t="str">
        <f t="shared" si="17"/>
        <v>Error</v>
      </c>
    </row>
    <row r="453" spans="1:5" x14ac:dyDescent="0.25">
      <c r="A453" s="95">
        <f>'Site Data'!B455</f>
        <v>0</v>
      </c>
      <c r="B453">
        <f>'Site Data'!D455</f>
        <v>0</v>
      </c>
      <c r="C453">
        <f>'Site Data'!E455</f>
        <v>0</v>
      </c>
      <c r="D453" s="97">
        <f t="shared" si="16"/>
        <v>0</v>
      </c>
      <c r="E453" s="98" t="str">
        <f t="shared" si="17"/>
        <v>Error</v>
      </c>
    </row>
    <row r="454" spans="1:5" x14ac:dyDescent="0.25">
      <c r="A454" s="95">
        <f>'Site Data'!B456</f>
        <v>0</v>
      </c>
      <c r="B454">
        <f>'Site Data'!D456</f>
        <v>0</v>
      </c>
      <c r="C454">
        <f>'Site Data'!E456</f>
        <v>0</v>
      </c>
      <c r="D454" s="97">
        <f t="shared" si="16"/>
        <v>0</v>
      </c>
      <c r="E454" s="98" t="str">
        <f t="shared" si="17"/>
        <v>Error</v>
      </c>
    </row>
    <row r="455" spans="1:5" x14ac:dyDescent="0.25">
      <c r="A455" s="95">
        <f>'Site Data'!B457</f>
        <v>0</v>
      </c>
      <c r="B455">
        <f>'Site Data'!D457</f>
        <v>0</v>
      </c>
      <c r="C455">
        <f>'Site Data'!E457</f>
        <v>0</v>
      </c>
      <c r="D455" s="97">
        <f t="shared" si="16"/>
        <v>0</v>
      </c>
      <c r="E455" s="98" t="str">
        <f t="shared" si="17"/>
        <v>Error</v>
      </c>
    </row>
    <row r="456" spans="1:5" x14ac:dyDescent="0.25">
      <c r="A456" s="95">
        <f>'Site Data'!B458</f>
        <v>0</v>
      </c>
      <c r="B456">
        <f>'Site Data'!D458</f>
        <v>0</v>
      </c>
      <c r="C456">
        <f>'Site Data'!E458</f>
        <v>0</v>
      </c>
      <c r="D456" s="97">
        <f t="shared" si="16"/>
        <v>0</v>
      </c>
      <c r="E456" s="98" t="str">
        <f t="shared" si="17"/>
        <v>Error</v>
      </c>
    </row>
    <row r="457" spans="1:5" x14ac:dyDescent="0.25">
      <c r="A457" s="95">
        <f>'Site Data'!B459</f>
        <v>0</v>
      </c>
      <c r="B457">
        <f>'Site Data'!D459</f>
        <v>0</v>
      </c>
      <c r="C457">
        <f>'Site Data'!E459</f>
        <v>0</v>
      </c>
      <c r="D457" s="97">
        <f t="shared" si="16"/>
        <v>0</v>
      </c>
      <c r="E457" s="98" t="str">
        <f t="shared" si="17"/>
        <v>Error</v>
      </c>
    </row>
    <row r="458" spans="1:5" x14ac:dyDescent="0.25">
      <c r="A458" s="95">
        <f>'Site Data'!B460</f>
        <v>0</v>
      </c>
      <c r="B458">
        <f>'Site Data'!D460</f>
        <v>0</v>
      </c>
      <c r="C458">
        <f>'Site Data'!E460</f>
        <v>0</v>
      </c>
      <c r="D458" s="97">
        <f t="shared" si="16"/>
        <v>0</v>
      </c>
      <c r="E458" s="98" t="str">
        <f t="shared" si="17"/>
        <v>Error</v>
      </c>
    </row>
    <row r="459" spans="1:5" x14ac:dyDescent="0.25">
      <c r="A459" s="95">
        <f>'Site Data'!B461</f>
        <v>0</v>
      </c>
      <c r="B459">
        <f>'Site Data'!D461</f>
        <v>0</v>
      </c>
      <c r="C459">
        <f>'Site Data'!E461</f>
        <v>0</v>
      </c>
      <c r="D459" s="97">
        <f t="shared" si="16"/>
        <v>0</v>
      </c>
      <c r="E459" s="98" t="str">
        <f t="shared" si="17"/>
        <v>Error</v>
      </c>
    </row>
    <row r="460" spans="1:5" x14ac:dyDescent="0.25">
      <c r="A460" s="95">
        <f>'Site Data'!B462</f>
        <v>0</v>
      </c>
      <c r="B460">
        <f>'Site Data'!D462</f>
        <v>0</v>
      </c>
      <c r="C460">
        <f>'Site Data'!E462</f>
        <v>0</v>
      </c>
      <c r="D460" s="97">
        <f t="shared" si="16"/>
        <v>0</v>
      </c>
      <c r="E460" s="98" t="str">
        <f t="shared" si="17"/>
        <v>Error</v>
      </c>
    </row>
    <row r="461" spans="1:5" x14ac:dyDescent="0.25">
      <c r="A461" s="95">
        <f>'Site Data'!B463</f>
        <v>0</v>
      </c>
      <c r="B461">
        <f>'Site Data'!D463</f>
        <v>0</v>
      </c>
      <c r="C461">
        <f>'Site Data'!E463</f>
        <v>0</v>
      </c>
      <c r="D461" s="97">
        <f t="shared" si="16"/>
        <v>0</v>
      </c>
      <c r="E461" s="98" t="str">
        <f t="shared" si="17"/>
        <v>Error</v>
      </c>
    </row>
    <row r="462" spans="1:5" x14ac:dyDescent="0.25">
      <c r="A462" s="95">
        <f>'Site Data'!B464</f>
        <v>0</v>
      </c>
      <c r="B462">
        <f>'Site Data'!D464</f>
        <v>0</v>
      </c>
      <c r="C462">
        <f>'Site Data'!E464</f>
        <v>0</v>
      </c>
      <c r="D462" s="97">
        <f t="shared" si="16"/>
        <v>0</v>
      </c>
      <c r="E462" s="98" t="str">
        <f t="shared" si="17"/>
        <v>Error</v>
      </c>
    </row>
    <row r="463" spans="1:5" x14ac:dyDescent="0.25">
      <c r="A463" s="95">
        <f>'Site Data'!B465</f>
        <v>0</v>
      </c>
      <c r="B463">
        <f>'Site Data'!D465</f>
        <v>0</v>
      </c>
      <c r="C463">
        <f>'Site Data'!E465</f>
        <v>0</v>
      </c>
      <c r="D463" s="97">
        <f t="shared" si="16"/>
        <v>0</v>
      </c>
      <c r="E463" s="98" t="str">
        <f t="shared" si="17"/>
        <v>Error</v>
      </c>
    </row>
    <row r="464" spans="1:5" x14ac:dyDescent="0.25">
      <c r="A464" s="95">
        <f>'Site Data'!B466</f>
        <v>0</v>
      </c>
      <c r="B464">
        <f>'Site Data'!D466</f>
        <v>0</v>
      </c>
      <c r="C464">
        <f>'Site Data'!E466</f>
        <v>0</v>
      </c>
      <c r="D464" s="97">
        <f t="shared" si="16"/>
        <v>0</v>
      </c>
      <c r="E464" s="98" t="str">
        <f t="shared" si="17"/>
        <v>Error</v>
      </c>
    </row>
    <row r="465" spans="1:5" x14ac:dyDescent="0.25">
      <c r="A465" s="95">
        <f>'Site Data'!B467</f>
        <v>0</v>
      </c>
      <c r="B465">
        <f>'Site Data'!D467</f>
        <v>0</v>
      </c>
      <c r="C465">
        <f>'Site Data'!E467</f>
        <v>0</v>
      </c>
      <c r="D465" s="97">
        <f t="shared" si="16"/>
        <v>0</v>
      </c>
      <c r="E465" s="98" t="str">
        <f t="shared" si="17"/>
        <v>Error</v>
      </c>
    </row>
    <row r="466" spans="1:5" x14ac:dyDescent="0.25">
      <c r="A466" s="95">
        <f>'Site Data'!B468</f>
        <v>0</v>
      </c>
      <c r="B466">
        <f>'Site Data'!D468</f>
        <v>0</v>
      </c>
      <c r="C466">
        <f>'Site Data'!E468</f>
        <v>0</v>
      </c>
      <c r="D466" s="97">
        <f t="shared" si="16"/>
        <v>0</v>
      </c>
      <c r="E466" s="98" t="str">
        <f t="shared" si="17"/>
        <v>Error</v>
      </c>
    </row>
    <row r="467" spans="1:5" x14ac:dyDescent="0.25">
      <c r="A467" s="95">
        <f>'Site Data'!B469</f>
        <v>0</v>
      </c>
      <c r="B467">
        <f>'Site Data'!D469</f>
        <v>0</v>
      </c>
      <c r="C467">
        <f>'Site Data'!E469</f>
        <v>0</v>
      </c>
      <c r="D467" s="97">
        <f t="shared" si="16"/>
        <v>0</v>
      </c>
      <c r="E467" s="98" t="str">
        <f t="shared" si="17"/>
        <v>Error</v>
      </c>
    </row>
    <row r="468" spans="1:5" x14ac:dyDescent="0.25">
      <c r="A468" s="95">
        <f>'Site Data'!B470</f>
        <v>0</v>
      </c>
      <c r="B468">
        <f>'Site Data'!D470</f>
        <v>0</v>
      </c>
      <c r="C468">
        <f>'Site Data'!E470</f>
        <v>0</v>
      </c>
      <c r="D468" s="97">
        <f t="shared" si="16"/>
        <v>0</v>
      </c>
      <c r="E468" s="98" t="str">
        <f t="shared" si="17"/>
        <v>Error</v>
      </c>
    </row>
    <row r="469" spans="1:5" x14ac:dyDescent="0.25">
      <c r="A469" s="95">
        <f>'Site Data'!B471</f>
        <v>0</v>
      </c>
      <c r="B469">
        <f>'Site Data'!D471</f>
        <v>0</v>
      </c>
      <c r="C469">
        <f>'Site Data'!E471</f>
        <v>0</v>
      </c>
      <c r="D469" s="97">
        <f t="shared" si="16"/>
        <v>0</v>
      </c>
      <c r="E469" s="98" t="str">
        <f t="shared" si="17"/>
        <v>Error</v>
      </c>
    </row>
    <row r="470" spans="1:5" x14ac:dyDescent="0.25">
      <c r="A470" s="95">
        <f>'Site Data'!B472</f>
        <v>0</v>
      </c>
      <c r="B470">
        <f>'Site Data'!D472</f>
        <v>0</v>
      </c>
      <c r="C470">
        <f>'Site Data'!E472</f>
        <v>0</v>
      </c>
      <c r="D470" s="97">
        <f t="shared" si="16"/>
        <v>0</v>
      </c>
      <c r="E470" s="98" t="str">
        <f t="shared" si="17"/>
        <v>Error</v>
      </c>
    </row>
    <row r="471" spans="1:5" x14ac:dyDescent="0.25">
      <c r="A471" s="95">
        <f>'Site Data'!B473</f>
        <v>0</v>
      </c>
      <c r="B471">
        <f>'Site Data'!D473</f>
        <v>0</v>
      </c>
      <c r="C471">
        <f>'Site Data'!E473</f>
        <v>0</v>
      </c>
      <c r="D471" s="97">
        <f t="shared" si="16"/>
        <v>0</v>
      </c>
      <c r="E471" s="98" t="str">
        <f t="shared" si="17"/>
        <v>Error</v>
      </c>
    </row>
    <row r="472" spans="1:5" x14ac:dyDescent="0.25">
      <c r="A472" s="95">
        <f>'Site Data'!B474</f>
        <v>0</v>
      </c>
      <c r="B472">
        <f>'Site Data'!D474</f>
        <v>0</v>
      </c>
      <c r="C472">
        <f>'Site Data'!E474</f>
        <v>0</v>
      </c>
      <c r="D472" s="97">
        <f t="shared" si="16"/>
        <v>0</v>
      </c>
      <c r="E472" s="98" t="str">
        <f t="shared" si="17"/>
        <v>Error</v>
      </c>
    </row>
    <row r="473" spans="1:5" x14ac:dyDescent="0.25">
      <c r="A473" s="95">
        <f>'Site Data'!B475</f>
        <v>0</v>
      </c>
      <c r="B473">
        <f>'Site Data'!D475</f>
        <v>0</v>
      </c>
      <c r="C473">
        <f>'Site Data'!E475</f>
        <v>0</v>
      </c>
      <c r="D473" s="97">
        <f t="shared" si="16"/>
        <v>0</v>
      </c>
      <c r="E473" s="98" t="str">
        <f t="shared" si="17"/>
        <v>Error</v>
      </c>
    </row>
    <row r="474" spans="1:5" x14ac:dyDescent="0.25">
      <c r="A474" s="95">
        <f>'Site Data'!B476</f>
        <v>0</v>
      </c>
      <c r="B474">
        <f>'Site Data'!D476</f>
        <v>0</v>
      </c>
      <c r="C474">
        <f>'Site Data'!E476</f>
        <v>0</v>
      </c>
      <c r="D474" s="97">
        <f t="shared" si="16"/>
        <v>0</v>
      </c>
      <c r="E474" s="98" t="str">
        <f t="shared" si="17"/>
        <v>Error</v>
      </c>
    </row>
    <row r="475" spans="1:5" x14ac:dyDescent="0.25">
      <c r="A475" s="95">
        <f>'Site Data'!B477</f>
        <v>0</v>
      </c>
      <c r="B475">
        <f>'Site Data'!D477</f>
        <v>0</v>
      </c>
      <c r="C475">
        <f>'Site Data'!E477</f>
        <v>0</v>
      </c>
      <c r="D475" s="97">
        <f t="shared" si="16"/>
        <v>0</v>
      </c>
      <c r="E475" s="98" t="str">
        <f t="shared" si="17"/>
        <v>Error</v>
      </c>
    </row>
    <row r="476" spans="1:5" x14ac:dyDescent="0.25">
      <c r="A476" s="95">
        <f>'Site Data'!B478</f>
        <v>0</v>
      </c>
      <c r="B476">
        <f>'Site Data'!D478</f>
        <v>0</v>
      </c>
      <c r="C476">
        <f>'Site Data'!E478</f>
        <v>0</v>
      </c>
      <c r="D476" s="97">
        <f t="shared" si="16"/>
        <v>0</v>
      </c>
      <c r="E476" s="98" t="str">
        <f t="shared" si="17"/>
        <v>Error</v>
      </c>
    </row>
    <row r="477" spans="1:5" x14ac:dyDescent="0.25">
      <c r="A477" s="95">
        <f>'Site Data'!B479</f>
        <v>0</v>
      </c>
      <c r="B477">
        <f>'Site Data'!D479</f>
        <v>0</v>
      </c>
      <c r="C477">
        <f>'Site Data'!E479</f>
        <v>0</v>
      </c>
      <c r="D477" s="97">
        <f t="shared" si="16"/>
        <v>0</v>
      </c>
      <c r="E477" s="98" t="str">
        <f t="shared" si="17"/>
        <v>Error</v>
      </c>
    </row>
    <row r="478" spans="1:5" x14ac:dyDescent="0.25">
      <c r="A478" s="95">
        <f>'Site Data'!B480</f>
        <v>0</v>
      </c>
      <c r="B478">
        <f>'Site Data'!D480</f>
        <v>0</v>
      </c>
      <c r="C478">
        <f>'Site Data'!E480</f>
        <v>0</v>
      </c>
      <c r="D478" s="97">
        <f t="shared" si="16"/>
        <v>0</v>
      </c>
      <c r="E478" s="98" t="str">
        <f t="shared" si="17"/>
        <v>Error</v>
      </c>
    </row>
    <row r="479" spans="1:5" x14ac:dyDescent="0.25">
      <c r="A479" s="95">
        <f>'Site Data'!B481</f>
        <v>0</v>
      </c>
      <c r="B479">
        <f>'Site Data'!D481</f>
        <v>0</v>
      </c>
      <c r="C479">
        <f>'Site Data'!E481</f>
        <v>0</v>
      </c>
      <c r="D479" s="97">
        <f t="shared" si="16"/>
        <v>0</v>
      </c>
      <c r="E479" s="98" t="str">
        <f t="shared" si="17"/>
        <v>Error</v>
      </c>
    </row>
    <row r="480" spans="1:5" x14ac:dyDescent="0.25">
      <c r="A480" s="95">
        <f>'Site Data'!B482</f>
        <v>0</v>
      </c>
      <c r="B480">
        <f>'Site Data'!D482</f>
        <v>0</v>
      </c>
      <c r="C480">
        <f>'Site Data'!E482</f>
        <v>0</v>
      </c>
      <c r="D480" s="97">
        <f t="shared" si="16"/>
        <v>0</v>
      </c>
      <c r="E480" s="98" t="str">
        <f t="shared" si="17"/>
        <v>Error</v>
      </c>
    </row>
    <row r="481" spans="1:5" x14ac:dyDescent="0.25">
      <c r="A481" s="95">
        <f>'Site Data'!B483</f>
        <v>0</v>
      </c>
      <c r="B481">
        <f>'Site Data'!D483</f>
        <v>0</v>
      </c>
      <c r="C481">
        <f>'Site Data'!E483</f>
        <v>0</v>
      </c>
      <c r="D481" s="97">
        <f t="shared" si="16"/>
        <v>0</v>
      </c>
      <c r="E481" s="98" t="str">
        <f t="shared" si="17"/>
        <v>Error</v>
      </c>
    </row>
    <row r="482" spans="1:5" x14ac:dyDescent="0.25">
      <c r="A482" s="95">
        <f>'Site Data'!B484</f>
        <v>0</v>
      </c>
      <c r="B482">
        <f>'Site Data'!D484</f>
        <v>0</v>
      </c>
      <c r="C482">
        <f>'Site Data'!E484</f>
        <v>0</v>
      </c>
      <c r="D482" s="97">
        <f t="shared" si="16"/>
        <v>0</v>
      </c>
      <c r="E482" s="98" t="str">
        <f t="shared" si="17"/>
        <v>Error</v>
      </c>
    </row>
    <row r="483" spans="1:5" x14ac:dyDescent="0.25">
      <c r="A483" s="95">
        <f>'Site Data'!B485</f>
        <v>0</v>
      </c>
      <c r="B483">
        <f>'Site Data'!D485</f>
        <v>0</v>
      </c>
      <c r="C483">
        <f>'Site Data'!E485</f>
        <v>0</v>
      </c>
      <c r="D483" s="97">
        <f t="shared" si="16"/>
        <v>0</v>
      </c>
      <c r="E483" s="98" t="str">
        <f t="shared" si="17"/>
        <v>Error</v>
      </c>
    </row>
    <row r="484" spans="1:5" x14ac:dyDescent="0.25">
      <c r="A484" s="95">
        <f>'Site Data'!B486</f>
        <v>0</v>
      </c>
      <c r="B484">
        <f>'Site Data'!D486</f>
        <v>0</v>
      </c>
      <c r="C484">
        <f>'Site Data'!E486</f>
        <v>0</v>
      </c>
      <c r="D484" s="97">
        <f t="shared" si="16"/>
        <v>0</v>
      </c>
      <c r="E484" s="98" t="str">
        <f t="shared" si="17"/>
        <v>Error</v>
      </c>
    </row>
    <row r="485" spans="1:5" x14ac:dyDescent="0.25">
      <c r="A485" s="95">
        <f>'Site Data'!B487</f>
        <v>0</v>
      </c>
      <c r="B485">
        <f>'Site Data'!D487</f>
        <v>0</v>
      </c>
      <c r="C485">
        <f>'Site Data'!E487</f>
        <v>0</v>
      </c>
      <c r="D485" s="97">
        <f t="shared" si="16"/>
        <v>0</v>
      </c>
      <c r="E485" s="98" t="str">
        <f t="shared" si="17"/>
        <v>Error</v>
      </c>
    </row>
    <row r="486" spans="1:5" x14ac:dyDescent="0.25">
      <c r="A486" s="95">
        <f>'Site Data'!B488</f>
        <v>0</v>
      </c>
      <c r="B486">
        <f>'Site Data'!D488</f>
        <v>0</v>
      </c>
      <c r="C486">
        <f>'Site Data'!E488</f>
        <v>0</v>
      </c>
      <c r="D486" s="97">
        <f t="shared" si="16"/>
        <v>0</v>
      </c>
      <c r="E486" s="98" t="str">
        <f t="shared" si="17"/>
        <v>Error</v>
      </c>
    </row>
    <row r="487" spans="1:5" x14ac:dyDescent="0.25">
      <c r="A487" s="95">
        <f>'Site Data'!B489</f>
        <v>0</v>
      </c>
      <c r="B487">
        <f>'Site Data'!D489</f>
        <v>0</v>
      </c>
      <c r="C487">
        <f>'Site Data'!E489</f>
        <v>0</v>
      </c>
      <c r="D487" s="97">
        <f t="shared" si="16"/>
        <v>0</v>
      </c>
      <c r="E487" s="98" t="str">
        <f t="shared" si="17"/>
        <v>Error</v>
      </c>
    </row>
    <row r="488" spans="1:5" x14ac:dyDescent="0.25">
      <c r="A488" s="95">
        <f>'Site Data'!B490</f>
        <v>0</v>
      </c>
      <c r="B488">
        <f>'Site Data'!D490</f>
        <v>0</v>
      </c>
      <c r="C488">
        <f>'Site Data'!E490</f>
        <v>0</v>
      </c>
      <c r="D488" s="97">
        <f t="shared" si="16"/>
        <v>0</v>
      </c>
      <c r="E488" s="98" t="str">
        <f t="shared" si="17"/>
        <v>Error</v>
      </c>
    </row>
    <row r="489" spans="1:5" x14ac:dyDescent="0.25">
      <c r="A489" s="95">
        <f>'Site Data'!B491</f>
        <v>0</v>
      </c>
      <c r="B489">
        <f>'Site Data'!D491</f>
        <v>0</v>
      </c>
      <c r="C489">
        <f>'Site Data'!E491</f>
        <v>0</v>
      </c>
      <c r="D489" s="97">
        <f t="shared" si="16"/>
        <v>0</v>
      </c>
      <c r="E489" s="98" t="str">
        <f t="shared" si="17"/>
        <v>Error</v>
      </c>
    </row>
    <row r="490" spans="1:5" x14ac:dyDescent="0.25">
      <c r="A490" s="95">
        <f>'Site Data'!B492</f>
        <v>0</v>
      </c>
      <c r="B490">
        <f>'Site Data'!D492</f>
        <v>0</v>
      </c>
      <c r="C490">
        <f>'Site Data'!E492</f>
        <v>0</v>
      </c>
      <c r="D490" s="97">
        <f t="shared" si="16"/>
        <v>0</v>
      </c>
      <c r="E490" s="98" t="str">
        <f t="shared" si="17"/>
        <v>Error</v>
      </c>
    </row>
    <row r="491" spans="1:5" x14ac:dyDescent="0.25">
      <c r="A491" s="95">
        <f>'Site Data'!B493</f>
        <v>0</v>
      </c>
      <c r="B491">
        <f>'Site Data'!D493</f>
        <v>0</v>
      </c>
      <c r="C491">
        <f>'Site Data'!E493</f>
        <v>0</v>
      </c>
      <c r="D491" s="97">
        <f t="shared" si="16"/>
        <v>0</v>
      </c>
      <c r="E491" s="98" t="str">
        <f t="shared" si="17"/>
        <v>Error</v>
      </c>
    </row>
    <row r="492" spans="1:5" x14ac:dyDescent="0.25">
      <c r="A492" s="95">
        <f>'Site Data'!B494</f>
        <v>0</v>
      </c>
      <c r="B492">
        <f>'Site Data'!D494</f>
        <v>0</v>
      </c>
      <c r="C492">
        <f>'Site Data'!E494</f>
        <v>0</v>
      </c>
      <c r="D492" s="97">
        <f t="shared" si="16"/>
        <v>0</v>
      </c>
      <c r="E492" s="98" t="str">
        <f t="shared" si="17"/>
        <v>Error</v>
      </c>
    </row>
    <row r="493" spans="1:5" x14ac:dyDescent="0.25">
      <c r="A493" s="95">
        <f>'Site Data'!B495</f>
        <v>0</v>
      </c>
      <c r="B493">
        <f>'Site Data'!D495</f>
        <v>0</v>
      </c>
      <c r="C493">
        <f>'Site Data'!E495</f>
        <v>0</v>
      </c>
      <c r="D493" s="97">
        <f t="shared" si="16"/>
        <v>0</v>
      </c>
      <c r="E493" s="98" t="str">
        <f t="shared" si="17"/>
        <v>Error</v>
      </c>
    </row>
    <row r="494" spans="1:5" x14ac:dyDescent="0.25">
      <c r="A494" s="95">
        <f>'Site Data'!B496</f>
        <v>0</v>
      </c>
      <c r="B494">
        <f>'Site Data'!D496</f>
        <v>0</v>
      </c>
      <c r="C494">
        <f>'Site Data'!E496</f>
        <v>0</v>
      </c>
      <c r="D494" s="97">
        <f t="shared" si="16"/>
        <v>0</v>
      </c>
      <c r="E494" s="98" t="str">
        <f t="shared" si="17"/>
        <v>Error</v>
      </c>
    </row>
    <row r="495" spans="1:5" x14ac:dyDescent="0.25">
      <c r="A495" s="95">
        <f>'Site Data'!B497</f>
        <v>0</v>
      </c>
      <c r="B495">
        <f>'Site Data'!D497</f>
        <v>0</v>
      </c>
      <c r="C495">
        <f>'Site Data'!E497</f>
        <v>0</v>
      </c>
      <c r="D495" s="97">
        <f t="shared" si="16"/>
        <v>0</v>
      </c>
      <c r="E495" s="98" t="str">
        <f t="shared" si="17"/>
        <v>Error</v>
      </c>
    </row>
    <row r="496" spans="1:5" x14ac:dyDescent="0.25">
      <c r="A496" s="95">
        <f>'Site Data'!B498</f>
        <v>0</v>
      </c>
      <c r="B496">
        <f>'Site Data'!D498</f>
        <v>0</v>
      </c>
      <c r="C496">
        <f>'Site Data'!E498</f>
        <v>0</v>
      </c>
      <c r="D496" s="97">
        <f t="shared" si="16"/>
        <v>0</v>
      </c>
      <c r="E496" s="98" t="str">
        <f t="shared" si="17"/>
        <v>Error</v>
      </c>
    </row>
    <row r="497" spans="1:5" x14ac:dyDescent="0.25">
      <c r="A497" s="95">
        <f>'Site Data'!B499</f>
        <v>0</v>
      </c>
      <c r="B497">
        <f>'Site Data'!D499</f>
        <v>0</v>
      </c>
      <c r="C497">
        <f>'Site Data'!E499</f>
        <v>0</v>
      </c>
      <c r="D497" s="97">
        <f t="shared" si="16"/>
        <v>0</v>
      </c>
      <c r="E497" s="98" t="str">
        <f t="shared" si="17"/>
        <v>Error</v>
      </c>
    </row>
    <row r="498" spans="1:5" x14ac:dyDescent="0.25">
      <c r="A498" s="95">
        <f>'Site Data'!B500</f>
        <v>0</v>
      </c>
      <c r="B498">
        <f>'Site Data'!D500</f>
        <v>0</v>
      </c>
      <c r="C498">
        <f>'Site Data'!E500</f>
        <v>0</v>
      </c>
      <c r="D498" s="97">
        <f t="shared" si="16"/>
        <v>0</v>
      </c>
      <c r="E498" s="98" t="str">
        <f t="shared" si="17"/>
        <v>Error</v>
      </c>
    </row>
    <row r="499" spans="1:5" x14ac:dyDescent="0.25">
      <c r="A499" s="95">
        <f>'Site Data'!B501</f>
        <v>0</v>
      </c>
      <c r="B499">
        <f>'Site Data'!D501</f>
        <v>0</v>
      </c>
      <c r="C499">
        <f>'Site Data'!E501</f>
        <v>0</v>
      </c>
      <c r="D499" s="97">
        <f t="shared" si="16"/>
        <v>0</v>
      </c>
      <c r="E499" s="98" t="str">
        <f t="shared" si="17"/>
        <v>Error</v>
      </c>
    </row>
    <row r="500" spans="1:5" x14ac:dyDescent="0.25">
      <c r="A500" s="95">
        <f>'Site Data'!B502</f>
        <v>0</v>
      </c>
      <c r="B500">
        <f>'Site Data'!D502</f>
        <v>0</v>
      </c>
      <c r="C500">
        <f>'Site Data'!E502</f>
        <v>0</v>
      </c>
      <c r="D500" s="97">
        <f t="shared" si="16"/>
        <v>0</v>
      </c>
      <c r="E500" s="98" t="str">
        <f t="shared" si="17"/>
        <v>Error</v>
      </c>
    </row>
    <row r="501" spans="1:5" x14ac:dyDescent="0.25">
      <c r="A501" s="95">
        <f>'Site Data'!B503</f>
        <v>0</v>
      </c>
      <c r="B501">
        <f>'Site Data'!D503</f>
        <v>0</v>
      </c>
      <c r="C501">
        <f>'Site Data'!E503</f>
        <v>0</v>
      </c>
      <c r="D501" s="97">
        <f t="shared" si="16"/>
        <v>0</v>
      </c>
      <c r="E501" s="98" t="str">
        <f t="shared" si="17"/>
        <v>Error</v>
      </c>
    </row>
    <row r="502" spans="1:5" x14ac:dyDescent="0.25">
      <c r="A502" s="95">
        <f>'Site Data'!B504</f>
        <v>0</v>
      </c>
      <c r="B502">
        <f>'Site Data'!D504</f>
        <v>0</v>
      </c>
      <c r="C502">
        <f>'Site Data'!E504</f>
        <v>0</v>
      </c>
      <c r="D502" s="97">
        <f t="shared" si="16"/>
        <v>0</v>
      </c>
      <c r="E502" s="98" t="str">
        <f t="shared" si="17"/>
        <v>Error</v>
      </c>
    </row>
    <row r="503" spans="1:5" x14ac:dyDescent="0.25">
      <c r="A503" s="95">
        <f>'Site Data'!B505</f>
        <v>0</v>
      </c>
      <c r="B503">
        <f>'Site Data'!D505</f>
        <v>0</v>
      </c>
      <c r="C503">
        <f>'Site Data'!E505</f>
        <v>0</v>
      </c>
      <c r="D503" s="97">
        <f t="shared" si="16"/>
        <v>0</v>
      </c>
      <c r="E503" s="98" t="str">
        <f t="shared" si="17"/>
        <v>Error</v>
      </c>
    </row>
    <row r="504" spans="1:5" x14ac:dyDescent="0.25">
      <c r="A504" s="95">
        <f>'Site Data'!B506</f>
        <v>0</v>
      </c>
      <c r="B504">
        <f>'Site Data'!D506</f>
        <v>0</v>
      </c>
      <c r="C504">
        <f>'Site Data'!E506</f>
        <v>0</v>
      </c>
      <c r="D504" s="97">
        <f t="shared" si="16"/>
        <v>0</v>
      </c>
      <c r="E504" s="98" t="str">
        <f t="shared" si="17"/>
        <v>Error</v>
      </c>
    </row>
    <row r="505" spans="1:5" x14ac:dyDescent="0.25">
      <c r="A505" s="95">
        <f>'Site Data'!B507</f>
        <v>0</v>
      </c>
      <c r="B505">
        <f>'Site Data'!D507</f>
        <v>0</v>
      </c>
      <c r="C505">
        <f>'Site Data'!E507</f>
        <v>0</v>
      </c>
      <c r="D505" s="97">
        <f t="shared" si="16"/>
        <v>0</v>
      </c>
      <c r="E505" s="98" t="str">
        <f t="shared" si="17"/>
        <v>Error</v>
      </c>
    </row>
    <row r="506" spans="1:5" x14ac:dyDescent="0.25">
      <c r="A506" s="95">
        <f>'Site Data'!B508</f>
        <v>0</v>
      </c>
      <c r="B506">
        <f>'Site Data'!D508</f>
        <v>0</v>
      </c>
      <c r="C506">
        <f>'Site Data'!E508</f>
        <v>0</v>
      </c>
      <c r="D506" s="97">
        <f t="shared" si="16"/>
        <v>0</v>
      </c>
      <c r="E506" s="98" t="str">
        <f t="shared" si="17"/>
        <v>Error</v>
      </c>
    </row>
    <row r="507" spans="1:5" x14ac:dyDescent="0.25">
      <c r="A507" s="95">
        <f>'Site Data'!B509</f>
        <v>0</v>
      </c>
      <c r="B507">
        <f>'Site Data'!D509</f>
        <v>0</v>
      </c>
      <c r="C507">
        <f>'Site Data'!E509</f>
        <v>0</v>
      </c>
      <c r="D507" s="97">
        <f t="shared" si="16"/>
        <v>0</v>
      </c>
      <c r="E507" s="98" t="str">
        <f t="shared" si="17"/>
        <v>Error</v>
      </c>
    </row>
    <row r="508" spans="1:5" x14ac:dyDescent="0.25">
      <c r="A508" s="95">
        <f>'Site Data'!B510</f>
        <v>0</v>
      </c>
      <c r="B508">
        <f>'Site Data'!D510</f>
        <v>0</v>
      </c>
      <c r="C508">
        <f>'Site Data'!E510</f>
        <v>0</v>
      </c>
      <c r="D508" s="97">
        <f t="shared" si="16"/>
        <v>0</v>
      </c>
      <c r="E508" s="98" t="str">
        <f t="shared" si="17"/>
        <v>Error</v>
      </c>
    </row>
    <row r="509" spans="1:5" x14ac:dyDescent="0.25">
      <c r="A509" s="95">
        <f>'Site Data'!B511</f>
        <v>0</v>
      </c>
      <c r="B509">
        <f>'Site Data'!D511</f>
        <v>0</v>
      </c>
      <c r="C509">
        <f>'Site Data'!E511</f>
        <v>0</v>
      </c>
      <c r="D509" s="97">
        <f t="shared" si="16"/>
        <v>0</v>
      </c>
      <c r="E509" s="98" t="str">
        <f t="shared" si="17"/>
        <v>Error</v>
      </c>
    </row>
    <row r="510" spans="1:5" x14ac:dyDescent="0.25">
      <c r="A510" s="95">
        <f>'Site Data'!B512</f>
        <v>0</v>
      </c>
      <c r="B510">
        <f>'Site Data'!D512</f>
        <v>0</v>
      </c>
      <c r="C510">
        <f>'Site Data'!E512</f>
        <v>0</v>
      </c>
      <c r="D510" s="97">
        <f t="shared" si="16"/>
        <v>0</v>
      </c>
      <c r="E510" s="98" t="str">
        <f t="shared" si="17"/>
        <v>Error</v>
      </c>
    </row>
    <row r="511" spans="1:5" x14ac:dyDescent="0.25">
      <c r="A511" s="95">
        <f>'Site Data'!B513</f>
        <v>0</v>
      </c>
      <c r="B511">
        <f>'Site Data'!D513</f>
        <v>0</v>
      </c>
      <c r="C511">
        <f>'Site Data'!E513</f>
        <v>0</v>
      </c>
      <c r="D511" s="97">
        <f t="shared" si="16"/>
        <v>0</v>
      </c>
      <c r="E511" s="98" t="str">
        <f t="shared" si="17"/>
        <v>Error</v>
      </c>
    </row>
    <row r="512" spans="1:5" x14ac:dyDescent="0.25">
      <c r="A512" s="95">
        <f>'Site Data'!B514</f>
        <v>0</v>
      </c>
      <c r="B512">
        <f>'Site Data'!D514</f>
        <v>0</v>
      </c>
      <c r="C512">
        <f>'Site Data'!E514</f>
        <v>0</v>
      </c>
      <c r="D512" s="97">
        <f t="shared" si="16"/>
        <v>0</v>
      </c>
      <c r="E512" s="98" t="str">
        <f t="shared" si="17"/>
        <v>Error</v>
      </c>
    </row>
    <row r="513" spans="1:5" x14ac:dyDescent="0.25">
      <c r="A513" s="95">
        <f>'Site Data'!B515</f>
        <v>0</v>
      </c>
      <c r="B513">
        <f>'Site Data'!D515</f>
        <v>0</v>
      </c>
      <c r="C513">
        <f>'Site Data'!E515</f>
        <v>0</v>
      </c>
      <c r="D513" s="97">
        <f t="shared" si="16"/>
        <v>0</v>
      </c>
      <c r="E513" s="98" t="str">
        <f t="shared" si="17"/>
        <v>Error</v>
      </c>
    </row>
    <row r="514" spans="1:5" x14ac:dyDescent="0.25">
      <c r="A514" s="95">
        <f>'Site Data'!B516</f>
        <v>0</v>
      </c>
      <c r="B514">
        <f>'Site Data'!D516</f>
        <v>0</v>
      </c>
      <c r="C514">
        <f>'Site Data'!E516</f>
        <v>0</v>
      </c>
      <c r="D514" s="97">
        <f t="shared" ref="D514:D577" si="18">B514-C514</f>
        <v>0</v>
      </c>
      <c r="E514" s="98" t="str">
        <f t="shared" ref="E514:E577" si="19">IF(AND(D514 &gt;= 50, D514 &lt;= 60), "Valid", "Error")</f>
        <v>Error</v>
      </c>
    </row>
    <row r="515" spans="1:5" x14ac:dyDescent="0.25">
      <c r="A515" s="95">
        <f>'Site Data'!B517</f>
        <v>0</v>
      </c>
      <c r="B515">
        <f>'Site Data'!D517</f>
        <v>0</v>
      </c>
      <c r="C515">
        <f>'Site Data'!E517</f>
        <v>0</v>
      </c>
      <c r="D515" s="97">
        <f t="shared" si="18"/>
        <v>0</v>
      </c>
      <c r="E515" s="98" t="str">
        <f t="shared" si="19"/>
        <v>Error</v>
      </c>
    </row>
    <row r="516" spans="1:5" x14ac:dyDescent="0.25">
      <c r="A516" s="95">
        <f>'Site Data'!B518</f>
        <v>0</v>
      </c>
      <c r="B516">
        <f>'Site Data'!D518</f>
        <v>0</v>
      </c>
      <c r="C516">
        <f>'Site Data'!E518</f>
        <v>0</v>
      </c>
      <c r="D516" s="97">
        <f t="shared" si="18"/>
        <v>0</v>
      </c>
      <c r="E516" s="98" t="str">
        <f t="shared" si="19"/>
        <v>Error</v>
      </c>
    </row>
    <row r="517" spans="1:5" x14ac:dyDescent="0.25">
      <c r="A517" s="95">
        <f>'Site Data'!B519</f>
        <v>0</v>
      </c>
      <c r="B517">
        <f>'Site Data'!D519</f>
        <v>0</v>
      </c>
      <c r="C517">
        <f>'Site Data'!E519</f>
        <v>0</v>
      </c>
      <c r="D517" s="97">
        <f t="shared" si="18"/>
        <v>0</v>
      </c>
      <c r="E517" s="98" t="str">
        <f t="shared" si="19"/>
        <v>Error</v>
      </c>
    </row>
    <row r="518" spans="1:5" x14ac:dyDescent="0.25">
      <c r="A518" s="95">
        <f>'Site Data'!B520</f>
        <v>0</v>
      </c>
      <c r="B518">
        <f>'Site Data'!D520</f>
        <v>0</v>
      </c>
      <c r="C518">
        <f>'Site Data'!E520</f>
        <v>0</v>
      </c>
      <c r="D518" s="97">
        <f t="shared" si="18"/>
        <v>0</v>
      </c>
      <c r="E518" s="98" t="str">
        <f t="shared" si="19"/>
        <v>Error</v>
      </c>
    </row>
    <row r="519" spans="1:5" x14ac:dyDescent="0.25">
      <c r="A519" s="95">
        <f>'Site Data'!B521</f>
        <v>0</v>
      </c>
      <c r="B519">
        <f>'Site Data'!D521</f>
        <v>0</v>
      </c>
      <c r="C519">
        <f>'Site Data'!E521</f>
        <v>0</v>
      </c>
      <c r="D519" s="97">
        <f t="shared" si="18"/>
        <v>0</v>
      </c>
      <c r="E519" s="98" t="str">
        <f t="shared" si="19"/>
        <v>Error</v>
      </c>
    </row>
    <row r="520" spans="1:5" x14ac:dyDescent="0.25">
      <c r="A520" s="95">
        <f>'Site Data'!B522</f>
        <v>0</v>
      </c>
      <c r="B520">
        <f>'Site Data'!D522</f>
        <v>0</v>
      </c>
      <c r="C520">
        <f>'Site Data'!E522</f>
        <v>0</v>
      </c>
      <c r="D520" s="97">
        <f t="shared" si="18"/>
        <v>0</v>
      </c>
      <c r="E520" s="98" t="str">
        <f t="shared" si="19"/>
        <v>Error</v>
      </c>
    </row>
    <row r="521" spans="1:5" x14ac:dyDescent="0.25">
      <c r="A521" s="95">
        <f>'Site Data'!B523</f>
        <v>0</v>
      </c>
      <c r="B521">
        <f>'Site Data'!D523</f>
        <v>0</v>
      </c>
      <c r="C521">
        <f>'Site Data'!E523</f>
        <v>0</v>
      </c>
      <c r="D521" s="97">
        <f t="shared" si="18"/>
        <v>0</v>
      </c>
      <c r="E521" s="98" t="str">
        <f t="shared" si="19"/>
        <v>Error</v>
      </c>
    </row>
    <row r="522" spans="1:5" x14ac:dyDescent="0.25">
      <c r="A522" s="95">
        <f>'Site Data'!B524</f>
        <v>0</v>
      </c>
      <c r="B522">
        <f>'Site Data'!D524</f>
        <v>0</v>
      </c>
      <c r="C522">
        <f>'Site Data'!E524</f>
        <v>0</v>
      </c>
      <c r="D522" s="97">
        <f t="shared" si="18"/>
        <v>0</v>
      </c>
      <c r="E522" s="98" t="str">
        <f t="shared" si="19"/>
        <v>Error</v>
      </c>
    </row>
    <row r="523" spans="1:5" x14ac:dyDescent="0.25">
      <c r="A523" s="95">
        <f>'Site Data'!B525</f>
        <v>0</v>
      </c>
      <c r="B523">
        <f>'Site Data'!D525</f>
        <v>0</v>
      </c>
      <c r="C523">
        <f>'Site Data'!E525</f>
        <v>0</v>
      </c>
      <c r="D523" s="97">
        <f t="shared" si="18"/>
        <v>0</v>
      </c>
      <c r="E523" s="98" t="str">
        <f t="shared" si="19"/>
        <v>Error</v>
      </c>
    </row>
    <row r="524" spans="1:5" x14ac:dyDescent="0.25">
      <c r="A524" s="95">
        <f>'Site Data'!B526</f>
        <v>0</v>
      </c>
      <c r="B524">
        <f>'Site Data'!D526</f>
        <v>0</v>
      </c>
      <c r="C524">
        <f>'Site Data'!E526</f>
        <v>0</v>
      </c>
      <c r="D524" s="97">
        <f t="shared" si="18"/>
        <v>0</v>
      </c>
      <c r="E524" s="98" t="str">
        <f t="shared" si="19"/>
        <v>Error</v>
      </c>
    </row>
    <row r="525" spans="1:5" x14ac:dyDescent="0.25">
      <c r="A525" s="95">
        <f>'Site Data'!B527</f>
        <v>0</v>
      </c>
      <c r="B525">
        <f>'Site Data'!D527</f>
        <v>0</v>
      </c>
      <c r="C525">
        <f>'Site Data'!E527</f>
        <v>0</v>
      </c>
      <c r="D525" s="97">
        <f t="shared" si="18"/>
        <v>0</v>
      </c>
      <c r="E525" s="98" t="str">
        <f t="shared" si="19"/>
        <v>Error</v>
      </c>
    </row>
    <row r="526" spans="1:5" x14ac:dyDescent="0.25">
      <c r="A526" s="95">
        <f>'Site Data'!B528</f>
        <v>0</v>
      </c>
      <c r="B526">
        <f>'Site Data'!D528</f>
        <v>0</v>
      </c>
      <c r="C526">
        <f>'Site Data'!E528</f>
        <v>0</v>
      </c>
      <c r="D526" s="97">
        <f t="shared" si="18"/>
        <v>0</v>
      </c>
      <c r="E526" s="98" t="str">
        <f t="shared" si="19"/>
        <v>Error</v>
      </c>
    </row>
    <row r="527" spans="1:5" x14ac:dyDescent="0.25">
      <c r="A527" s="95">
        <f>'Site Data'!B529</f>
        <v>0</v>
      </c>
      <c r="B527">
        <f>'Site Data'!D529</f>
        <v>0</v>
      </c>
      <c r="C527">
        <f>'Site Data'!E529</f>
        <v>0</v>
      </c>
      <c r="D527" s="97">
        <f t="shared" si="18"/>
        <v>0</v>
      </c>
      <c r="E527" s="98" t="str">
        <f t="shared" si="19"/>
        <v>Error</v>
      </c>
    </row>
    <row r="528" spans="1:5" x14ac:dyDescent="0.25">
      <c r="A528" s="95">
        <f>'Site Data'!B530</f>
        <v>0</v>
      </c>
      <c r="B528">
        <f>'Site Data'!D530</f>
        <v>0</v>
      </c>
      <c r="C528">
        <f>'Site Data'!E530</f>
        <v>0</v>
      </c>
      <c r="D528" s="97">
        <f t="shared" si="18"/>
        <v>0</v>
      </c>
      <c r="E528" s="98" t="str">
        <f t="shared" si="19"/>
        <v>Error</v>
      </c>
    </row>
    <row r="529" spans="1:5" x14ac:dyDescent="0.25">
      <c r="A529" s="95">
        <f>'Site Data'!B531</f>
        <v>0</v>
      </c>
      <c r="B529">
        <f>'Site Data'!D531</f>
        <v>0</v>
      </c>
      <c r="C529">
        <f>'Site Data'!E531</f>
        <v>0</v>
      </c>
      <c r="D529" s="97">
        <f t="shared" si="18"/>
        <v>0</v>
      </c>
      <c r="E529" s="98" t="str">
        <f t="shared" si="19"/>
        <v>Error</v>
      </c>
    </row>
    <row r="530" spans="1:5" x14ac:dyDescent="0.25">
      <c r="A530" s="95">
        <f>'Site Data'!B532</f>
        <v>0</v>
      </c>
      <c r="B530">
        <f>'Site Data'!D532</f>
        <v>0</v>
      </c>
      <c r="C530">
        <f>'Site Data'!E532</f>
        <v>0</v>
      </c>
      <c r="D530" s="97">
        <f t="shared" si="18"/>
        <v>0</v>
      </c>
      <c r="E530" s="98" t="str">
        <f t="shared" si="19"/>
        <v>Error</v>
      </c>
    </row>
    <row r="531" spans="1:5" x14ac:dyDescent="0.25">
      <c r="A531" s="95">
        <f>'Site Data'!B533</f>
        <v>0</v>
      </c>
      <c r="B531">
        <f>'Site Data'!D533</f>
        <v>0</v>
      </c>
      <c r="C531">
        <f>'Site Data'!E533</f>
        <v>0</v>
      </c>
      <c r="D531" s="97">
        <f t="shared" si="18"/>
        <v>0</v>
      </c>
      <c r="E531" s="98" t="str">
        <f t="shared" si="19"/>
        <v>Error</v>
      </c>
    </row>
    <row r="532" spans="1:5" x14ac:dyDescent="0.25">
      <c r="A532" s="95">
        <f>'Site Data'!B534</f>
        <v>0</v>
      </c>
      <c r="B532">
        <f>'Site Data'!D534</f>
        <v>0</v>
      </c>
      <c r="C532">
        <f>'Site Data'!E534</f>
        <v>0</v>
      </c>
      <c r="D532" s="97">
        <f t="shared" si="18"/>
        <v>0</v>
      </c>
      <c r="E532" s="98" t="str">
        <f t="shared" si="19"/>
        <v>Error</v>
      </c>
    </row>
    <row r="533" spans="1:5" x14ac:dyDescent="0.25">
      <c r="A533" s="95">
        <f>'Site Data'!B535</f>
        <v>0</v>
      </c>
      <c r="B533">
        <f>'Site Data'!D535</f>
        <v>0</v>
      </c>
      <c r="C533">
        <f>'Site Data'!E535</f>
        <v>0</v>
      </c>
      <c r="D533" s="97">
        <f t="shared" si="18"/>
        <v>0</v>
      </c>
      <c r="E533" s="98" t="str">
        <f t="shared" si="19"/>
        <v>Error</v>
      </c>
    </row>
    <row r="534" spans="1:5" x14ac:dyDescent="0.25">
      <c r="A534" s="95">
        <f>'Site Data'!B536</f>
        <v>0</v>
      </c>
      <c r="B534">
        <f>'Site Data'!D536</f>
        <v>0</v>
      </c>
      <c r="C534">
        <f>'Site Data'!E536</f>
        <v>0</v>
      </c>
      <c r="D534" s="97">
        <f t="shared" si="18"/>
        <v>0</v>
      </c>
      <c r="E534" s="98" t="str">
        <f t="shared" si="19"/>
        <v>Error</v>
      </c>
    </row>
    <row r="535" spans="1:5" x14ac:dyDescent="0.25">
      <c r="A535" s="95">
        <f>'Site Data'!B537</f>
        <v>0</v>
      </c>
      <c r="B535">
        <f>'Site Data'!D537</f>
        <v>0</v>
      </c>
      <c r="C535">
        <f>'Site Data'!E537</f>
        <v>0</v>
      </c>
      <c r="D535" s="97">
        <f t="shared" si="18"/>
        <v>0</v>
      </c>
      <c r="E535" s="98" t="str">
        <f t="shared" si="19"/>
        <v>Error</v>
      </c>
    </row>
    <row r="536" spans="1:5" x14ac:dyDescent="0.25">
      <c r="A536" s="95">
        <f>'Site Data'!B538</f>
        <v>0</v>
      </c>
      <c r="B536">
        <f>'Site Data'!D538</f>
        <v>0</v>
      </c>
      <c r="C536">
        <f>'Site Data'!E538</f>
        <v>0</v>
      </c>
      <c r="D536" s="97">
        <f t="shared" si="18"/>
        <v>0</v>
      </c>
      <c r="E536" s="98" t="str">
        <f t="shared" si="19"/>
        <v>Error</v>
      </c>
    </row>
    <row r="537" spans="1:5" x14ac:dyDescent="0.25">
      <c r="A537" s="95">
        <f>'Site Data'!B539</f>
        <v>0</v>
      </c>
      <c r="B537">
        <f>'Site Data'!D539</f>
        <v>0</v>
      </c>
      <c r="C537">
        <f>'Site Data'!E539</f>
        <v>0</v>
      </c>
      <c r="D537" s="97">
        <f t="shared" si="18"/>
        <v>0</v>
      </c>
      <c r="E537" s="98" t="str">
        <f t="shared" si="19"/>
        <v>Error</v>
      </c>
    </row>
    <row r="538" spans="1:5" x14ac:dyDescent="0.25">
      <c r="A538" s="95">
        <f>'Site Data'!B540</f>
        <v>0</v>
      </c>
      <c r="B538">
        <f>'Site Data'!D540</f>
        <v>0</v>
      </c>
      <c r="C538">
        <f>'Site Data'!E540</f>
        <v>0</v>
      </c>
      <c r="D538" s="97">
        <f t="shared" si="18"/>
        <v>0</v>
      </c>
      <c r="E538" s="98" t="str">
        <f t="shared" si="19"/>
        <v>Error</v>
      </c>
    </row>
    <row r="539" spans="1:5" x14ac:dyDescent="0.25">
      <c r="A539" s="95">
        <f>'Site Data'!B541</f>
        <v>0</v>
      </c>
      <c r="B539">
        <f>'Site Data'!D541</f>
        <v>0</v>
      </c>
      <c r="C539">
        <f>'Site Data'!E541</f>
        <v>0</v>
      </c>
      <c r="D539" s="97">
        <f t="shared" si="18"/>
        <v>0</v>
      </c>
      <c r="E539" s="98" t="str">
        <f t="shared" si="19"/>
        <v>Error</v>
      </c>
    </row>
    <row r="540" spans="1:5" x14ac:dyDescent="0.25">
      <c r="A540" s="95">
        <f>'Site Data'!B542</f>
        <v>0</v>
      </c>
      <c r="B540">
        <f>'Site Data'!D542</f>
        <v>0</v>
      </c>
      <c r="C540">
        <f>'Site Data'!E542</f>
        <v>0</v>
      </c>
      <c r="D540" s="97">
        <f t="shared" si="18"/>
        <v>0</v>
      </c>
      <c r="E540" s="98" t="str">
        <f t="shared" si="19"/>
        <v>Error</v>
      </c>
    </row>
    <row r="541" spans="1:5" x14ac:dyDescent="0.25">
      <c r="A541" s="95">
        <f>'Site Data'!B543</f>
        <v>0</v>
      </c>
      <c r="B541">
        <f>'Site Data'!D543</f>
        <v>0</v>
      </c>
      <c r="C541">
        <f>'Site Data'!E543</f>
        <v>0</v>
      </c>
      <c r="D541" s="97">
        <f t="shared" si="18"/>
        <v>0</v>
      </c>
      <c r="E541" s="98" t="str">
        <f t="shared" si="19"/>
        <v>Error</v>
      </c>
    </row>
    <row r="542" spans="1:5" x14ac:dyDescent="0.25">
      <c r="A542" s="95">
        <f>'Site Data'!B544</f>
        <v>0</v>
      </c>
      <c r="B542">
        <f>'Site Data'!D544</f>
        <v>0</v>
      </c>
      <c r="C542">
        <f>'Site Data'!E544</f>
        <v>0</v>
      </c>
      <c r="D542" s="97">
        <f t="shared" si="18"/>
        <v>0</v>
      </c>
      <c r="E542" s="98" t="str">
        <f t="shared" si="19"/>
        <v>Error</v>
      </c>
    </row>
    <row r="543" spans="1:5" x14ac:dyDescent="0.25">
      <c r="A543" s="95">
        <f>'Site Data'!B545</f>
        <v>0</v>
      </c>
      <c r="B543">
        <f>'Site Data'!D545</f>
        <v>0</v>
      </c>
      <c r="C543">
        <f>'Site Data'!E545</f>
        <v>0</v>
      </c>
      <c r="D543" s="97">
        <f t="shared" si="18"/>
        <v>0</v>
      </c>
      <c r="E543" s="98" t="str">
        <f t="shared" si="19"/>
        <v>Error</v>
      </c>
    </row>
    <row r="544" spans="1:5" x14ac:dyDescent="0.25">
      <c r="A544" s="95">
        <f>'Site Data'!B546</f>
        <v>0</v>
      </c>
      <c r="B544">
        <f>'Site Data'!D546</f>
        <v>0</v>
      </c>
      <c r="C544">
        <f>'Site Data'!E546</f>
        <v>0</v>
      </c>
      <c r="D544" s="97">
        <f t="shared" si="18"/>
        <v>0</v>
      </c>
      <c r="E544" s="98" t="str">
        <f t="shared" si="19"/>
        <v>Error</v>
      </c>
    </row>
    <row r="545" spans="1:5" x14ac:dyDescent="0.25">
      <c r="A545" s="95">
        <f>'Site Data'!B547</f>
        <v>0</v>
      </c>
      <c r="B545">
        <f>'Site Data'!D547</f>
        <v>0</v>
      </c>
      <c r="C545">
        <f>'Site Data'!E547</f>
        <v>0</v>
      </c>
      <c r="D545" s="97">
        <f t="shared" si="18"/>
        <v>0</v>
      </c>
      <c r="E545" s="98" t="str">
        <f t="shared" si="19"/>
        <v>Error</v>
      </c>
    </row>
    <row r="546" spans="1:5" x14ac:dyDescent="0.25">
      <c r="A546" s="95">
        <f>'Site Data'!B548</f>
        <v>0</v>
      </c>
      <c r="B546">
        <f>'Site Data'!D548</f>
        <v>0</v>
      </c>
      <c r="C546">
        <f>'Site Data'!E548</f>
        <v>0</v>
      </c>
      <c r="D546" s="97">
        <f t="shared" si="18"/>
        <v>0</v>
      </c>
      <c r="E546" s="98" t="str">
        <f t="shared" si="19"/>
        <v>Error</v>
      </c>
    </row>
    <row r="547" spans="1:5" x14ac:dyDescent="0.25">
      <c r="A547" s="95">
        <f>'Site Data'!B549</f>
        <v>0</v>
      </c>
      <c r="B547">
        <f>'Site Data'!D549</f>
        <v>0</v>
      </c>
      <c r="C547">
        <f>'Site Data'!E549</f>
        <v>0</v>
      </c>
      <c r="D547" s="97">
        <f t="shared" si="18"/>
        <v>0</v>
      </c>
      <c r="E547" s="98" t="str">
        <f t="shared" si="19"/>
        <v>Error</v>
      </c>
    </row>
    <row r="548" spans="1:5" x14ac:dyDescent="0.25">
      <c r="A548" s="95">
        <f>'Site Data'!B550</f>
        <v>0</v>
      </c>
      <c r="B548">
        <f>'Site Data'!D550</f>
        <v>0</v>
      </c>
      <c r="C548">
        <f>'Site Data'!E550</f>
        <v>0</v>
      </c>
      <c r="D548" s="97">
        <f t="shared" si="18"/>
        <v>0</v>
      </c>
      <c r="E548" s="98" t="str">
        <f t="shared" si="19"/>
        <v>Error</v>
      </c>
    </row>
    <row r="549" spans="1:5" x14ac:dyDescent="0.25">
      <c r="A549" s="95">
        <f>'Site Data'!B551</f>
        <v>0</v>
      </c>
      <c r="B549">
        <f>'Site Data'!D551</f>
        <v>0</v>
      </c>
      <c r="C549">
        <f>'Site Data'!E551</f>
        <v>0</v>
      </c>
      <c r="D549" s="97">
        <f t="shared" si="18"/>
        <v>0</v>
      </c>
      <c r="E549" s="98" t="str">
        <f t="shared" si="19"/>
        <v>Error</v>
      </c>
    </row>
    <row r="550" spans="1:5" x14ac:dyDescent="0.25">
      <c r="A550" s="95">
        <f>'Site Data'!B552</f>
        <v>0</v>
      </c>
      <c r="B550">
        <f>'Site Data'!D552</f>
        <v>0</v>
      </c>
      <c r="C550">
        <f>'Site Data'!E552</f>
        <v>0</v>
      </c>
      <c r="D550" s="97">
        <f t="shared" si="18"/>
        <v>0</v>
      </c>
      <c r="E550" s="98" t="str">
        <f t="shared" si="19"/>
        <v>Error</v>
      </c>
    </row>
    <row r="551" spans="1:5" x14ac:dyDescent="0.25">
      <c r="A551" s="95">
        <f>'Site Data'!B553</f>
        <v>0</v>
      </c>
      <c r="B551">
        <f>'Site Data'!D553</f>
        <v>0</v>
      </c>
      <c r="C551">
        <f>'Site Data'!E553</f>
        <v>0</v>
      </c>
      <c r="D551" s="97">
        <f t="shared" si="18"/>
        <v>0</v>
      </c>
      <c r="E551" s="98" t="str">
        <f t="shared" si="19"/>
        <v>Error</v>
      </c>
    </row>
    <row r="552" spans="1:5" x14ac:dyDescent="0.25">
      <c r="A552" s="95">
        <f>'Site Data'!B554</f>
        <v>0</v>
      </c>
      <c r="B552">
        <f>'Site Data'!D554</f>
        <v>0</v>
      </c>
      <c r="C552">
        <f>'Site Data'!E554</f>
        <v>0</v>
      </c>
      <c r="D552" s="97">
        <f t="shared" si="18"/>
        <v>0</v>
      </c>
      <c r="E552" s="98" t="str">
        <f t="shared" si="19"/>
        <v>Error</v>
      </c>
    </row>
    <row r="553" spans="1:5" x14ac:dyDescent="0.25">
      <c r="A553" s="95">
        <f>'Site Data'!B555</f>
        <v>0</v>
      </c>
      <c r="B553">
        <f>'Site Data'!D555</f>
        <v>0</v>
      </c>
      <c r="C553">
        <f>'Site Data'!E555</f>
        <v>0</v>
      </c>
      <c r="D553" s="97">
        <f t="shared" si="18"/>
        <v>0</v>
      </c>
      <c r="E553" s="98" t="str">
        <f t="shared" si="19"/>
        <v>Error</v>
      </c>
    </row>
    <row r="554" spans="1:5" x14ac:dyDescent="0.25">
      <c r="A554" s="95">
        <f>'Site Data'!B556</f>
        <v>0</v>
      </c>
      <c r="B554">
        <f>'Site Data'!D556</f>
        <v>0</v>
      </c>
      <c r="C554">
        <f>'Site Data'!E556</f>
        <v>0</v>
      </c>
      <c r="D554" s="97">
        <f t="shared" si="18"/>
        <v>0</v>
      </c>
      <c r="E554" s="98" t="str">
        <f t="shared" si="19"/>
        <v>Error</v>
      </c>
    </row>
    <row r="555" spans="1:5" x14ac:dyDescent="0.25">
      <c r="A555" s="95">
        <f>'Site Data'!B557</f>
        <v>0</v>
      </c>
      <c r="B555">
        <f>'Site Data'!D557</f>
        <v>0</v>
      </c>
      <c r="C555">
        <f>'Site Data'!E557</f>
        <v>0</v>
      </c>
      <c r="D555" s="97">
        <f t="shared" si="18"/>
        <v>0</v>
      </c>
      <c r="E555" s="98" t="str">
        <f t="shared" si="19"/>
        <v>Error</v>
      </c>
    </row>
    <row r="556" spans="1:5" x14ac:dyDescent="0.25">
      <c r="A556" s="95">
        <f>'Site Data'!B558</f>
        <v>0</v>
      </c>
      <c r="B556">
        <f>'Site Data'!D558</f>
        <v>0</v>
      </c>
      <c r="C556">
        <f>'Site Data'!E558</f>
        <v>0</v>
      </c>
      <c r="D556" s="97">
        <f t="shared" si="18"/>
        <v>0</v>
      </c>
      <c r="E556" s="98" t="str">
        <f t="shared" si="19"/>
        <v>Error</v>
      </c>
    </row>
    <row r="557" spans="1:5" x14ac:dyDescent="0.25">
      <c r="A557" s="95">
        <f>'Site Data'!B559</f>
        <v>0</v>
      </c>
      <c r="B557">
        <f>'Site Data'!D559</f>
        <v>0</v>
      </c>
      <c r="C557">
        <f>'Site Data'!E559</f>
        <v>0</v>
      </c>
      <c r="D557" s="97">
        <f t="shared" si="18"/>
        <v>0</v>
      </c>
      <c r="E557" s="98" t="str">
        <f t="shared" si="19"/>
        <v>Error</v>
      </c>
    </row>
    <row r="558" spans="1:5" x14ac:dyDescent="0.25">
      <c r="A558" s="95">
        <f>'Site Data'!B560</f>
        <v>0</v>
      </c>
      <c r="B558">
        <f>'Site Data'!D560</f>
        <v>0</v>
      </c>
      <c r="C558">
        <f>'Site Data'!E560</f>
        <v>0</v>
      </c>
      <c r="D558" s="97">
        <f t="shared" si="18"/>
        <v>0</v>
      </c>
      <c r="E558" s="98" t="str">
        <f t="shared" si="19"/>
        <v>Error</v>
      </c>
    </row>
    <row r="559" spans="1:5" x14ac:dyDescent="0.25">
      <c r="A559" s="95">
        <f>'Site Data'!B561</f>
        <v>0</v>
      </c>
      <c r="B559">
        <f>'Site Data'!D561</f>
        <v>0</v>
      </c>
      <c r="C559">
        <f>'Site Data'!E561</f>
        <v>0</v>
      </c>
      <c r="D559" s="97">
        <f t="shared" si="18"/>
        <v>0</v>
      </c>
      <c r="E559" s="98" t="str">
        <f t="shared" si="19"/>
        <v>Error</v>
      </c>
    </row>
    <row r="560" spans="1:5" x14ac:dyDescent="0.25">
      <c r="A560" s="95">
        <f>'Site Data'!B562</f>
        <v>0</v>
      </c>
      <c r="B560">
        <f>'Site Data'!D562</f>
        <v>0</v>
      </c>
      <c r="C560">
        <f>'Site Data'!E562</f>
        <v>0</v>
      </c>
      <c r="D560" s="97">
        <f t="shared" si="18"/>
        <v>0</v>
      </c>
      <c r="E560" s="98" t="str">
        <f t="shared" si="19"/>
        <v>Error</v>
      </c>
    </row>
    <row r="561" spans="1:5" x14ac:dyDescent="0.25">
      <c r="A561" s="95">
        <f>'Site Data'!B563</f>
        <v>0</v>
      </c>
      <c r="B561">
        <f>'Site Data'!D563</f>
        <v>0</v>
      </c>
      <c r="C561">
        <f>'Site Data'!E563</f>
        <v>0</v>
      </c>
      <c r="D561" s="97">
        <f t="shared" si="18"/>
        <v>0</v>
      </c>
      <c r="E561" s="98" t="str">
        <f t="shared" si="19"/>
        <v>Error</v>
      </c>
    </row>
    <row r="562" spans="1:5" x14ac:dyDescent="0.25">
      <c r="A562" s="95">
        <f>'Site Data'!B564</f>
        <v>0</v>
      </c>
      <c r="B562">
        <f>'Site Data'!D564</f>
        <v>0</v>
      </c>
      <c r="C562">
        <f>'Site Data'!E564</f>
        <v>0</v>
      </c>
      <c r="D562" s="97">
        <f t="shared" si="18"/>
        <v>0</v>
      </c>
      <c r="E562" s="98" t="str">
        <f t="shared" si="19"/>
        <v>Error</v>
      </c>
    </row>
    <row r="563" spans="1:5" x14ac:dyDescent="0.25">
      <c r="A563" s="95">
        <f>'Site Data'!B565</f>
        <v>0</v>
      </c>
      <c r="B563">
        <f>'Site Data'!D565</f>
        <v>0</v>
      </c>
      <c r="C563">
        <f>'Site Data'!E565</f>
        <v>0</v>
      </c>
      <c r="D563" s="97">
        <f t="shared" si="18"/>
        <v>0</v>
      </c>
      <c r="E563" s="98" t="str">
        <f t="shared" si="19"/>
        <v>Error</v>
      </c>
    </row>
    <row r="564" spans="1:5" x14ac:dyDescent="0.25">
      <c r="A564" s="95">
        <f>'Site Data'!B566</f>
        <v>0</v>
      </c>
      <c r="B564">
        <f>'Site Data'!D566</f>
        <v>0</v>
      </c>
      <c r="C564">
        <f>'Site Data'!E566</f>
        <v>0</v>
      </c>
      <c r="D564" s="97">
        <f t="shared" si="18"/>
        <v>0</v>
      </c>
      <c r="E564" s="98" t="str">
        <f t="shared" si="19"/>
        <v>Error</v>
      </c>
    </row>
    <row r="565" spans="1:5" x14ac:dyDescent="0.25">
      <c r="A565" s="95">
        <f>'Site Data'!B567</f>
        <v>0</v>
      </c>
      <c r="B565">
        <f>'Site Data'!D567</f>
        <v>0</v>
      </c>
      <c r="C565">
        <f>'Site Data'!E567</f>
        <v>0</v>
      </c>
      <c r="D565" s="97">
        <f t="shared" si="18"/>
        <v>0</v>
      </c>
      <c r="E565" s="98" t="str">
        <f t="shared" si="19"/>
        <v>Error</v>
      </c>
    </row>
    <row r="566" spans="1:5" x14ac:dyDescent="0.25">
      <c r="A566" s="95">
        <f>'Site Data'!B568</f>
        <v>0</v>
      </c>
      <c r="B566">
        <f>'Site Data'!D568</f>
        <v>0</v>
      </c>
      <c r="C566">
        <f>'Site Data'!E568</f>
        <v>0</v>
      </c>
      <c r="D566" s="97">
        <f t="shared" si="18"/>
        <v>0</v>
      </c>
      <c r="E566" s="98" t="str">
        <f t="shared" si="19"/>
        <v>Error</v>
      </c>
    </row>
    <row r="567" spans="1:5" x14ac:dyDescent="0.25">
      <c r="A567" s="95">
        <f>'Site Data'!B569</f>
        <v>0</v>
      </c>
      <c r="B567">
        <f>'Site Data'!D569</f>
        <v>0</v>
      </c>
      <c r="C567">
        <f>'Site Data'!E569</f>
        <v>0</v>
      </c>
      <c r="D567" s="97">
        <f t="shared" si="18"/>
        <v>0</v>
      </c>
      <c r="E567" s="98" t="str">
        <f t="shared" si="19"/>
        <v>Error</v>
      </c>
    </row>
    <row r="568" spans="1:5" x14ac:dyDescent="0.25">
      <c r="A568" s="95">
        <f>'Site Data'!B570</f>
        <v>0</v>
      </c>
      <c r="B568">
        <f>'Site Data'!D570</f>
        <v>0</v>
      </c>
      <c r="C568">
        <f>'Site Data'!E570</f>
        <v>0</v>
      </c>
      <c r="D568" s="97">
        <f t="shared" si="18"/>
        <v>0</v>
      </c>
      <c r="E568" s="98" t="str">
        <f t="shared" si="19"/>
        <v>Error</v>
      </c>
    </row>
    <row r="569" spans="1:5" x14ac:dyDescent="0.25">
      <c r="A569" s="95">
        <f>'Site Data'!B571</f>
        <v>0</v>
      </c>
      <c r="B569">
        <f>'Site Data'!D571</f>
        <v>0</v>
      </c>
      <c r="C569">
        <f>'Site Data'!E571</f>
        <v>0</v>
      </c>
      <c r="D569" s="97">
        <f t="shared" si="18"/>
        <v>0</v>
      </c>
      <c r="E569" s="98" t="str">
        <f t="shared" si="19"/>
        <v>Error</v>
      </c>
    </row>
    <row r="570" spans="1:5" x14ac:dyDescent="0.25">
      <c r="A570" s="95">
        <f>'Site Data'!B572</f>
        <v>0</v>
      </c>
      <c r="B570">
        <f>'Site Data'!D572</f>
        <v>0</v>
      </c>
      <c r="C570">
        <f>'Site Data'!E572</f>
        <v>0</v>
      </c>
      <c r="D570" s="97">
        <f t="shared" si="18"/>
        <v>0</v>
      </c>
      <c r="E570" s="98" t="str">
        <f t="shared" si="19"/>
        <v>Error</v>
      </c>
    </row>
    <row r="571" spans="1:5" x14ac:dyDescent="0.25">
      <c r="A571" s="95">
        <f>'Site Data'!B573</f>
        <v>0</v>
      </c>
      <c r="B571">
        <f>'Site Data'!D573</f>
        <v>0</v>
      </c>
      <c r="C571">
        <f>'Site Data'!E573</f>
        <v>0</v>
      </c>
      <c r="D571" s="97">
        <f t="shared" si="18"/>
        <v>0</v>
      </c>
      <c r="E571" s="98" t="str">
        <f t="shared" si="19"/>
        <v>Error</v>
      </c>
    </row>
    <row r="572" spans="1:5" x14ac:dyDescent="0.25">
      <c r="A572" s="95">
        <f>'Site Data'!B574</f>
        <v>0</v>
      </c>
      <c r="B572">
        <f>'Site Data'!D574</f>
        <v>0</v>
      </c>
      <c r="C572">
        <f>'Site Data'!E574</f>
        <v>0</v>
      </c>
      <c r="D572" s="97">
        <f t="shared" si="18"/>
        <v>0</v>
      </c>
      <c r="E572" s="98" t="str">
        <f t="shared" si="19"/>
        <v>Error</v>
      </c>
    </row>
    <row r="573" spans="1:5" x14ac:dyDescent="0.25">
      <c r="A573" s="95">
        <f>'Site Data'!B575</f>
        <v>0</v>
      </c>
      <c r="B573">
        <f>'Site Data'!D575</f>
        <v>0</v>
      </c>
      <c r="C573">
        <f>'Site Data'!E575</f>
        <v>0</v>
      </c>
      <c r="D573" s="97">
        <f t="shared" si="18"/>
        <v>0</v>
      </c>
      <c r="E573" s="98" t="str">
        <f t="shared" si="19"/>
        <v>Error</v>
      </c>
    </row>
    <row r="574" spans="1:5" x14ac:dyDescent="0.25">
      <c r="A574" s="95">
        <f>'Site Data'!B576</f>
        <v>0</v>
      </c>
      <c r="B574">
        <f>'Site Data'!D576</f>
        <v>0</v>
      </c>
      <c r="C574">
        <f>'Site Data'!E576</f>
        <v>0</v>
      </c>
      <c r="D574" s="97">
        <f t="shared" si="18"/>
        <v>0</v>
      </c>
      <c r="E574" s="98" t="str">
        <f t="shared" si="19"/>
        <v>Error</v>
      </c>
    </row>
    <row r="575" spans="1:5" x14ac:dyDescent="0.25">
      <c r="A575" s="95">
        <f>'Site Data'!B577</f>
        <v>0</v>
      </c>
      <c r="B575">
        <f>'Site Data'!D577</f>
        <v>0</v>
      </c>
      <c r="C575">
        <f>'Site Data'!E577</f>
        <v>0</v>
      </c>
      <c r="D575" s="97">
        <f t="shared" si="18"/>
        <v>0</v>
      </c>
      <c r="E575" s="98" t="str">
        <f t="shared" si="19"/>
        <v>Error</v>
      </c>
    </row>
    <row r="576" spans="1:5" x14ac:dyDescent="0.25">
      <c r="A576" s="95">
        <f>'Site Data'!B578</f>
        <v>0</v>
      </c>
      <c r="B576">
        <f>'Site Data'!D578</f>
        <v>0</v>
      </c>
      <c r="C576">
        <f>'Site Data'!E578</f>
        <v>0</v>
      </c>
      <c r="D576" s="97">
        <f t="shared" si="18"/>
        <v>0</v>
      </c>
      <c r="E576" s="98" t="str">
        <f t="shared" si="19"/>
        <v>Error</v>
      </c>
    </row>
    <row r="577" spans="1:5" x14ac:dyDescent="0.25">
      <c r="A577" s="95">
        <f>'Site Data'!B579</f>
        <v>0</v>
      </c>
      <c r="B577">
        <f>'Site Data'!D579</f>
        <v>0</v>
      </c>
      <c r="C577">
        <f>'Site Data'!E579</f>
        <v>0</v>
      </c>
      <c r="D577" s="97">
        <f t="shared" si="18"/>
        <v>0</v>
      </c>
      <c r="E577" s="98" t="str">
        <f t="shared" si="19"/>
        <v>Error</v>
      </c>
    </row>
    <row r="578" spans="1:5" x14ac:dyDescent="0.25">
      <c r="A578" s="95">
        <f>'Site Data'!B580</f>
        <v>0</v>
      </c>
      <c r="B578">
        <f>'Site Data'!D580</f>
        <v>0</v>
      </c>
      <c r="C578">
        <f>'Site Data'!E580</f>
        <v>0</v>
      </c>
      <c r="D578" s="97">
        <f t="shared" ref="D578:D641" si="20">B578-C578</f>
        <v>0</v>
      </c>
      <c r="E578" s="98" t="str">
        <f t="shared" ref="E578:E641" si="21">IF(AND(D578 &gt;= 50, D578 &lt;= 60), "Valid", "Error")</f>
        <v>Error</v>
      </c>
    </row>
    <row r="579" spans="1:5" x14ac:dyDescent="0.25">
      <c r="A579" s="95">
        <f>'Site Data'!B581</f>
        <v>0</v>
      </c>
      <c r="B579">
        <f>'Site Data'!D581</f>
        <v>0</v>
      </c>
      <c r="C579">
        <f>'Site Data'!E581</f>
        <v>0</v>
      </c>
      <c r="D579" s="97">
        <f t="shared" si="20"/>
        <v>0</v>
      </c>
      <c r="E579" s="98" t="str">
        <f t="shared" si="21"/>
        <v>Error</v>
      </c>
    </row>
    <row r="580" spans="1:5" x14ac:dyDescent="0.25">
      <c r="A580" s="95">
        <f>'Site Data'!B582</f>
        <v>0</v>
      </c>
      <c r="B580">
        <f>'Site Data'!D582</f>
        <v>0</v>
      </c>
      <c r="C580">
        <f>'Site Data'!E582</f>
        <v>0</v>
      </c>
      <c r="D580" s="97">
        <f t="shared" si="20"/>
        <v>0</v>
      </c>
      <c r="E580" s="98" t="str">
        <f t="shared" si="21"/>
        <v>Error</v>
      </c>
    </row>
    <row r="581" spans="1:5" x14ac:dyDescent="0.25">
      <c r="A581" s="95">
        <f>'Site Data'!B583</f>
        <v>0</v>
      </c>
      <c r="B581">
        <f>'Site Data'!D583</f>
        <v>0</v>
      </c>
      <c r="C581">
        <f>'Site Data'!E583</f>
        <v>0</v>
      </c>
      <c r="D581" s="97">
        <f t="shared" si="20"/>
        <v>0</v>
      </c>
      <c r="E581" s="98" t="str">
        <f t="shared" si="21"/>
        <v>Error</v>
      </c>
    </row>
    <row r="582" spans="1:5" x14ac:dyDescent="0.25">
      <c r="A582" s="95">
        <f>'Site Data'!B584</f>
        <v>0</v>
      </c>
      <c r="B582">
        <f>'Site Data'!D584</f>
        <v>0</v>
      </c>
      <c r="C582">
        <f>'Site Data'!E584</f>
        <v>0</v>
      </c>
      <c r="D582" s="97">
        <f t="shared" si="20"/>
        <v>0</v>
      </c>
      <c r="E582" s="98" t="str">
        <f t="shared" si="21"/>
        <v>Error</v>
      </c>
    </row>
    <row r="583" spans="1:5" x14ac:dyDescent="0.25">
      <c r="A583" s="95">
        <f>'Site Data'!B585</f>
        <v>0</v>
      </c>
      <c r="B583">
        <f>'Site Data'!D585</f>
        <v>0</v>
      </c>
      <c r="C583">
        <f>'Site Data'!E585</f>
        <v>0</v>
      </c>
      <c r="D583" s="97">
        <f t="shared" si="20"/>
        <v>0</v>
      </c>
      <c r="E583" s="98" t="str">
        <f t="shared" si="21"/>
        <v>Error</v>
      </c>
    </row>
    <row r="584" spans="1:5" x14ac:dyDescent="0.25">
      <c r="A584" s="95">
        <f>'Site Data'!B586</f>
        <v>0</v>
      </c>
      <c r="B584">
        <f>'Site Data'!D586</f>
        <v>0</v>
      </c>
      <c r="C584">
        <f>'Site Data'!E586</f>
        <v>0</v>
      </c>
      <c r="D584" s="97">
        <f t="shared" si="20"/>
        <v>0</v>
      </c>
      <c r="E584" s="98" t="str">
        <f t="shared" si="21"/>
        <v>Error</v>
      </c>
    </row>
    <row r="585" spans="1:5" x14ac:dyDescent="0.25">
      <c r="A585" s="95">
        <f>'Site Data'!B587</f>
        <v>0</v>
      </c>
      <c r="B585">
        <f>'Site Data'!D587</f>
        <v>0</v>
      </c>
      <c r="C585">
        <f>'Site Data'!E587</f>
        <v>0</v>
      </c>
      <c r="D585" s="97">
        <f t="shared" si="20"/>
        <v>0</v>
      </c>
      <c r="E585" s="98" t="str">
        <f t="shared" si="21"/>
        <v>Error</v>
      </c>
    </row>
    <row r="586" spans="1:5" x14ac:dyDescent="0.25">
      <c r="A586" s="95">
        <f>'Site Data'!B588</f>
        <v>0</v>
      </c>
      <c r="B586">
        <f>'Site Data'!D588</f>
        <v>0</v>
      </c>
      <c r="C586">
        <f>'Site Data'!E588</f>
        <v>0</v>
      </c>
      <c r="D586" s="97">
        <f t="shared" si="20"/>
        <v>0</v>
      </c>
      <c r="E586" s="98" t="str">
        <f t="shared" si="21"/>
        <v>Error</v>
      </c>
    </row>
    <row r="587" spans="1:5" x14ac:dyDescent="0.25">
      <c r="A587" s="95">
        <f>'Site Data'!B589</f>
        <v>0</v>
      </c>
      <c r="B587">
        <f>'Site Data'!D589</f>
        <v>0</v>
      </c>
      <c r="C587">
        <f>'Site Data'!E589</f>
        <v>0</v>
      </c>
      <c r="D587" s="97">
        <f t="shared" si="20"/>
        <v>0</v>
      </c>
      <c r="E587" s="98" t="str">
        <f t="shared" si="21"/>
        <v>Error</v>
      </c>
    </row>
    <row r="588" spans="1:5" x14ac:dyDescent="0.25">
      <c r="A588" s="95">
        <f>'Site Data'!B590</f>
        <v>0</v>
      </c>
      <c r="B588">
        <f>'Site Data'!D590</f>
        <v>0</v>
      </c>
      <c r="C588">
        <f>'Site Data'!E590</f>
        <v>0</v>
      </c>
      <c r="D588" s="97">
        <f t="shared" si="20"/>
        <v>0</v>
      </c>
      <c r="E588" s="98" t="str">
        <f t="shared" si="21"/>
        <v>Error</v>
      </c>
    </row>
    <row r="589" spans="1:5" x14ac:dyDescent="0.25">
      <c r="A589" s="95">
        <f>'Site Data'!B591</f>
        <v>0</v>
      </c>
      <c r="B589">
        <f>'Site Data'!D591</f>
        <v>0</v>
      </c>
      <c r="C589">
        <f>'Site Data'!E591</f>
        <v>0</v>
      </c>
      <c r="D589" s="97">
        <f t="shared" si="20"/>
        <v>0</v>
      </c>
      <c r="E589" s="98" t="str">
        <f t="shared" si="21"/>
        <v>Error</v>
      </c>
    </row>
    <row r="590" spans="1:5" x14ac:dyDescent="0.25">
      <c r="A590" s="95">
        <f>'Site Data'!B592</f>
        <v>0</v>
      </c>
      <c r="B590">
        <f>'Site Data'!D592</f>
        <v>0</v>
      </c>
      <c r="C590">
        <f>'Site Data'!E592</f>
        <v>0</v>
      </c>
      <c r="D590" s="97">
        <f t="shared" si="20"/>
        <v>0</v>
      </c>
      <c r="E590" s="98" t="str">
        <f t="shared" si="21"/>
        <v>Error</v>
      </c>
    </row>
    <row r="591" spans="1:5" x14ac:dyDescent="0.25">
      <c r="A591" s="95">
        <f>'Site Data'!B593</f>
        <v>0</v>
      </c>
      <c r="B591">
        <f>'Site Data'!D593</f>
        <v>0</v>
      </c>
      <c r="C591">
        <f>'Site Data'!E593</f>
        <v>0</v>
      </c>
      <c r="D591" s="97">
        <f t="shared" si="20"/>
        <v>0</v>
      </c>
      <c r="E591" s="98" t="str">
        <f t="shared" si="21"/>
        <v>Error</v>
      </c>
    </row>
    <row r="592" spans="1:5" x14ac:dyDescent="0.25">
      <c r="A592" s="95">
        <f>'Site Data'!B594</f>
        <v>0</v>
      </c>
      <c r="B592">
        <f>'Site Data'!D594</f>
        <v>0</v>
      </c>
      <c r="C592">
        <f>'Site Data'!E594</f>
        <v>0</v>
      </c>
      <c r="D592" s="97">
        <f t="shared" si="20"/>
        <v>0</v>
      </c>
      <c r="E592" s="98" t="str">
        <f t="shared" si="21"/>
        <v>Error</v>
      </c>
    </row>
    <row r="593" spans="1:5" x14ac:dyDescent="0.25">
      <c r="A593" s="95">
        <f>'Site Data'!B595</f>
        <v>0</v>
      </c>
      <c r="B593">
        <f>'Site Data'!D595</f>
        <v>0</v>
      </c>
      <c r="C593">
        <f>'Site Data'!E595</f>
        <v>0</v>
      </c>
      <c r="D593" s="97">
        <f t="shared" si="20"/>
        <v>0</v>
      </c>
      <c r="E593" s="98" t="str">
        <f t="shared" si="21"/>
        <v>Error</v>
      </c>
    </row>
    <row r="594" spans="1:5" x14ac:dyDescent="0.25">
      <c r="A594" s="95">
        <f>'Site Data'!B596</f>
        <v>0</v>
      </c>
      <c r="B594">
        <f>'Site Data'!D596</f>
        <v>0</v>
      </c>
      <c r="C594">
        <f>'Site Data'!E596</f>
        <v>0</v>
      </c>
      <c r="D594" s="97">
        <f t="shared" si="20"/>
        <v>0</v>
      </c>
      <c r="E594" s="98" t="str">
        <f t="shared" si="21"/>
        <v>Error</v>
      </c>
    </row>
    <row r="595" spans="1:5" x14ac:dyDescent="0.25">
      <c r="A595" s="95">
        <f>'Site Data'!B597</f>
        <v>0</v>
      </c>
      <c r="B595">
        <f>'Site Data'!D597</f>
        <v>0</v>
      </c>
      <c r="C595">
        <f>'Site Data'!E597</f>
        <v>0</v>
      </c>
      <c r="D595" s="97">
        <f t="shared" si="20"/>
        <v>0</v>
      </c>
      <c r="E595" s="98" t="str">
        <f t="shared" si="21"/>
        <v>Error</v>
      </c>
    </row>
    <row r="596" spans="1:5" x14ac:dyDescent="0.25">
      <c r="A596" s="95">
        <f>'Site Data'!B598</f>
        <v>0</v>
      </c>
      <c r="B596">
        <f>'Site Data'!D598</f>
        <v>0</v>
      </c>
      <c r="C596">
        <f>'Site Data'!E598</f>
        <v>0</v>
      </c>
      <c r="D596" s="97">
        <f t="shared" si="20"/>
        <v>0</v>
      </c>
      <c r="E596" s="98" t="str">
        <f t="shared" si="21"/>
        <v>Error</v>
      </c>
    </row>
    <row r="597" spans="1:5" x14ac:dyDescent="0.25">
      <c r="A597" s="95">
        <f>'Site Data'!B599</f>
        <v>0</v>
      </c>
      <c r="B597">
        <f>'Site Data'!D599</f>
        <v>0</v>
      </c>
      <c r="C597">
        <f>'Site Data'!E599</f>
        <v>0</v>
      </c>
      <c r="D597" s="97">
        <f t="shared" si="20"/>
        <v>0</v>
      </c>
      <c r="E597" s="98" t="str">
        <f t="shared" si="21"/>
        <v>Error</v>
      </c>
    </row>
    <row r="598" spans="1:5" x14ac:dyDescent="0.25">
      <c r="A598" s="95">
        <f>'Site Data'!B600</f>
        <v>0</v>
      </c>
      <c r="B598">
        <f>'Site Data'!D600</f>
        <v>0</v>
      </c>
      <c r="C598">
        <f>'Site Data'!E600</f>
        <v>0</v>
      </c>
      <c r="D598" s="97">
        <f t="shared" si="20"/>
        <v>0</v>
      </c>
      <c r="E598" s="98" t="str">
        <f t="shared" si="21"/>
        <v>Error</v>
      </c>
    </row>
    <row r="599" spans="1:5" x14ac:dyDescent="0.25">
      <c r="A599" s="95">
        <f>'Site Data'!B601</f>
        <v>0</v>
      </c>
      <c r="B599">
        <f>'Site Data'!D601</f>
        <v>0</v>
      </c>
      <c r="C599">
        <f>'Site Data'!E601</f>
        <v>0</v>
      </c>
      <c r="D599" s="97">
        <f t="shared" si="20"/>
        <v>0</v>
      </c>
      <c r="E599" s="98" t="str">
        <f t="shared" si="21"/>
        <v>Error</v>
      </c>
    </row>
    <row r="600" spans="1:5" x14ac:dyDescent="0.25">
      <c r="A600" s="95">
        <f>'Site Data'!B602</f>
        <v>0</v>
      </c>
      <c r="B600">
        <f>'Site Data'!D602</f>
        <v>0</v>
      </c>
      <c r="C600">
        <f>'Site Data'!E602</f>
        <v>0</v>
      </c>
      <c r="D600" s="97">
        <f t="shared" si="20"/>
        <v>0</v>
      </c>
      <c r="E600" s="98" t="str">
        <f t="shared" si="21"/>
        <v>Error</v>
      </c>
    </row>
    <row r="601" spans="1:5" x14ac:dyDescent="0.25">
      <c r="A601" s="95">
        <f>'Site Data'!B603</f>
        <v>0</v>
      </c>
      <c r="B601">
        <f>'Site Data'!D603</f>
        <v>0</v>
      </c>
      <c r="C601">
        <f>'Site Data'!E603</f>
        <v>0</v>
      </c>
      <c r="D601" s="97">
        <f t="shared" si="20"/>
        <v>0</v>
      </c>
      <c r="E601" s="98" t="str">
        <f t="shared" si="21"/>
        <v>Error</v>
      </c>
    </row>
    <row r="602" spans="1:5" x14ac:dyDescent="0.25">
      <c r="A602" s="95">
        <f>'Site Data'!B604</f>
        <v>0</v>
      </c>
      <c r="B602">
        <f>'Site Data'!D604</f>
        <v>0</v>
      </c>
      <c r="C602">
        <f>'Site Data'!E604</f>
        <v>0</v>
      </c>
      <c r="D602" s="97">
        <f t="shared" si="20"/>
        <v>0</v>
      </c>
      <c r="E602" s="98" t="str">
        <f t="shared" si="21"/>
        <v>Error</v>
      </c>
    </row>
    <row r="603" spans="1:5" x14ac:dyDescent="0.25">
      <c r="A603" s="95">
        <f>'Site Data'!B605</f>
        <v>0</v>
      </c>
      <c r="B603">
        <f>'Site Data'!D605</f>
        <v>0</v>
      </c>
      <c r="C603">
        <f>'Site Data'!E605</f>
        <v>0</v>
      </c>
      <c r="D603" s="97">
        <f t="shared" si="20"/>
        <v>0</v>
      </c>
      <c r="E603" s="98" t="str">
        <f t="shared" si="21"/>
        <v>Error</v>
      </c>
    </row>
    <row r="604" spans="1:5" x14ac:dyDescent="0.25">
      <c r="A604" s="95">
        <f>'Site Data'!B606</f>
        <v>0</v>
      </c>
      <c r="B604">
        <f>'Site Data'!D606</f>
        <v>0</v>
      </c>
      <c r="C604">
        <f>'Site Data'!E606</f>
        <v>0</v>
      </c>
      <c r="D604" s="97">
        <f t="shared" si="20"/>
        <v>0</v>
      </c>
      <c r="E604" s="98" t="str">
        <f t="shared" si="21"/>
        <v>Error</v>
      </c>
    </row>
    <row r="605" spans="1:5" x14ac:dyDescent="0.25">
      <c r="A605" s="95">
        <f>'Site Data'!B607</f>
        <v>0</v>
      </c>
      <c r="B605">
        <f>'Site Data'!D607</f>
        <v>0</v>
      </c>
      <c r="C605">
        <f>'Site Data'!E607</f>
        <v>0</v>
      </c>
      <c r="D605" s="97">
        <f t="shared" si="20"/>
        <v>0</v>
      </c>
      <c r="E605" s="98" t="str">
        <f t="shared" si="21"/>
        <v>Error</v>
      </c>
    </row>
    <row r="606" spans="1:5" x14ac:dyDescent="0.25">
      <c r="A606" s="95">
        <f>'Site Data'!B608</f>
        <v>0</v>
      </c>
      <c r="B606">
        <f>'Site Data'!D608</f>
        <v>0</v>
      </c>
      <c r="C606">
        <f>'Site Data'!E608</f>
        <v>0</v>
      </c>
      <c r="D606" s="97">
        <f t="shared" si="20"/>
        <v>0</v>
      </c>
      <c r="E606" s="98" t="str">
        <f t="shared" si="21"/>
        <v>Error</v>
      </c>
    </row>
    <row r="607" spans="1:5" x14ac:dyDescent="0.25">
      <c r="A607" s="95">
        <f>'Site Data'!B609</f>
        <v>0</v>
      </c>
      <c r="B607">
        <f>'Site Data'!D609</f>
        <v>0</v>
      </c>
      <c r="C607">
        <f>'Site Data'!E609</f>
        <v>0</v>
      </c>
      <c r="D607" s="97">
        <f t="shared" si="20"/>
        <v>0</v>
      </c>
      <c r="E607" s="98" t="str">
        <f t="shared" si="21"/>
        <v>Error</v>
      </c>
    </row>
    <row r="608" spans="1:5" x14ac:dyDescent="0.25">
      <c r="A608" s="95">
        <f>'Site Data'!B610</f>
        <v>0</v>
      </c>
      <c r="B608">
        <f>'Site Data'!D610</f>
        <v>0</v>
      </c>
      <c r="C608">
        <f>'Site Data'!E610</f>
        <v>0</v>
      </c>
      <c r="D608" s="97">
        <f t="shared" si="20"/>
        <v>0</v>
      </c>
      <c r="E608" s="98" t="str">
        <f t="shared" si="21"/>
        <v>Error</v>
      </c>
    </row>
    <row r="609" spans="1:5" x14ac:dyDescent="0.25">
      <c r="A609" s="95">
        <f>'Site Data'!B611</f>
        <v>0</v>
      </c>
      <c r="B609">
        <f>'Site Data'!D611</f>
        <v>0</v>
      </c>
      <c r="C609">
        <f>'Site Data'!E611</f>
        <v>0</v>
      </c>
      <c r="D609" s="97">
        <f t="shared" si="20"/>
        <v>0</v>
      </c>
      <c r="E609" s="98" t="str">
        <f t="shared" si="21"/>
        <v>Error</v>
      </c>
    </row>
    <row r="610" spans="1:5" x14ac:dyDescent="0.25">
      <c r="A610" s="95">
        <f>'Site Data'!B612</f>
        <v>0</v>
      </c>
      <c r="B610">
        <f>'Site Data'!D612</f>
        <v>0</v>
      </c>
      <c r="C610">
        <f>'Site Data'!E612</f>
        <v>0</v>
      </c>
      <c r="D610" s="97">
        <f t="shared" si="20"/>
        <v>0</v>
      </c>
      <c r="E610" s="98" t="str">
        <f t="shared" si="21"/>
        <v>Error</v>
      </c>
    </row>
    <row r="611" spans="1:5" x14ac:dyDescent="0.25">
      <c r="A611" s="95">
        <f>'Site Data'!B613</f>
        <v>0</v>
      </c>
      <c r="B611">
        <f>'Site Data'!D613</f>
        <v>0</v>
      </c>
      <c r="C611">
        <f>'Site Data'!E613</f>
        <v>0</v>
      </c>
      <c r="D611" s="97">
        <f t="shared" si="20"/>
        <v>0</v>
      </c>
      <c r="E611" s="98" t="str">
        <f t="shared" si="21"/>
        <v>Error</v>
      </c>
    </row>
    <row r="612" spans="1:5" x14ac:dyDescent="0.25">
      <c r="A612" s="95">
        <f>'Site Data'!B614</f>
        <v>0</v>
      </c>
      <c r="B612">
        <f>'Site Data'!D614</f>
        <v>0</v>
      </c>
      <c r="C612">
        <f>'Site Data'!E614</f>
        <v>0</v>
      </c>
      <c r="D612" s="97">
        <f t="shared" si="20"/>
        <v>0</v>
      </c>
      <c r="E612" s="98" t="str">
        <f t="shared" si="21"/>
        <v>Error</v>
      </c>
    </row>
    <row r="613" spans="1:5" x14ac:dyDescent="0.25">
      <c r="A613" s="95">
        <f>'Site Data'!B615</f>
        <v>0</v>
      </c>
      <c r="B613">
        <f>'Site Data'!D615</f>
        <v>0</v>
      </c>
      <c r="C613">
        <f>'Site Data'!E615</f>
        <v>0</v>
      </c>
      <c r="D613" s="97">
        <f t="shared" si="20"/>
        <v>0</v>
      </c>
      <c r="E613" s="98" t="str">
        <f t="shared" si="21"/>
        <v>Error</v>
      </c>
    </row>
    <row r="614" spans="1:5" x14ac:dyDescent="0.25">
      <c r="A614" s="95">
        <f>'Site Data'!B616</f>
        <v>0</v>
      </c>
      <c r="B614">
        <f>'Site Data'!D616</f>
        <v>0</v>
      </c>
      <c r="C614">
        <f>'Site Data'!E616</f>
        <v>0</v>
      </c>
      <c r="D614" s="97">
        <f t="shared" si="20"/>
        <v>0</v>
      </c>
      <c r="E614" s="98" t="str">
        <f t="shared" si="21"/>
        <v>Error</v>
      </c>
    </row>
    <row r="615" spans="1:5" x14ac:dyDescent="0.25">
      <c r="A615" s="95">
        <f>'Site Data'!B617</f>
        <v>0</v>
      </c>
      <c r="B615">
        <f>'Site Data'!D617</f>
        <v>0</v>
      </c>
      <c r="C615">
        <f>'Site Data'!E617</f>
        <v>0</v>
      </c>
      <c r="D615" s="97">
        <f t="shared" si="20"/>
        <v>0</v>
      </c>
      <c r="E615" s="98" t="str">
        <f t="shared" si="21"/>
        <v>Error</v>
      </c>
    </row>
    <row r="616" spans="1:5" x14ac:dyDescent="0.25">
      <c r="A616" s="95">
        <f>'Site Data'!B618</f>
        <v>0</v>
      </c>
      <c r="B616">
        <f>'Site Data'!D618</f>
        <v>0</v>
      </c>
      <c r="C616">
        <f>'Site Data'!E618</f>
        <v>0</v>
      </c>
      <c r="D616" s="97">
        <f t="shared" si="20"/>
        <v>0</v>
      </c>
      <c r="E616" s="98" t="str">
        <f t="shared" si="21"/>
        <v>Error</v>
      </c>
    </row>
    <row r="617" spans="1:5" x14ac:dyDescent="0.25">
      <c r="A617" s="95">
        <f>'Site Data'!B619</f>
        <v>0</v>
      </c>
      <c r="B617">
        <f>'Site Data'!D619</f>
        <v>0</v>
      </c>
      <c r="C617">
        <f>'Site Data'!E619</f>
        <v>0</v>
      </c>
      <c r="D617" s="97">
        <f t="shared" si="20"/>
        <v>0</v>
      </c>
      <c r="E617" s="98" t="str">
        <f t="shared" si="21"/>
        <v>Error</v>
      </c>
    </row>
    <row r="618" spans="1:5" x14ac:dyDescent="0.25">
      <c r="A618" s="95">
        <f>'Site Data'!B620</f>
        <v>0</v>
      </c>
      <c r="B618">
        <f>'Site Data'!D620</f>
        <v>0</v>
      </c>
      <c r="C618">
        <f>'Site Data'!E620</f>
        <v>0</v>
      </c>
      <c r="D618" s="97">
        <f t="shared" si="20"/>
        <v>0</v>
      </c>
      <c r="E618" s="98" t="str">
        <f t="shared" si="21"/>
        <v>Error</v>
      </c>
    </row>
    <row r="619" spans="1:5" x14ac:dyDescent="0.25">
      <c r="A619" s="95">
        <f>'Site Data'!B621</f>
        <v>0</v>
      </c>
      <c r="B619">
        <f>'Site Data'!D621</f>
        <v>0</v>
      </c>
      <c r="C619">
        <f>'Site Data'!E621</f>
        <v>0</v>
      </c>
      <c r="D619" s="97">
        <f t="shared" si="20"/>
        <v>0</v>
      </c>
      <c r="E619" s="98" t="str">
        <f t="shared" si="21"/>
        <v>Error</v>
      </c>
    </row>
    <row r="620" spans="1:5" x14ac:dyDescent="0.25">
      <c r="A620" s="95">
        <f>'Site Data'!B622</f>
        <v>0</v>
      </c>
      <c r="B620">
        <f>'Site Data'!D622</f>
        <v>0</v>
      </c>
      <c r="C620">
        <f>'Site Data'!E622</f>
        <v>0</v>
      </c>
      <c r="D620" s="97">
        <f t="shared" si="20"/>
        <v>0</v>
      </c>
      <c r="E620" s="98" t="str">
        <f t="shared" si="21"/>
        <v>Error</v>
      </c>
    </row>
    <row r="621" spans="1:5" x14ac:dyDescent="0.25">
      <c r="A621" s="95">
        <f>'Site Data'!B623</f>
        <v>0</v>
      </c>
      <c r="B621">
        <f>'Site Data'!D623</f>
        <v>0</v>
      </c>
      <c r="C621">
        <f>'Site Data'!E623</f>
        <v>0</v>
      </c>
      <c r="D621" s="97">
        <f t="shared" si="20"/>
        <v>0</v>
      </c>
      <c r="E621" s="98" t="str">
        <f t="shared" si="21"/>
        <v>Error</v>
      </c>
    </row>
    <row r="622" spans="1:5" x14ac:dyDescent="0.25">
      <c r="A622" s="95">
        <f>'Site Data'!B624</f>
        <v>0</v>
      </c>
      <c r="B622">
        <f>'Site Data'!D624</f>
        <v>0</v>
      </c>
      <c r="C622">
        <f>'Site Data'!E624</f>
        <v>0</v>
      </c>
      <c r="D622" s="97">
        <f t="shared" si="20"/>
        <v>0</v>
      </c>
      <c r="E622" s="98" t="str">
        <f t="shared" si="21"/>
        <v>Error</v>
      </c>
    </row>
    <row r="623" spans="1:5" x14ac:dyDescent="0.25">
      <c r="A623" s="95">
        <f>'Site Data'!B625</f>
        <v>0</v>
      </c>
      <c r="B623">
        <f>'Site Data'!D625</f>
        <v>0</v>
      </c>
      <c r="C623">
        <f>'Site Data'!E625</f>
        <v>0</v>
      </c>
      <c r="D623" s="97">
        <f t="shared" si="20"/>
        <v>0</v>
      </c>
      <c r="E623" s="98" t="str">
        <f t="shared" si="21"/>
        <v>Error</v>
      </c>
    </row>
    <row r="624" spans="1:5" x14ac:dyDescent="0.25">
      <c r="A624" s="95">
        <f>'Site Data'!B626</f>
        <v>0</v>
      </c>
      <c r="B624">
        <f>'Site Data'!D626</f>
        <v>0</v>
      </c>
      <c r="C624">
        <f>'Site Data'!E626</f>
        <v>0</v>
      </c>
      <c r="D624" s="97">
        <f t="shared" si="20"/>
        <v>0</v>
      </c>
      <c r="E624" s="98" t="str">
        <f t="shared" si="21"/>
        <v>Error</v>
      </c>
    </row>
    <row r="625" spans="1:5" x14ac:dyDescent="0.25">
      <c r="A625" s="95">
        <f>'Site Data'!B627</f>
        <v>0</v>
      </c>
      <c r="B625">
        <f>'Site Data'!D627</f>
        <v>0</v>
      </c>
      <c r="C625">
        <f>'Site Data'!E627</f>
        <v>0</v>
      </c>
      <c r="D625" s="97">
        <f t="shared" si="20"/>
        <v>0</v>
      </c>
      <c r="E625" s="98" t="str">
        <f t="shared" si="21"/>
        <v>Error</v>
      </c>
    </row>
    <row r="626" spans="1:5" x14ac:dyDescent="0.25">
      <c r="A626" s="95">
        <f>'Site Data'!B628</f>
        <v>0</v>
      </c>
      <c r="B626">
        <f>'Site Data'!D628</f>
        <v>0</v>
      </c>
      <c r="C626">
        <f>'Site Data'!E628</f>
        <v>0</v>
      </c>
      <c r="D626" s="97">
        <f t="shared" si="20"/>
        <v>0</v>
      </c>
      <c r="E626" s="98" t="str">
        <f t="shared" si="21"/>
        <v>Error</v>
      </c>
    </row>
    <row r="627" spans="1:5" x14ac:dyDescent="0.25">
      <c r="A627" s="95">
        <f>'Site Data'!B629</f>
        <v>0</v>
      </c>
      <c r="B627">
        <f>'Site Data'!D629</f>
        <v>0</v>
      </c>
      <c r="C627">
        <f>'Site Data'!E629</f>
        <v>0</v>
      </c>
      <c r="D627" s="97">
        <f t="shared" si="20"/>
        <v>0</v>
      </c>
      <c r="E627" s="98" t="str">
        <f t="shared" si="21"/>
        <v>Error</v>
      </c>
    </row>
    <row r="628" spans="1:5" x14ac:dyDescent="0.25">
      <c r="A628" s="95">
        <f>'Site Data'!B630</f>
        <v>0</v>
      </c>
      <c r="B628">
        <f>'Site Data'!D630</f>
        <v>0</v>
      </c>
      <c r="C628">
        <f>'Site Data'!E630</f>
        <v>0</v>
      </c>
      <c r="D628" s="97">
        <f t="shared" si="20"/>
        <v>0</v>
      </c>
      <c r="E628" s="98" t="str">
        <f t="shared" si="21"/>
        <v>Error</v>
      </c>
    </row>
    <row r="629" spans="1:5" x14ac:dyDescent="0.25">
      <c r="A629" s="95">
        <f>'Site Data'!B631</f>
        <v>0</v>
      </c>
      <c r="B629">
        <f>'Site Data'!D631</f>
        <v>0</v>
      </c>
      <c r="C629">
        <f>'Site Data'!E631</f>
        <v>0</v>
      </c>
      <c r="D629" s="97">
        <f t="shared" si="20"/>
        <v>0</v>
      </c>
      <c r="E629" s="98" t="str">
        <f t="shared" si="21"/>
        <v>Error</v>
      </c>
    </row>
    <row r="630" spans="1:5" x14ac:dyDescent="0.25">
      <c r="A630" s="95">
        <f>'Site Data'!B632</f>
        <v>0</v>
      </c>
      <c r="B630">
        <f>'Site Data'!D632</f>
        <v>0</v>
      </c>
      <c r="C630">
        <f>'Site Data'!E632</f>
        <v>0</v>
      </c>
      <c r="D630" s="97">
        <f t="shared" si="20"/>
        <v>0</v>
      </c>
      <c r="E630" s="98" t="str">
        <f t="shared" si="21"/>
        <v>Error</v>
      </c>
    </row>
    <row r="631" spans="1:5" x14ac:dyDescent="0.25">
      <c r="A631" s="95">
        <f>'Site Data'!B633</f>
        <v>0</v>
      </c>
      <c r="B631">
        <f>'Site Data'!D633</f>
        <v>0</v>
      </c>
      <c r="C631">
        <f>'Site Data'!E633</f>
        <v>0</v>
      </c>
      <c r="D631" s="97">
        <f t="shared" si="20"/>
        <v>0</v>
      </c>
      <c r="E631" s="98" t="str">
        <f t="shared" si="21"/>
        <v>Error</v>
      </c>
    </row>
    <row r="632" spans="1:5" x14ac:dyDescent="0.25">
      <c r="A632" s="95">
        <f>'Site Data'!B634</f>
        <v>0</v>
      </c>
      <c r="B632">
        <f>'Site Data'!D634</f>
        <v>0</v>
      </c>
      <c r="C632">
        <f>'Site Data'!E634</f>
        <v>0</v>
      </c>
      <c r="D632" s="97">
        <f t="shared" si="20"/>
        <v>0</v>
      </c>
      <c r="E632" s="98" t="str">
        <f t="shared" si="21"/>
        <v>Error</v>
      </c>
    </row>
    <row r="633" spans="1:5" x14ac:dyDescent="0.25">
      <c r="A633" s="95">
        <f>'Site Data'!B635</f>
        <v>0</v>
      </c>
      <c r="B633">
        <f>'Site Data'!D635</f>
        <v>0</v>
      </c>
      <c r="C633">
        <f>'Site Data'!E635</f>
        <v>0</v>
      </c>
      <c r="D633" s="97">
        <f t="shared" si="20"/>
        <v>0</v>
      </c>
      <c r="E633" s="98" t="str">
        <f t="shared" si="21"/>
        <v>Error</v>
      </c>
    </row>
    <row r="634" spans="1:5" x14ac:dyDescent="0.25">
      <c r="A634" s="95">
        <f>'Site Data'!B636</f>
        <v>0</v>
      </c>
      <c r="B634">
        <f>'Site Data'!D636</f>
        <v>0</v>
      </c>
      <c r="C634">
        <f>'Site Data'!E636</f>
        <v>0</v>
      </c>
      <c r="D634" s="97">
        <f t="shared" si="20"/>
        <v>0</v>
      </c>
      <c r="E634" s="98" t="str">
        <f t="shared" si="21"/>
        <v>Error</v>
      </c>
    </row>
    <row r="635" spans="1:5" x14ac:dyDescent="0.25">
      <c r="A635" s="95">
        <f>'Site Data'!B637</f>
        <v>0</v>
      </c>
      <c r="B635">
        <f>'Site Data'!D637</f>
        <v>0</v>
      </c>
      <c r="C635">
        <f>'Site Data'!E637</f>
        <v>0</v>
      </c>
      <c r="D635" s="97">
        <f t="shared" si="20"/>
        <v>0</v>
      </c>
      <c r="E635" s="98" t="str">
        <f t="shared" si="21"/>
        <v>Error</v>
      </c>
    </row>
    <row r="636" spans="1:5" x14ac:dyDescent="0.25">
      <c r="A636" s="95">
        <f>'Site Data'!B638</f>
        <v>0</v>
      </c>
      <c r="B636">
        <f>'Site Data'!D638</f>
        <v>0</v>
      </c>
      <c r="C636">
        <f>'Site Data'!E638</f>
        <v>0</v>
      </c>
      <c r="D636" s="97">
        <f t="shared" si="20"/>
        <v>0</v>
      </c>
      <c r="E636" s="98" t="str">
        <f t="shared" si="21"/>
        <v>Error</v>
      </c>
    </row>
    <row r="637" spans="1:5" x14ac:dyDescent="0.25">
      <c r="A637" s="95">
        <f>'Site Data'!B639</f>
        <v>0</v>
      </c>
      <c r="B637">
        <f>'Site Data'!D639</f>
        <v>0</v>
      </c>
      <c r="C637">
        <f>'Site Data'!E639</f>
        <v>0</v>
      </c>
      <c r="D637" s="97">
        <f t="shared" si="20"/>
        <v>0</v>
      </c>
      <c r="E637" s="98" t="str">
        <f t="shared" si="21"/>
        <v>Error</v>
      </c>
    </row>
    <row r="638" spans="1:5" x14ac:dyDescent="0.25">
      <c r="A638" s="95">
        <f>'Site Data'!B640</f>
        <v>0</v>
      </c>
      <c r="B638">
        <f>'Site Data'!D640</f>
        <v>0</v>
      </c>
      <c r="C638">
        <f>'Site Data'!E640</f>
        <v>0</v>
      </c>
      <c r="D638" s="97">
        <f t="shared" si="20"/>
        <v>0</v>
      </c>
      <c r="E638" s="98" t="str">
        <f t="shared" si="21"/>
        <v>Error</v>
      </c>
    </row>
    <row r="639" spans="1:5" x14ac:dyDescent="0.25">
      <c r="A639" s="95">
        <f>'Site Data'!B641</f>
        <v>0</v>
      </c>
      <c r="B639">
        <f>'Site Data'!D641</f>
        <v>0</v>
      </c>
      <c r="C639">
        <f>'Site Data'!E641</f>
        <v>0</v>
      </c>
      <c r="D639" s="97">
        <f t="shared" si="20"/>
        <v>0</v>
      </c>
      <c r="E639" s="98" t="str">
        <f t="shared" si="21"/>
        <v>Error</v>
      </c>
    </row>
    <row r="640" spans="1:5" x14ac:dyDescent="0.25">
      <c r="A640" s="95">
        <f>'Site Data'!B642</f>
        <v>0</v>
      </c>
      <c r="B640">
        <f>'Site Data'!D642</f>
        <v>0</v>
      </c>
      <c r="C640">
        <f>'Site Data'!E642</f>
        <v>0</v>
      </c>
      <c r="D640" s="97">
        <f t="shared" si="20"/>
        <v>0</v>
      </c>
      <c r="E640" s="98" t="str">
        <f t="shared" si="21"/>
        <v>Error</v>
      </c>
    </row>
    <row r="641" spans="1:5" x14ac:dyDescent="0.25">
      <c r="A641" s="95">
        <f>'Site Data'!B643</f>
        <v>0</v>
      </c>
      <c r="B641">
        <f>'Site Data'!D643</f>
        <v>0</v>
      </c>
      <c r="C641">
        <f>'Site Data'!E643</f>
        <v>0</v>
      </c>
      <c r="D641" s="97">
        <f t="shared" si="20"/>
        <v>0</v>
      </c>
      <c r="E641" s="98" t="str">
        <f t="shared" si="21"/>
        <v>Error</v>
      </c>
    </row>
    <row r="642" spans="1:5" x14ac:dyDescent="0.25">
      <c r="A642" s="95">
        <f>'Site Data'!B644</f>
        <v>0</v>
      </c>
      <c r="B642">
        <f>'Site Data'!D644</f>
        <v>0</v>
      </c>
      <c r="C642">
        <f>'Site Data'!E644</f>
        <v>0</v>
      </c>
      <c r="D642" s="97">
        <f t="shared" ref="D642:D705" si="22">B642-C642</f>
        <v>0</v>
      </c>
      <c r="E642" s="98" t="str">
        <f t="shared" ref="E642:E705" si="23">IF(AND(D642 &gt;= 50, D642 &lt;= 60), "Valid", "Error")</f>
        <v>Error</v>
      </c>
    </row>
    <row r="643" spans="1:5" x14ac:dyDescent="0.25">
      <c r="A643" s="95">
        <f>'Site Data'!B645</f>
        <v>0</v>
      </c>
      <c r="B643">
        <f>'Site Data'!D645</f>
        <v>0</v>
      </c>
      <c r="C643">
        <f>'Site Data'!E645</f>
        <v>0</v>
      </c>
      <c r="D643" s="97">
        <f t="shared" si="22"/>
        <v>0</v>
      </c>
      <c r="E643" s="98" t="str">
        <f t="shared" si="23"/>
        <v>Error</v>
      </c>
    </row>
    <row r="644" spans="1:5" x14ac:dyDescent="0.25">
      <c r="A644" s="95">
        <f>'Site Data'!B646</f>
        <v>0</v>
      </c>
      <c r="B644">
        <f>'Site Data'!D646</f>
        <v>0</v>
      </c>
      <c r="C644">
        <f>'Site Data'!E646</f>
        <v>0</v>
      </c>
      <c r="D644" s="97">
        <f t="shared" si="22"/>
        <v>0</v>
      </c>
      <c r="E644" s="98" t="str">
        <f t="shared" si="23"/>
        <v>Error</v>
      </c>
    </row>
    <row r="645" spans="1:5" x14ac:dyDescent="0.25">
      <c r="A645" s="95">
        <f>'Site Data'!B647</f>
        <v>0</v>
      </c>
      <c r="B645">
        <f>'Site Data'!D647</f>
        <v>0</v>
      </c>
      <c r="C645">
        <f>'Site Data'!E647</f>
        <v>0</v>
      </c>
      <c r="D645" s="97">
        <f t="shared" si="22"/>
        <v>0</v>
      </c>
      <c r="E645" s="98" t="str">
        <f t="shared" si="23"/>
        <v>Error</v>
      </c>
    </row>
    <row r="646" spans="1:5" x14ac:dyDescent="0.25">
      <c r="A646" s="95">
        <f>'Site Data'!B648</f>
        <v>0</v>
      </c>
      <c r="B646">
        <f>'Site Data'!D648</f>
        <v>0</v>
      </c>
      <c r="C646">
        <f>'Site Data'!E648</f>
        <v>0</v>
      </c>
      <c r="D646" s="97">
        <f t="shared" si="22"/>
        <v>0</v>
      </c>
      <c r="E646" s="98" t="str">
        <f t="shared" si="23"/>
        <v>Error</v>
      </c>
    </row>
    <row r="647" spans="1:5" x14ac:dyDescent="0.25">
      <c r="A647" s="95">
        <f>'Site Data'!B649</f>
        <v>0</v>
      </c>
      <c r="B647">
        <f>'Site Data'!D649</f>
        <v>0</v>
      </c>
      <c r="C647">
        <f>'Site Data'!E649</f>
        <v>0</v>
      </c>
      <c r="D647" s="97">
        <f t="shared" si="22"/>
        <v>0</v>
      </c>
      <c r="E647" s="98" t="str">
        <f t="shared" si="23"/>
        <v>Error</v>
      </c>
    </row>
    <row r="648" spans="1:5" x14ac:dyDescent="0.25">
      <c r="A648" s="95">
        <f>'Site Data'!B650</f>
        <v>0</v>
      </c>
      <c r="B648">
        <f>'Site Data'!D650</f>
        <v>0</v>
      </c>
      <c r="C648">
        <f>'Site Data'!E650</f>
        <v>0</v>
      </c>
      <c r="D648" s="97">
        <f t="shared" si="22"/>
        <v>0</v>
      </c>
      <c r="E648" s="98" t="str">
        <f t="shared" si="23"/>
        <v>Error</v>
      </c>
    </row>
    <row r="649" spans="1:5" x14ac:dyDescent="0.25">
      <c r="A649" s="95">
        <f>'Site Data'!B651</f>
        <v>0</v>
      </c>
      <c r="B649">
        <f>'Site Data'!D651</f>
        <v>0</v>
      </c>
      <c r="C649">
        <f>'Site Data'!E651</f>
        <v>0</v>
      </c>
      <c r="D649" s="97">
        <f t="shared" si="22"/>
        <v>0</v>
      </c>
      <c r="E649" s="98" t="str">
        <f t="shared" si="23"/>
        <v>Error</v>
      </c>
    </row>
    <row r="650" spans="1:5" x14ac:dyDescent="0.25">
      <c r="A650" s="95">
        <f>'Site Data'!B652</f>
        <v>0</v>
      </c>
      <c r="B650">
        <f>'Site Data'!D652</f>
        <v>0</v>
      </c>
      <c r="C650">
        <f>'Site Data'!E652</f>
        <v>0</v>
      </c>
      <c r="D650" s="97">
        <f t="shared" si="22"/>
        <v>0</v>
      </c>
      <c r="E650" s="98" t="str">
        <f t="shared" si="23"/>
        <v>Error</v>
      </c>
    </row>
    <row r="651" spans="1:5" x14ac:dyDescent="0.25">
      <c r="A651" s="95">
        <f>'Site Data'!B653</f>
        <v>0</v>
      </c>
      <c r="B651">
        <f>'Site Data'!D653</f>
        <v>0</v>
      </c>
      <c r="C651">
        <f>'Site Data'!E653</f>
        <v>0</v>
      </c>
      <c r="D651" s="97">
        <f t="shared" si="22"/>
        <v>0</v>
      </c>
      <c r="E651" s="98" t="str">
        <f t="shared" si="23"/>
        <v>Error</v>
      </c>
    </row>
    <row r="652" spans="1:5" x14ac:dyDescent="0.25">
      <c r="A652" s="95">
        <f>'Site Data'!B654</f>
        <v>0</v>
      </c>
      <c r="B652">
        <f>'Site Data'!D654</f>
        <v>0</v>
      </c>
      <c r="C652">
        <f>'Site Data'!E654</f>
        <v>0</v>
      </c>
      <c r="D652" s="97">
        <f t="shared" si="22"/>
        <v>0</v>
      </c>
      <c r="E652" s="98" t="str">
        <f t="shared" si="23"/>
        <v>Error</v>
      </c>
    </row>
    <row r="653" spans="1:5" x14ac:dyDescent="0.25">
      <c r="A653" s="95">
        <f>'Site Data'!B655</f>
        <v>0</v>
      </c>
      <c r="B653">
        <f>'Site Data'!D655</f>
        <v>0</v>
      </c>
      <c r="C653">
        <f>'Site Data'!E655</f>
        <v>0</v>
      </c>
      <c r="D653" s="97">
        <f t="shared" si="22"/>
        <v>0</v>
      </c>
      <c r="E653" s="98" t="str">
        <f t="shared" si="23"/>
        <v>Error</v>
      </c>
    </row>
    <row r="654" spans="1:5" x14ac:dyDescent="0.25">
      <c r="A654" s="95">
        <f>'Site Data'!B656</f>
        <v>0</v>
      </c>
      <c r="B654">
        <f>'Site Data'!D656</f>
        <v>0</v>
      </c>
      <c r="C654">
        <f>'Site Data'!E656</f>
        <v>0</v>
      </c>
      <c r="D654" s="97">
        <f t="shared" si="22"/>
        <v>0</v>
      </c>
      <c r="E654" s="98" t="str">
        <f t="shared" si="23"/>
        <v>Error</v>
      </c>
    </row>
    <row r="655" spans="1:5" x14ac:dyDescent="0.25">
      <c r="A655" s="95">
        <f>'Site Data'!B657</f>
        <v>0</v>
      </c>
      <c r="B655">
        <f>'Site Data'!D657</f>
        <v>0</v>
      </c>
      <c r="C655">
        <f>'Site Data'!E657</f>
        <v>0</v>
      </c>
      <c r="D655" s="97">
        <f t="shared" si="22"/>
        <v>0</v>
      </c>
      <c r="E655" s="98" t="str">
        <f t="shared" si="23"/>
        <v>Error</v>
      </c>
    </row>
    <row r="656" spans="1:5" x14ac:dyDescent="0.25">
      <c r="A656" s="95">
        <f>'Site Data'!B658</f>
        <v>0</v>
      </c>
      <c r="B656">
        <f>'Site Data'!D658</f>
        <v>0</v>
      </c>
      <c r="C656">
        <f>'Site Data'!E658</f>
        <v>0</v>
      </c>
      <c r="D656" s="97">
        <f t="shared" si="22"/>
        <v>0</v>
      </c>
      <c r="E656" s="98" t="str">
        <f t="shared" si="23"/>
        <v>Error</v>
      </c>
    </row>
    <row r="657" spans="1:5" x14ac:dyDescent="0.25">
      <c r="A657" s="95">
        <f>'Site Data'!B659</f>
        <v>0</v>
      </c>
      <c r="B657">
        <f>'Site Data'!D659</f>
        <v>0</v>
      </c>
      <c r="C657">
        <f>'Site Data'!E659</f>
        <v>0</v>
      </c>
      <c r="D657" s="97">
        <f t="shared" si="22"/>
        <v>0</v>
      </c>
      <c r="E657" s="98" t="str">
        <f t="shared" si="23"/>
        <v>Error</v>
      </c>
    </row>
    <row r="658" spans="1:5" x14ac:dyDescent="0.25">
      <c r="A658" s="95">
        <f>'Site Data'!B660</f>
        <v>0</v>
      </c>
      <c r="B658">
        <f>'Site Data'!D660</f>
        <v>0</v>
      </c>
      <c r="C658">
        <f>'Site Data'!E660</f>
        <v>0</v>
      </c>
      <c r="D658" s="97">
        <f t="shared" si="22"/>
        <v>0</v>
      </c>
      <c r="E658" s="98" t="str">
        <f t="shared" si="23"/>
        <v>Error</v>
      </c>
    </row>
    <row r="659" spans="1:5" x14ac:dyDescent="0.25">
      <c r="A659" s="95">
        <f>'Site Data'!B661</f>
        <v>0</v>
      </c>
      <c r="B659">
        <f>'Site Data'!D661</f>
        <v>0</v>
      </c>
      <c r="C659">
        <f>'Site Data'!E661</f>
        <v>0</v>
      </c>
      <c r="D659" s="97">
        <f t="shared" si="22"/>
        <v>0</v>
      </c>
      <c r="E659" s="98" t="str">
        <f t="shared" si="23"/>
        <v>Error</v>
      </c>
    </row>
    <row r="660" spans="1:5" x14ac:dyDescent="0.25">
      <c r="A660" s="95">
        <f>'Site Data'!B662</f>
        <v>0</v>
      </c>
      <c r="B660">
        <f>'Site Data'!D662</f>
        <v>0</v>
      </c>
      <c r="C660">
        <f>'Site Data'!E662</f>
        <v>0</v>
      </c>
      <c r="D660" s="97">
        <f t="shared" si="22"/>
        <v>0</v>
      </c>
      <c r="E660" s="98" t="str">
        <f t="shared" si="23"/>
        <v>Error</v>
      </c>
    </row>
    <row r="661" spans="1:5" x14ac:dyDescent="0.25">
      <c r="A661" s="95">
        <f>'Site Data'!B663</f>
        <v>0</v>
      </c>
      <c r="B661">
        <f>'Site Data'!D663</f>
        <v>0</v>
      </c>
      <c r="C661">
        <f>'Site Data'!E663</f>
        <v>0</v>
      </c>
      <c r="D661" s="97">
        <f t="shared" si="22"/>
        <v>0</v>
      </c>
      <c r="E661" s="98" t="str">
        <f t="shared" si="23"/>
        <v>Error</v>
      </c>
    </row>
    <row r="662" spans="1:5" x14ac:dyDescent="0.25">
      <c r="A662" s="95">
        <f>'Site Data'!B664</f>
        <v>0</v>
      </c>
      <c r="B662">
        <f>'Site Data'!D664</f>
        <v>0</v>
      </c>
      <c r="C662">
        <f>'Site Data'!E664</f>
        <v>0</v>
      </c>
      <c r="D662" s="97">
        <f t="shared" si="22"/>
        <v>0</v>
      </c>
      <c r="E662" s="98" t="str">
        <f t="shared" si="23"/>
        <v>Error</v>
      </c>
    </row>
    <row r="663" spans="1:5" x14ac:dyDescent="0.25">
      <c r="A663" s="95">
        <f>'Site Data'!B665</f>
        <v>0</v>
      </c>
      <c r="B663">
        <f>'Site Data'!D665</f>
        <v>0</v>
      </c>
      <c r="C663">
        <f>'Site Data'!E665</f>
        <v>0</v>
      </c>
      <c r="D663" s="97">
        <f t="shared" si="22"/>
        <v>0</v>
      </c>
      <c r="E663" s="98" t="str">
        <f t="shared" si="23"/>
        <v>Error</v>
      </c>
    </row>
    <row r="664" spans="1:5" x14ac:dyDescent="0.25">
      <c r="A664" s="95">
        <f>'Site Data'!B666</f>
        <v>0</v>
      </c>
      <c r="B664">
        <f>'Site Data'!D666</f>
        <v>0</v>
      </c>
      <c r="C664">
        <f>'Site Data'!E666</f>
        <v>0</v>
      </c>
      <c r="D664" s="97">
        <f t="shared" si="22"/>
        <v>0</v>
      </c>
      <c r="E664" s="98" t="str">
        <f t="shared" si="23"/>
        <v>Error</v>
      </c>
    </row>
    <row r="665" spans="1:5" x14ac:dyDescent="0.25">
      <c r="A665" s="95">
        <f>'Site Data'!B667</f>
        <v>0</v>
      </c>
      <c r="B665">
        <f>'Site Data'!D667</f>
        <v>0</v>
      </c>
      <c r="C665">
        <f>'Site Data'!E667</f>
        <v>0</v>
      </c>
      <c r="D665" s="97">
        <f t="shared" si="22"/>
        <v>0</v>
      </c>
      <c r="E665" s="98" t="str">
        <f t="shared" si="23"/>
        <v>Error</v>
      </c>
    </row>
    <row r="666" spans="1:5" x14ac:dyDescent="0.25">
      <c r="A666" s="95">
        <f>'Site Data'!B668</f>
        <v>0</v>
      </c>
      <c r="B666">
        <f>'Site Data'!D668</f>
        <v>0</v>
      </c>
      <c r="C666">
        <f>'Site Data'!E668</f>
        <v>0</v>
      </c>
      <c r="D666" s="97">
        <f t="shared" si="22"/>
        <v>0</v>
      </c>
      <c r="E666" s="98" t="str">
        <f t="shared" si="23"/>
        <v>Error</v>
      </c>
    </row>
    <row r="667" spans="1:5" x14ac:dyDescent="0.25">
      <c r="A667" s="95">
        <f>'Site Data'!B669</f>
        <v>0</v>
      </c>
      <c r="B667">
        <f>'Site Data'!D669</f>
        <v>0</v>
      </c>
      <c r="C667">
        <f>'Site Data'!E669</f>
        <v>0</v>
      </c>
      <c r="D667" s="97">
        <f t="shared" si="22"/>
        <v>0</v>
      </c>
      <c r="E667" s="98" t="str">
        <f t="shared" si="23"/>
        <v>Error</v>
      </c>
    </row>
    <row r="668" spans="1:5" x14ac:dyDescent="0.25">
      <c r="A668" s="95">
        <f>'Site Data'!B670</f>
        <v>0</v>
      </c>
      <c r="B668">
        <f>'Site Data'!D670</f>
        <v>0</v>
      </c>
      <c r="C668">
        <f>'Site Data'!E670</f>
        <v>0</v>
      </c>
      <c r="D668" s="97">
        <f t="shared" si="22"/>
        <v>0</v>
      </c>
      <c r="E668" s="98" t="str">
        <f t="shared" si="23"/>
        <v>Error</v>
      </c>
    </row>
    <row r="669" spans="1:5" x14ac:dyDescent="0.25">
      <c r="A669" s="95">
        <f>'Site Data'!B671</f>
        <v>0</v>
      </c>
      <c r="B669">
        <f>'Site Data'!D671</f>
        <v>0</v>
      </c>
      <c r="C669">
        <f>'Site Data'!E671</f>
        <v>0</v>
      </c>
      <c r="D669" s="97">
        <f t="shared" si="22"/>
        <v>0</v>
      </c>
      <c r="E669" s="98" t="str">
        <f t="shared" si="23"/>
        <v>Error</v>
      </c>
    </row>
    <row r="670" spans="1:5" x14ac:dyDescent="0.25">
      <c r="A670" s="95">
        <f>'Site Data'!B672</f>
        <v>0</v>
      </c>
      <c r="B670">
        <f>'Site Data'!D672</f>
        <v>0</v>
      </c>
      <c r="C670">
        <f>'Site Data'!E672</f>
        <v>0</v>
      </c>
      <c r="D670" s="97">
        <f t="shared" si="22"/>
        <v>0</v>
      </c>
      <c r="E670" s="98" t="str">
        <f t="shared" si="23"/>
        <v>Error</v>
      </c>
    </row>
    <row r="671" spans="1:5" x14ac:dyDescent="0.25">
      <c r="A671" s="95">
        <f>'Site Data'!B673</f>
        <v>0</v>
      </c>
      <c r="B671">
        <f>'Site Data'!D673</f>
        <v>0</v>
      </c>
      <c r="C671">
        <f>'Site Data'!E673</f>
        <v>0</v>
      </c>
      <c r="D671" s="97">
        <f t="shared" si="22"/>
        <v>0</v>
      </c>
      <c r="E671" s="98" t="str">
        <f t="shared" si="23"/>
        <v>Error</v>
      </c>
    </row>
    <row r="672" spans="1:5" x14ac:dyDescent="0.25">
      <c r="A672" s="95">
        <f>'Site Data'!B674</f>
        <v>0</v>
      </c>
      <c r="B672">
        <f>'Site Data'!D674</f>
        <v>0</v>
      </c>
      <c r="C672">
        <f>'Site Data'!E674</f>
        <v>0</v>
      </c>
      <c r="D672" s="97">
        <f t="shared" si="22"/>
        <v>0</v>
      </c>
      <c r="E672" s="98" t="str">
        <f t="shared" si="23"/>
        <v>Error</v>
      </c>
    </row>
    <row r="673" spans="1:5" x14ac:dyDescent="0.25">
      <c r="A673" s="95">
        <f>'Site Data'!B675</f>
        <v>0</v>
      </c>
      <c r="B673">
        <f>'Site Data'!D675</f>
        <v>0</v>
      </c>
      <c r="C673">
        <f>'Site Data'!E675</f>
        <v>0</v>
      </c>
      <c r="D673" s="97">
        <f t="shared" si="22"/>
        <v>0</v>
      </c>
      <c r="E673" s="98" t="str">
        <f t="shared" si="23"/>
        <v>Error</v>
      </c>
    </row>
    <row r="674" spans="1:5" x14ac:dyDescent="0.25">
      <c r="A674" s="95">
        <f>'Site Data'!B676</f>
        <v>0</v>
      </c>
      <c r="B674">
        <f>'Site Data'!D676</f>
        <v>0</v>
      </c>
      <c r="C674">
        <f>'Site Data'!E676</f>
        <v>0</v>
      </c>
      <c r="D674" s="97">
        <f t="shared" si="22"/>
        <v>0</v>
      </c>
      <c r="E674" s="98" t="str">
        <f t="shared" si="23"/>
        <v>Error</v>
      </c>
    </row>
    <row r="675" spans="1:5" x14ac:dyDescent="0.25">
      <c r="A675" s="95">
        <f>'Site Data'!B677</f>
        <v>0</v>
      </c>
      <c r="B675">
        <f>'Site Data'!D677</f>
        <v>0</v>
      </c>
      <c r="C675">
        <f>'Site Data'!E677</f>
        <v>0</v>
      </c>
      <c r="D675" s="97">
        <f t="shared" si="22"/>
        <v>0</v>
      </c>
      <c r="E675" s="98" t="str">
        <f t="shared" si="23"/>
        <v>Error</v>
      </c>
    </row>
    <row r="676" spans="1:5" x14ac:dyDescent="0.25">
      <c r="A676" s="95">
        <f>'Site Data'!B678</f>
        <v>0</v>
      </c>
      <c r="B676">
        <f>'Site Data'!D678</f>
        <v>0</v>
      </c>
      <c r="C676">
        <f>'Site Data'!E678</f>
        <v>0</v>
      </c>
      <c r="D676" s="97">
        <f t="shared" si="22"/>
        <v>0</v>
      </c>
      <c r="E676" s="98" t="str">
        <f t="shared" si="23"/>
        <v>Error</v>
      </c>
    </row>
    <row r="677" spans="1:5" x14ac:dyDescent="0.25">
      <c r="A677" s="95">
        <f>'Site Data'!B679</f>
        <v>0</v>
      </c>
      <c r="B677">
        <f>'Site Data'!D679</f>
        <v>0</v>
      </c>
      <c r="C677">
        <f>'Site Data'!E679</f>
        <v>0</v>
      </c>
      <c r="D677" s="97">
        <f t="shared" si="22"/>
        <v>0</v>
      </c>
      <c r="E677" s="98" t="str">
        <f t="shared" si="23"/>
        <v>Error</v>
      </c>
    </row>
    <row r="678" spans="1:5" x14ac:dyDescent="0.25">
      <c r="A678" s="95">
        <f>'Site Data'!B680</f>
        <v>0</v>
      </c>
      <c r="B678">
        <f>'Site Data'!D680</f>
        <v>0</v>
      </c>
      <c r="C678">
        <f>'Site Data'!E680</f>
        <v>0</v>
      </c>
      <c r="D678" s="97">
        <f t="shared" si="22"/>
        <v>0</v>
      </c>
      <c r="E678" s="98" t="str">
        <f t="shared" si="23"/>
        <v>Error</v>
      </c>
    </row>
    <row r="679" spans="1:5" x14ac:dyDescent="0.25">
      <c r="A679" s="95">
        <f>'Site Data'!B681</f>
        <v>0</v>
      </c>
      <c r="B679">
        <f>'Site Data'!D681</f>
        <v>0</v>
      </c>
      <c r="C679">
        <f>'Site Data'!E681</f>
        <v>0</v>
      </c>
      <c r="D679" s="97">
        <f t="shared" si="22"/>
        <v>0</v>
      </c>
      <c r="E679" s="98" t="str">
        <f t="shared" si="23"/>
        <v>Error</v>
      </c>
    </row>
    <row r="680" spans="1:5" x14ac:dyDescent="0.25">
      <c r="A680" s="95">
        <f>'Site Data'!B682</f>
        <v>0</v>
      </c>
      <c r="B680">
        <f>'Site Data'!D682</f>
        <v>0</v>
      </c>
      <c r="C680">
        <f>'Site Data'!E682</f>
        <v>0</v>
      </c>
      <c r="D680" s="97">
        <f t="shared" si="22"/>
        <v>0</v>
      </c>
      <c r="E680" s="98" t="str">
        <f t="shared" si="23"/>
        <v>Error</v>
      </c>
    </row>
    <row r="681" spans="1:5" x14ac:dyDescent="0.25">
      <c r="A681" s="95">
        <f>'Site Data'!B683</f>
        <v>0</v>
      </c>
      <c r="B681">
        <f>'Site Data'!D683</f>
        <v>0</v>
      </c>
      <c r="C681">
        <f>'Site Data'!E683</f>
        <v>0</v>
      </c>
      <c r="D681" s="97">
        <f t="shared" si="22"/>
        <v>0</v>
      </c>
      <c r="E681" s="98" t="str">
        <f t="shared" si="23"/>
        <v>Error</v>
      </c>
    </row>
    <row r="682" spans="1:5" x14ac:dyDescent="0.25">
      <c r="A682" s="95">
        <f>'Site Data'!B684</f>
        <v>0</v>
      </c>
      <c r="B682">
        <f>'Site Data'!D684</f>
        <v>0</v>
      </c>
      <c r="C682">
        <f>'Site Data'!E684</f>
        <v>0</v>
      </c>
      <c r="D682" s="97">
        <f t="shared" si="22"/>
        <v>0</v>
      </c>
      <c r="E682" s="98" t="str">
        <f t="shared" si="23"/>
        <v>Error</v>
      </c>
    </row>
    <row r="683" spans="1:5" x14ac:dyDescent="0.25">
      <c r="A683" s="95">
        <f>'Site Data'!B685</f>
        <v>0</v>
      </c>
      <c r="B683">
        <f>'Site Data'!D685</f>
        <v>0</v>
      </c>
      <c r="C683">
        <f>'Site Data'!E685</f>
        <v>0</v>
      </c>
      <c r="D683" s="97">
        <f t="shared" si="22"/>
        <v>0</v>
      </c>
      <c r="E683" s="98" t="str">
        <f t="shared" si="23"/>
        <v>Error</v>
      </c>
    </row>
    <row r="684" spans="1:5" x14ac:dyDescent="0.25">
      <c r="A684" s="95">
        <f>'Site Data'!B686</f>
        <v>0</v>
      </c>
      <c r="B684">
        <f>'Site Data'!D686</f>
        <v>0</v>
      </c>
      <c r="C684">
        <f>'Site Data'!E686</f>
        <v>0</v>
      </c>
      <c r="D684" s="97">
        <f t="shared" si="22"/>
        <v>0</v>
      </c>
      <c r="E684" s="98" t="str">
        <f t="shared" si="23"/>
        <v>Error</v>
      </c>
    </row>
    <row r="685" spans="1:5" x14ac:dyDescent="0.25">
      <c r="A685" s="95">
        <f>'Site Data'!B687</f>
        <v>0</v>
      </c>
      <c r="B685">
        <f>'Site Data'!D687</f>
        <v>0</v>
      </c>
      <c r="C685">
        <f>'Site Data'!E687</f>
        <v>0</v>
      </c>
      <c r="D685" s="97">
        <f t="shared" si="22"/>
        <v>0</v>
      </c>
      <c r="E685" s="98" t="str">
        <f t="shared" si="23"/>
        <v>Error</v>
      </c>
    </row>
    <row r="686" spans="1:5" x14ac:dyDescent="0.25">
      <c r="A686" s="95">
        <f>'Site Data'!B688</f>
        <v>0</v>
      </c>
      <c r="B686">
        <f>'Site Data'!D688</f>
        <v>0</v>
      </c>
      <c r="C686">
        <f>'Site Data'!E688</f>
        <v>0</v>
      </c>
      <c r="D686" s="97">
        <f t="shared" si="22"/>
        <v>0</v>
      </c>
      <c r="E686" s="98" t="str">
        <f t="shared" si="23"/>
        <v>Error</v>
      </c>
    </row>
    <row r="687" spans="1:5" x14ac:dyDescent="0.25">
      <c r="A687" s="95">
        <f>'Site Data'!B689</f>
        <v>0</v>
      </c>
      <c r="B687">
        <f>'Site Data'!D689</f>
        <v>0</v>
      </c>
      <c r="C687">
        <f>'Site Data'!E689</f>
        <v>0</v>
      </c>
      <c r="D687" s="97">
        <f t="shared" si="22"/>
        <v>0</v>
      </c>
      <c r="E687" s="98" t="str">
        <f t="shared" si="23"/>
        <v>Error</v>
      </c>
    </row>
    <row r="688" spans="1:5" x14ac:dyDescent="0.25">
      <c r="A688" s="95">
        <f>'Site Data'!B690</f>
        <v>0</v>
      </c>
      <c r="B688">
        <f>'Site Data'!D690</f>
        <v>0</v>
      </c>
      <c r="C688">
        <f>'Site Data'!E690</f>
        <v>0</v>
      </c>
      <c r="D688" s="97">
        <f t="shared" si="22"/>
        <v>0</v>
      </c>
      <c r="E688" s="98" t="str">
        <f t="shared" si="23"/>
        <v>Error</v>
      </c>
    </row>
    <row r="689" spans="1:5" x14ac:dyDescent="0.25">
      <c r="A689" s="95">
        <f>'Site Data'!B691</f>
        <v>0</v>
      </c>
      <c r="B689">
        <f>'Site Data'!D691</f>
        <v>0</v>
      </c>
      <c r="C689">
        <f>'Site Data'!E691</f>
        <v>0</v>
      </c>
      <c r="D689" s="97">
        <f t="shared" si="22"/>
        <v>0</v>
      </c>
      <c r="E689" s="98" t="str">
        <f t="shared" si="23"/>
        <v>Error</v>
      </c>
    </row>
    <row r="690" spans="1:5" x14ac:dyDescent="0.25">
      <c r="A690" s="95">
        <f>'Site Data'!B692</f>
        <v>0</v>
      </c>
      <c r="B690">
        <f>'Site Data'!D692</f>
        <v>0</v>
      </c>
      <c r="C690">
        <f>'Site Data'!E692</f>
        <v>0</v>
      </c>
      <c r="D690" s="97">
        <f t="shared" si="22"/>
        <v>0</v>
      </c>
      <c r="E690" s="98" t="str">
        <f t="shared" si="23"/>
        <v>Error</v>
      </c>
    </row>
    <row r="691" spans="1:5" x14ac:dyDescent="0.25">
      <c r="A691" s="95">
        <f>'Site Data'!B693</f>
        <v>0</v>
      </c>
      <c r="B691">
        <f>'Site Data'!D693</f>
        <v>0</v>
      </c>
      <c r="C691">
        <f>'Site Data'!E693</f>
        <v>0</v>
      </c>
      <c r="D691" s="97">
        <f t="shared" si="22"/>
        <v>0</v>
      </c>
      <c r="E691" s="98" t="str">
        <f t="shared" si="23"/>
        <v>Error</v>
      </c>
    </row>
    <row r="692" spans="1:5" x14ac:dyDescent="0.25">
      <c r="A692" s="95">
        <f>'Site Data'!B694</f>
        <v>0</v>
      </c>
      <c r="B692">
        <f>'Site Data'!D694</f>
        <v>0</v>
      </c>
      <c r="C692">
        <f>'Site Data'!E694</f>
        <v>0</v>
      </c>
      <c r="D692" s="97">
        <f t="shared" si="22"/>
        <v>0</v>
      </c>
      <c r="E692" s="98" t="str">
        <f t="shared" si="23"/>
        <v>Error</v>
      </c>
    </row>
    <row r="693" spans="1:5" x14ac:dyDescent="0.25">
      <c r="A693" s="95">
        <f>'Site Data'!B695</f>
        <v>0</v>
      </c>
      <c r="B693">
        <f>'Site Data'!D695</f>
        <v>0</v>
      </c>
      <c r="C693">
        <f>'Site Data'!E695</f>
        <v>0</v>
      </c>
      <c r="D693" s="97">
        <f t="shared" si="22"/>
        <v>0</v>
      </c>
      <c r="E693" s="98" t="str">
        <f t="shared" si="23"/>
        <v>Error</v>
      </c>
    </row>
    <row r="694" spans="1:5" x14ac:dyDescent="0.25">
      <c r="A694" s="95">
        <f>'Site Data'!B696</f>
        <v>0</v>
      </c>
      <c r="B694">
        <f>'Site Data'!D696</f>
        <v>0</v>
      </c>
      <c r="C694">
        <f>'Site Data'!E696</f>
        <v>0</v>
      </c>
      <c r="D694" s="97">
        <f t="shared" si="22"/>
        <v>0</v>
      </c>
      <c r="E694" s="98" t="str">
        <f t="shared" si="23"/>
        <v>Error</v>
      </c>
    </row>
    <row r="695" spans="1:5" x14ac:dyDescent="0.25">
      <c r="A695" s="95">
        <f>'Site Data'!B697</f>
        <v>0</v>
      </c>
      <c r="B695">
        <f>'Site Data'!D697</f>
        <v>0</v>
      </c>
      <c r="C695">
        <f>'Site Data'!E697</f>
        <v>0</v>
      </c>
      <c r="D695" s="97">
        <f t="shared" si="22"/>
        <v>0</v>
      </c>
      <c r="E695" s="98" t="str">
        <f t="shared" si="23"/>
        <v>Error</v>
      </c>
    </row>
    <row r="696" spans="1:5" x14ac:dyDescent="0.25">
      <c r="A696" s="95">
        <f>'Site Data'!B698</f>
        <v>0</v>
      </c>
      <c r="B696">
        <f>'Site Data'!D698</f>
        <v>0</v>
      </c>
      <c r="C696">
        <f>'Site Data'!E698</f>
        <v>0</v>
      </c>
      <c r="D696" s="97">
        <f t="shared" si="22"/>
        <v>0</v>
      </c>
      <c r="E696" s="98" t="str">
        <f t="shared" si="23"/>
        <v>Error</v>
      </c>
    </row>
    <row r="697" spans="1:5" x14ac:dyDescent="0.25">
      <c r="A697" s="95">
        <f>'Site Data'!B699</f>
        <v>0</v>
      </c>
      <c r="B697">
        <f>'Site Data'!D699</f>
        <v>0</v>
      </c>
      <c r="C697">
        <f>'Site Data'!E699</f>
        <v>0</v>
      </c>
      <c r="D697" s="97">
        <f t="shared" si="22"/>
        <v>0</v>
      </c>
      <c r="E697" s="98" t="str">
        <f t="shared" si="23"/>
        <v>Error</v>
      </c>
    </row>
    <row r="698" spans="1:5" x14ac:dyDescent="0.25">
      <c r="A698" s="95">
        <f>'Site Data'!B700</f>
        <v>0</v>
      </c>
      <c r="B698">
        <f>'Site Data'!D700</f>
        <v>0</v>
      </c>
      <c r="C698">
        <f>'Site Data'!E700</f>
        <v>0</v>
      </c>
      <c r="D698" s="97">
        <f t="shared" si="22"/>
        <v>0</v>
      </c>
      <c r="E698" s="98" t="str">
        <f t="shared" si="23"/>
        <v>Error</v>
      </c>
    </row>
    <row r="699" spans="1:5" x14ac:dyDescent="0.25">
      <c r="A699" s="95">
        <f>'Site Data'!B701</f>
        <v>0</v>
      </c>
      <c r="B699">
        <f>'Site Data'!D701</f>
        <v>0</v>
      </c>
      <c r="C699">
        <f>'Site Data'!E701</f>
        <v>0</v>
      </c>
      <c r="D699" s="97">
        <f t="shared" si="22"/>
        <v>0</v>
      </c>
      <c r="E699" s="98" t="str">
        <f t="shared" si="23"/>
        <v>Error</v>
      </c>
    </row>
    <row r="700" spans="1:5" x14ac:dyDescent="0.25">
      <c r="A700" s="95">
        <f>'Site Data'!B702</f>
        <v>0</v>
      </c>
      <c r="B700">
        <f>'Site Data'!D702</f>
        <v>0</v>
      </c>
      <c r="C700">
        <f>'Site Data'!E702</f>
        <v>0</v>
      </c>
      <c r="D700" s="97">
        <f t="shared" si="22"/>
        <v>0</v>
      </c>
      <c r="E700" s="98" t="str">
        <f t="shared" si="23"/>
        <v>Error</v>
      </c>
    </row>
    <row r="701" spans="1:5" x14ac:dyDescent="0.25">
      <c r="A701" s="95">
        <f>'Site Data'!B703</f>
        <v>0</v>
      </c>
      <c r="B701">
        <f>'Site Data'!D703</f>
        <v>0</v>
      </c>
      <c r="C701">
        <f>'Site Data'!E703</f>
        <v>0</v>
      </c>
      <c r="D701" s="97">
        <f t="shared" si="22"/>
        <v>0</v>
      </c>
      <c r="E701" s="98" t="str">
        <f t="shared" si="23"/>
        <v>Error</v>
      </c>
    </row>
    <row r="702" spans="1:5" x14ac:dyDescent="0.25">
      <c r="A702" s="95">
        <f>'Site Data'!B704</f>
        <v>0</v>
      </c>
      <c r="B702">
        <f>'Site Data'!D704</f>
        <v>0</v>
      </c>
      <c r="C702">
        <f>'Site Data'!E704</f>
        <v>0</v>
      </c>
      <c r="D702" s="97">
        <f t="shared" si="22"/>
        <v>0</v>
      </c>
      <c r="E702" s="98" t="str">
        <f t="shared" si="23"/>
        <v>Error</v>
      </c>
    </row>
    <row r="703" spans="1:5" x14ac:dyDescent="0.25">
      <c r="A703" s="95">
        <f>'Site Data'!B705</f>
        <v>0</v>
      </c>
      <c r="B703">
        <f>'Site Data'!D705</f>
        <v>0</v>
      </c>
      <c r="C703">
        <f>'Site Data'!E705</f>
        <v>0</v>
      </c>
      <c r="D703" s="97">
        <f t="shared" si="22"/>
        <v>0</v>
      </c>
      <c r="E703" s="98" t="str">
        <f t="shared" si="23"/>
        <v>Error</v>
      </c>
    </row>
    <row r="704" spans="1:5" x14ac:dyDescent="0.25">
      <c r="A704" s="95">
        <f>'Site Data'!B706</f>
        <v>0</v>
      </c>
      <c r="B704">
        <f>'Site Data'!D706</f>
        <v>0</v>
      </c>
      <c r="C704">
        <f>'Site Data'!E706</f>
        <v>0</v>
      </c>
      <c r="D704" s="97">
        <f t="shared" si="22"/>
        <v>0</v>
      </c>
      <c r="E704" s="98" t="str">
        <f t="shared" si="23"/>
        <v>Error</v>
      </c>
    </row>
    <row r="705" spans="1:5" x14ac:dyDescent="0.25">
      <c r="A705" s="95">
        <f>'Site Data'!B707</f>
        <v>0</v>
      </c>
      <c r="B705">
        <f>'Site Data'!D707</f>
        <v>0</v>
      </c>
      <c r="C705">
        <f>'Site Data'!E707</f>
        <v>0</v>
      </c>
      <c r="D705" s="97">
        <f t="shared" si="22"/>
        <v>0</v>
      </c>
      <c r="E705" s="98" t="str">
        <f t="shared" si="23"/>
        <v>Error</v>
      </c>
    </row>
    <row r="706" spans="1:5" x14ac:dyDescent="0.25">
      <c r="A706" s="95">
        <f>'Site Data'!B708</f>
        <v>0</v>
      </c>
      <c r="B706">
        <f>'Site Data'!D708</f>
        <v>0</v>
      </c>
      <c r="C706">
        <f>'Site Data'!E708</f>
        <v>0</v>
      </c>
      <c r="D706" s="97">
        <f t="shared" ref="D706:D769" si="24">B706-C706</f>
        <v>0</v>
      </c>
      <c r="E706" s="98" t="str">
        <f t="shared" ref="E706:E769" si="25">IF(AND(D706 &gt;= 50, D706 &lt;= 60), "Valid", "Error")</f>
        <v>Error</v>
      </c>
    </row>
    <row r="707" spans="1:5" x14ac:dyDescent="0.25">
      <c r="A707" s="95">
        <f>'Site Data'!B709</f>
        <v>0</v>
      </c>
      <c r="B707">
        <f>'Site Data'!D709</f>
        <v>0</v>
      </c>
      <c r="C707">
        <f>'Site Data'!E709</f>
        <v>0</v>
      </c>
      <c r="D707" s="97">
        <f t="shared" si="24"/>
        <v>0</v>
      </c>
      <c r="E707" s="98" t="str">
        <f t="shared" si="25"/>
        <v>Error</v>
      </c>
    </row>
    <row r="708" spans="1:5" x14ac:dyDescent="0.25">
      <c r="A708" s="95">
        <f>'Site Data'!B710</f>
        <v>0</v>
      </c>
      <c r="B708">
        <f>'Site Data'!D710</f>
        <v>0</v>
      </c>
      <c r="C708">
        <f>'Site Data'!E710</f>
        <v>0</v>
      </c>
      <c r="D708" s="97">
        <f t="shared" si="24"/>
        <v>0</v>
      </c>
      <c r="E708" s="98" t="str">
        <f t="shared" si="25"/>
        <v>Error</v>
      </c>
    </row>
    <row r="709" spans="1:5" x14ac:dyDescent="0.25">
      <c r="A709" s="95">
        <f>'Site Data'!B711</f>
        <v>0</v>
      </c>
      <c r="B709">
        <f>'Site Data'!D711</f>
        <v>0</v>
      </c>
      <c r="C709">
        <f>'Site Data'!E711</f>
        <v>0</v>
      </c>
      <c r="D709" s="97">
        <f t="shared" si="24"/>
        <v>0</v>
      </c>
      <c r="E709" s="98" t="str">
        <f t="shared" si="25"/>
        <v>Error</v>
      </c>
    </row>
    <row r="710" spans="1:5" x14ac:dyDescent="0.25">
      <c r="A710" s="95">
        <f>'Site Data'!B712</f>
        <v>0</v>
      </c>
      <c r="B710">
        <f>'Site Data'!D712</f>
        <v>0</v>
      </c>
      <c r="C710">
        <f>'Site Data'!E712</f>
        <v>0</v>
      </c>
      <c r="D710" s="97">
        <f t="shared" si="24"/>
        <v>0</v>
      </c>
      <c r="E710" s="98" t="str">
        <f t="shared" si="25"/>
        <v>Error</v>
      </c>
    </row>
    <row r="711" spans="1:5" x14ac:dyDescent="0.25">
      <c r="A711" s="95">
        <f>'Site Data'!B713</f>
        <v>0</v>
      </c>
      <c r="B711">
        <f>'Site Data'!D713</f>
        <v>0</v>
      </c>
      <c r="C711">
        <f>'Site Data'!E713</f>
        <v>0</v>
      </c>
      <c r="D711" s="97">
        <f t="shared" si="24"/>
        <v>0</v>
      </c>
      <c r="E711" s="98" t="str">
        <f t="shared" si="25"/>
        <v>Error</v>
      </c>
    </row>
    <row r="712" spans="1:5" x14ac:dyDescent="0.25">
      <c r="A712" s="95">
        <f>'Site Data'!B714</f>
        <v>0</v>
      </c>
      <c r="B712">
        <f>'Site Data'!D714</f>
        <v>0</v>
      </c>
      <c r="C712">
        <f>'Site Data'!E714</f>
        <v>0</v>
      </c>
      <c r="D712" s="97">
        <f t="shared" si="24"/>
        <v>0</v>
      </c>
      <c r="E712" s="98" t="str">
        <f t="shared" si="25"/>
        <v>Error</v>
      </c>
    </row>
    <row r="713" spans="1:5" x14ac:dyDescent="0.25">
      <c r="A713" s="95">
        <f>'Site Data'!B715</f>
        <v>0</v>
      </c>
      <c r="B713">
        <f>'Site Data'!D715</f>
        <v>0</v>
      </c>
      <c r="C713">
        <f>'Site Data'!E715</f>
        <v>0</v>
      </c>
      <c r="D713" s="97">
        <f t="shared" si="24"/>
        <v>0</v>
      </c>
      <c r="E713" s="98" t="str">
        <f t="shared" si="25"/>
        <v>Error</v>
      </c>
    </row>
    <row r="714" spans="1:5" x14ac:dyDescent="0.25">
      <c r="A714" s="95">
        <f>'Site Data'!B716</f>
        <v>0</v>
      </c>
      <c r="B714">
        <f>'Site Data'!D716</f>
        <v>0</v>
      </c>
      <c r="C714">
        <f>'Site Data'!E716</f>
        <v>0</v>
      </c>
      <c r="D714" s="97">
        <f t="shared" si="24"/>
        <v>0</v>
      </c>
      <c r="E714" s="98" t="str">
        <f t="shared" si="25"/>
        <v>Error</v>
      </c>
    </row>
    <row r="715" spans="1:5" x14ac:dyDescent="0.25">
      <c r="A715" s="95">
        <f>'Site Data'!B717</f>
        <v>0</v>
      </c>
      <c r="B715">
        <f>'Site Data'!D717</f>
        <v>0</v>
      </c>
      <c r="C715">
        <f>'Site Data'!E717</f>
        <v>0</v>
      </c>
      <c r="D715" s="97">
        <f t="shared" si="24"/>
        <v>0</v>
      </c>
      <c r="E715" s="98" t="str">
        <f t="shared" si="25"/>
        <v>Error</v>
      </c>
    </row>
    <row r="716" spans="1:5" x14ac:dyDescent="0.25">
      <c r="A716" s="95">
        <f>'Site Data'!B718</f>
        <v>0</v>
      </c>
      <c r="B716">
        <f>'Site Data'!D718</f>
        <v>0</v>
      </c>
      <c r="C716">
        <f>'Site Data'!E718</f>
        <v>0</v>
      </c>
      <c r="D716" s="97">
        <f t="shared" si="24"/>
        <v>0</v>
      </c>
      <c r="E716" s="98" t="str">
        <f t="shared" si="25"/>
        <v>Error</v>
      </c>
    </row>
    <row r="717" spans="1:5" x14ac:dyDescent="0.25">
      <c r="A717" s="95">
        <f>'Site Data'!B719</f>
        <v>0</v>
      </c>
      <c r="B717">
        <f>'Site Data'!D719</f>
        <v>0</v>
      </c>
      <c r="C717">
        <f>'Site Data'!E719</f>
        <v>0</v>
      </c>
      <c r="D717" s="97">
        <f t="shared" si="24"/>
        <v>0</v>
      </c>
      <c r="E717" s="98" t="str">
        <f t="shared" si="25"/>
        <v>Error</v>
      </c>
    </row>
    <row r="718" spans="1:5" x14ac:dyDescent="0.25">
      <c r="A718" s="95">
        <f>'Site Data'!B720</f>
        <v>0</v>
      </c>
      <c r="B718">
        <f>'Site Data'!D720</f>
        <v>0</v>
      </c>
      <c r="C718">
        <f>'Site Data'!E720</f>
        <v>0</v>
      </c>
      <c r="D718" s="97">
        <f t="shared" si="24"/>
        <v>0</v>
      </c>
      <c r="E718" s="98" t="str">
        <f t="shared" si="25"/>
        <v>Error</v>
      </c>
    </row>
    <row r="719" spans="1:5" x14ac:dyDescent="0.25">
      <c r="A719" s="95">
        <f>'Site Data'!B721</f>
        <v>0</v>
      </c>
      <c r="B719">
        <f>'Site Data'!D721</f>
        <v>0</v>
      </c>
      <c r="C719">
        <f>'Site Data'!E721</f>
        <v>0</v>
      </c>
      <c r="D719" s="97">
        <f t="shared" si="24"/>
        <v>0</v>
      </c>
      <c r="E719" s="98" t="str">
        <f t="shared" si="25"/>
        <v>Error</v>
      </c>
    </row>
    <row r="720" spans="1:5" x14ac:dyDescent="0.25">
      <c r="A720" s="95">
        <f>'Site Data'!B722</f>
        <v>0</v>
      </c>
      <c r="B720">
        <f>'Site Data'!D722</f>
        <v>0</v>
      </c>
      <c r="C720">
        <f>'Site Data'!E722</f>
        <v>0</v>
      </c>
      <c r="D720" s="97">
        <f t="shared" si="24"/>
        <v>0</v>
      </c>
      <c r="E720" s="98" t="str">
        <f t="shared" si="25"/>
        <v>Error</v>
      </c>
    </row>
    <row r="721" spans="1:5" x14ac:dyDescent="0.25">
      <c r="A721" s="95">
        <f>'Site Data'!B723</f>
        <v>0</v>
      </c>
      <c r="B721">
        <f>'Site Data'!D723</f>
        <v>0</v>
      </c>
      <c r="C721">
        <f>'Site Data'!E723</f>
        <v>0</v>
      </c>
      <c r="D721" s="97">
        <f t="shared" si="24"/>
        <v>0</v>
      </c>
      <c r="E721" s="98" t="str">
        <f t="shared" si="25"/>
        <v>Error</v>
      </c>
    </row>
    <row r="722" spans="1:5" x14ac:dyDescent="0.25">
      <c r="A722" s="95">
        <f>'Site Data'!B724</f>
        <v>0</v>
      </c>
      <c r="B722">
        <f>'Site Data'!D724</f>
        <v>0</v>
      </c>
      <c r="C722">
        <f>'Site Data'!E724</f>
        <v>0</v>
      </c>
      <c r="D722" s="97">
        <f t="shared" si="24"/>
        <v>0</v>
      </c>
      <c r="E722" s="98" t="str">
        <f t="shared" si="25"/>
        <v>Error</v>
      </c>
    </row>
    <row r="723" spans="1:5" x14ac:dyDescent="0.25">
      <c r="A723" s="95">
        <f>'Site Data'!B725</f>
        <v>0</v>
      </c>
      <c r="B723">
        <f>'Site Data'!D725</f>
        <v>0</v>
      </c>
      <c r="C723">
        <f>'Site Data'!E725</f>
        <v>0</v>
      </c>
      <c r="D723" s="97">
        <f t="shared" si="24"/>
        <v>0</v>
      </c>
      <c r="E723" s="98" t="str">
        <f t="shared" si="25"/>
        <v>Error</v>
      </c>
    </row>
    <row r="724" spans="1:5" x14ac:dyDescent="0.25">
      <c r="A724" s="95">
        <f>'Site Data'!B726</f>
        <v>0</v>
      </c>
      <c r="B724">
        <f>'Site Data'!D726</f>
        <v>0</v>
      </c>
      <c r="C724">
        <f>'Site Data'!E726</f>
        <v>0</v>
      </c>
      <c r="D724" s="97">
        <f t="shared" si="24"/>
        <v>0</v>
      </c>
      <c r="E724" s="98" t="str">
        <f t="shared" si="25"/>
        <v>Error</v>
      </c>
    </row>
    <row r="725" spans="1:5" x14ac:dyDescent="0.25">
      <c r="A725" s="95">
        <f>'Site Data'!B727</f>
        <v>0</v>
      </c>
      <c r="B725">
        <f>'Site Data'!D727</f>
        <v>0</v>
      </c>
      <c r="C725">
        <f>'Site Data'!E727</f>
        <v>0</v>
      </c>
      <c r="D725" s="97">
        <f t="shared" si="24"/>
        <v>0</v>
      </c>
      <c r="E725" s="98" t="str">
        <f t="shared" si="25"/>
        <v>Error</v>
      </c>
    </row>
    <row r="726" spans="1:5" x14ac:dyDescent="0.25">
      <c r="A726" s="95">
        <f>'Site Data'!B728</f>
        <v>0</v>
      </c>
      <c r="B726">
        <f>'Site Data'!D728</f>
        <v>0</v>
      </c>
      <c r="C726">
        <f>'Site Data'!E728</f>
        <v>0</v>
      </c>
      <c r="D726" s="97">
        <f t="shared" si="24"/>
        <v>0</v>
      </c>
      <c r="E726" s="98" t="str">
        <f t="shared" si="25"/>
        <v>Error</v>
      </c>
    </row>
    <row r="727" spans="1:5" x14ac:dyDescent="0.25">
      <c r="A727" s="95">
        <f>'Site Data'!B729</f>
        <v>0</v>
      </c>
      <c r="B727">
        <f>'Site Data'!D729</f>
        <v>0</v>
      </c>
      <c r="C727">
        <f>'Site Data'!E729</f>
        <v>0</v>
      </c>
      <c r="D727" s="97">
        <f t="shared" si="24"/>
        <v>0</v>
      </c>
      <c r="E727" s="98" t="str">
        <f t="shared" si="25"/>
        <v>Error</v>
      </c>
    </row>
    <row r="728" spans="1:5" x14ac:dyDescent="0.25">
      <c r="A728" s="95">
        <f>'Site Data'!B730</f>
        <v>0</v>
      </c>
      <c r="B728">
        <f>'Site Data'!D730</f>
        <v>0</v>
      </c>
      <c r="C728">
        <f>'Site Data'!E730</f>
        <v>0</v>
      </c>
      <c r="D728" s="97">
        <f t="shared" si="24"/>
        <v>0</v>
      </c>
      <c r="E728" s="98" t="str">
        <f t="shared" si="25"/>
        <v>Error</v>
      </c>
    </row>
    <row r="729" spans="1:5" x14ac:dyDescent="0.25">
      <c r="A729" s="95">
        <f>'Site Data'!B731</f>
        <v>0</v>
      </c>
      <c r="B729">
        <f>'Site Data'!D731</f>
        <v>0</v>
      </c>
      <c r="C729">
        <f>'Site Data'!E731</f>
        <v>0</v>
      </c>
      <c r="D729" s="97">
        <f t="shared" si="24"/>
        <v>0</v>
      </c>
      <c r="E729" s="98" t="str">
        <f t="shared" si="25"/>
        <v>Error</v>
      </c>
    </row>
    <row r="730" spans="1:5" x14ac:dyDescent="0.25">
      <c r="A730" s="95">
        <f>'Site Data'!B732</f>
        <v>0</v>
      </c>
      <c r="B730">
        <f>'Site Data'!D732</f>
        <v>0</v>
      </c>
      <c r="C730">
        <f>'Site Data'!E732</f>
        <v>0</v>
      </c>
      <c r="D730" s="97">
        <f t="shared" si="24"/>
        <v>0</v>
      </c>
      <c r="E730" s="98" t="str">
        <f t="shared" si="25"/>
        <v>Error</v>
      </c>
    </row>
    <row r="731" spans="1:5" x14ac:dyDescent="0.25">
      <c r="A731" s="95">
        <f>'Site Data'!B733</f>
        <v>0</v>
      </c>
      <c r="B731">
        <f>'Site Data'!D733</f>
        <v>0</v>
      </c>
      <c r="C731">
        <f>'Site Data'!E733</f>
        <v>0</v>
      </c>
      <c r="D731" s="97">
        <f t="shared" si="24"/>
        <v>0</v>
      </c>
      <c r="E731" s="98" t="str">
        <f t="shared" si="25"/>
        <v>Error</v>
      </c>
    </row>
    <row r="732" spans="1:5" x14ac:dyDescent="0.25">
      <c r="A732" s="95">
        <f>'Site Data'!B734</f>
        <v>0</v>
      </c>
      <c r="B732">
        <f>'Site Data'!D734</f>
        <v>0</v>
      </c>
      <c r="C732">
        <f>'Site Data'!E734</f>
        <v>0</v>
      </c>
      <c r="D732" s="97">
        <f t="shared" si="24"/>
        <v>0</v>
      </c>
      <c r="E732" s="98" t="str">
        <f t="shared" si="25"/>
        <v>Error</v>
      </c>
    </row>
    <row r="733" spans="1:5" x14ac:dyDescent="0.25">
      <c r="A733" s="95">
        <f>'Site Data'!B735</f>
        <v>0</v>
      </c>
      <c r="B733">
        <f>'Site Data'!D735</f>
        <v>0</v>
      </c>
      <c r="C733">
        <f>'Site Data'!E735</f>
        <v>0</v>
      </c>
      <c r="D733" s="97">
        <f t="shared" si="24"/>
        <v>0</v>
      </c>
      <c r="E733" s="98" t="str">
        <f t="shared" si="25"/>
        <v>Error</v>
      </c>
    </row>
    <row r="734" spans="1:5" x14ac:dyDescent="0.25">
      <c r="A734" s="95">
        <f>'Site Data'!B736</f>
        <v>0</v>
      </c>
      <c r="B734">
        <f>'Site Data'!D736</f>
        <v>0</v>
      </c>
      <c r="C734">
        <f>'Site Data'!E736</f>
        <v>0</v>
      </c>
      <c r="D734" s="97">
        <f t="shared" si="24"/>
        <v>0</v>
      </c>
      <c r="E734" s="98" t="str">
        <f t="shared" si="25"/>
        <v>Error</v>
      </c>
    </row>
    <row r="735" spans="1:5" x14ac:dyDescent="0.25">
      <c r="A735" s="95">
        <f>'Site Data'!B737</f>
        <v>0</v>
      </c>
      <c r="B735">
        <f>'Site Data'!D737</f>
        <v>0</v>
      </c>
      <c r="C735">
        <f>'Site Data'!E737</f>
        <v>0</v>
      </c>
      <c r="D735" s="97">
        <f t="shared" si="24"/>
        <v>0</v>
      </c>
      <c r="E735" s="98" t="str">
        <f t="shared" si="25"/>
        <v>Error</v>
      </c>
    </row>
    <row r="736" spans="1:5" x14ac:dyDescent="0.25">
      <c r="A736" s="95">
        <f>'Site Data'!B738</f>
        <v>0</v>
      </c>
      <c r="B736">
        <f>'Site Data'!D738</f>
        <v>0</v>
      </c>
      <c r="C736">
        <f>'Site Data'!E738</f>
        <v>0</v>
      </c>
      <c r="D736" s="97">
        <f t="shared" si="24"/>
        <v>0</v>
      </c>
      <c r="E736" s="98" t="str">
        <f t="shared" si="25"/>
        <v>Error</v>
      </c>
    </row>
    <row r="737" spans="1:5" x14ac:dyDescent="0.25">
      <c r="A737" s="95">
        <f>'Site Data'!B739</f>
        <v>0</v>
      </c>
      <c r="B737">
        <f>'Site Data'!D739</f>
        <v>0</v>
      </c>
      <c r="C737">
        <f>'Site Data'!E739</f>
        <v>0</v>
      </c>
      <c r="D737" s="97">
        <f t="shared" si="24"/>
        <v>0</v>
      </c>
      <c r="E737" s="98" t="str">
        <f t="shared" si="25"/>
        <v>Error</v>
      </c>
    </row>
    <row r="738" spans="1:5" x14ac:dyDescent="0.25">
      <c r="A738" s="95">
        <f>'Site Data'!B740</f>
        <v>0</v>
      </c>
      <c r="B738">
        <f>'Site Data'!D740</f>
        <v>0</v>
      </c>
      <c r="C738">
        <f>'Site Data'!E740</f>
        <v>0</v>
      </c>
      <c r="D738" s="97">
        <f t="shared" si="24"/>
        <v>0</v>
      </c>
      <c r="E738" s="98" t="str">
        <f t="shared" si="25"/>
        <v>Error</v>
      </c>
    </row>
    <row r="739" spans="1:5" x14ac:dyDescent="0.25">
      <c r="A739" s="95">
        <f>'Site Data'!B741</f>
        <v>0</v>
      </c>
      <c r="B739">
        <f>'Site Data'!D741</f>
        <v>0</v>
      </c>
      <c r="C739">
        <f>'Site Data'!E741</f>
        <v>0</v>
      </c>
      <c r="D739" s="97">
        <f t="shared" si="24"/>
        <v>0</v>
      </c>
      <c r="E739" s="98" t="str">
        <f t="shared" si="25"/>
        <v>Error</v>
      </c>
    </row>
    <row r="740" spans="1:5" x14ac:dyDescent="0.25">
      <c r="A740" s="95">
        <f>'Site Data'!B742</f>
        <v>0</v>
      </c>
      <c r="B740">
        <f>'Site Data'!D742</f>
        <v>0</v>
      </c>
      <c r="C740">
        <f>'Site Data'!E742</f>
        <v>0</v>
      </c>
      <c r="D740" s="97">
        <f t="shared" si="24"/>
        <v>0</v>
      </c>
      <c r="E740" s="98" t="str">
        <f t="shared" si="25"/>
        <v>Error</v>
      </c>
    </row>
    <row r="741" spans="1:5" x14ac:dyDescent="0.25">
      <c r="A741" s="95">
        <f>'Site Data'!B743</f>
        <v>0</v>
      </c>
      <c r="B741">
        <f>'Site Data'!D743</f>
        <v>0</v>
      </c>
      <c r="C741">
        <f>'Site Data'!E743</f>
        <v>0</v>
      </c>
      <c r="D741" s="97">
        <f t="shared" si="24"/>
        <v>0</v>
      </c>
      <c r="E741" s="98" t="str">
        <f t="shared" si="25"/>
        <v>Error</v>
      </c>
    </row>
    <row r="742" spans="1:5" x14ac:dyDescent="0.25">
      <c r="A742" s="95">
        <f>'Site Data'!B744</f>
        <v>0</v>
      </c>
      <c r="B742">
        <f>'Site Data'!D744</f>
        <v>0</v>
      </c>
      <c r="C742">
        <f>'Site Data'!E744</f>
        <v>0</v>
      </c>
      <c r="D742" s="97">
        <f t="shared" si="24"/>
        <v>0</v>
      </c>
      <c r="E742" s="98" t="str">
        <f t="shared" si="25"/>
        <v>Error</v>
      </c>
    </row>
    <row r="743" spans="1:5" x14ac:dyDescent="0.25">
      <c r="A743" s="95">
        <f>'Site Data'!B745</f>
        <v>0</v>
      </c>
      <c r="B743">
        <f>'Site Data'!D745</f>
        <v>0</v>
      </c>
      <c r="C743">
        <f>'Site Data'!E745</f>
        <v>0</v>
      </c>
      <c r="D743" s="97">
        <f t="shared" si="24"/>
        <v>0</v>
      </c>
      <c r="E743" s="98" t="str">
        <f t="shared" si="25"/>
        <v>Error</v>
      </c>
    </row>
    <row r="744" spans="1:5" x14ac:dyDescent="0.25">
      <c r="A744" s="95">
        <f>'Site Data'!B746</f>
        <v>0</v>
      </c>
      <c r="B744">
        <f>'Site Data'!D746</f>
        <v>0</v>
      </c>
      <c r="C744">
        <f>'Site Data'!E746</f>
        <v>0</v>
      </c>
      <c r="D744" s="97">
        <f t="shared" si="24"/>
        <v>0</v>
      </c>
      <c r="E744" s="98" t="str">
        <f t="shared" si="25"/>
        <v>Error</v>
      </c>
    </row>
    <row r="745" spans="1:5" x14ac:dyDescent="0.25">
      <c r="A745" s="95">
        <f>'Site Data'!B747</f>
        <v>0</v>
      </c>
      <c r="B745">
        <f>'Site Data'!D747</f>
        <v>0</v>
      </c>
      <c r="C745">
        <f>'Site Data'!E747</f>
        <v>0</v>
      </c>
      <c r="D745" s="97">
        <f t="shared" si="24"/>
        <v>0</v>
      </c>
      <c r="E745" s="98" t="str">
        <f t="shared" si="25"/>
        <v>Error</v>
      </c>
    </row>
    <row r="746" spans="1:5" x14ac:dyDescent="0.25">
      <c r="A746" s="95">
        <f>'Site Data'!B748</f>
        <v>0</v>
      </c>
      <c r="B746">
        <f>'Site Data'!D748</f>
        <v>0</v>
      </c>
      <c r="C746">
        <f>'Site Data'!E748</f>
        <v>0</v>
      </c>
      <c r="D746" s="97">
        <f t="shared" si="24"/>
        <v>0</v>
      </c>
      <c r="E746" s="98" t="str">
        <f t="shared" si="25"/>
        <v>Error</v>
      </c>
    </row>
    <row r="747" spans="1:5" x14ac:dyDescent="0.25">
      <c r="A747" s="95">
        <f>'Site Data'!B749</f>
        <v>0</v>
      </c>
      <c r="B747">
        <f>'Site Data'!D749</f>
        <v>0</v>
      </c>
      <c r="C747">
        <f>'Site Data'!E749</f>
        <v>0</v>
      </c>
      <c r="D747" s="97">
        <f t="shared" si="24"/>
        <v>0</v>
      </c>
      <c r="E747" s="98" t="str">
        <f t="shared" si="25"/>
        <v>Error</v>
      </c>
    </row>
    <row r="748" spans="1:5" x14ac:dyDescent="0.25">
      <c r="A748" s="95">
        <f>'Site Data'!B750</f>
        <v>0</v>
      </c>
      <c r="B748">
        <f>'Site Data'!D750</f>
        <v>0</v>
      </c>
      <c r="C748">
        <f>'Site Data'!E750</f>
        <v>0</v>
      </c>
      <c r="D748" s="97">
        <f t="shared" si="24"/>
        <v>0</v>
      </c>
      <c r="E748" s="98" t="str">
        <f t="shared" si="25"/>
        <v>Error</v>
      </c>
    </row>
    <row r="749" spans="1:5" x14ac:dyDescent="0.25">
      <c r="A749" s="95">
        <f>'Site Data'!B751</f>
        <v>0</v>
      </c>
      <c r="B749">
        <f>'Site Data'!D751</f>
        <v>0</v>
      </c>
      <c r="C749">
        <f>'Site Data'!E751</f>
        <v>0</v>
      </c>
      <c r="D749" s="97">
        <f t="shared" si="24"/>
        <v>0</v>
      </c>
      <c r="E749" s="98" t="str">
        <f t="shared" si="25"/>
        <v>Error</v>
      </c>
    </row>
    <row r="750" spans="1:5" x14ac:dyDescent="0.25">
      <c r="A750" s="95">
        <f>'Site Data'!B752</f>
        <v>0</v>
      </c>
      <c r="B750">
        <f>'Site Data'!D752</f>
        <v>0</v>
      </c>
      <c r="C750">
        <f>'Site Data'!E752</f>
        <v>0</v>
      </c>
      <c r="D750" s="97">
        <f t="shared" si="24"/>
        <v>0</v>
      </c>
      <c r="E750" s="98" t="str">
        <f t="shared" si="25"/>
        <v>Error</v>
      </c>
    </row>
    <row r="751" spans="1:5" x14ac:dyDescent="0.25">
      <c r="A751" s="95">
        <f>'Site Data'!B753</f>
        <v>0</v>
      </c>
      <c r="B751">
        <f>'Site Data'!D753</f>
        <v>0</v>
      </c>
      <c r="C751">
        <f>'Site Data'!E753</f>
        <v>0</v>
      </c>
      <c r="D751" s="97">
        <f t="shared" si="24"/>
        <v>0</v>
      </c>
      <c r="E751" s="98" t="str">
        <f t="shared" si="25"/>
        <v>Error</v>
      </c>
    </row>
    <row r="752" spans="1:5" x14ac:dyDescent="0.25">
      <c r="A752" s="95">
        <f>'Site Data'!B754</f>
        <v>0</v>
      </c>
      <c r="B752">
        <f>'Site Data'!D754</f>
        <v>0</v>
      </c>
      <c r="C752">
        <f>'Site Data'!E754</f>
        <v>0</v>
      </c>
      <c r="D752" s="97">
        <f t="shared" si="24"/>
        <v>0</v>
      </c>
      <c r="E752" s="98" t="str">
        <f t="shared" si="25"/>
        <v>Error</v>
      </c>
    </row>
    <row r="753" spans="1:5" x14ac:dyDescent="0.25">
      <c r="A753" s="95">
        <f>'Site Data'!B755</f>
        <v>0</v>
      </c>
      <c r="B753">
        <f>'Site Data'!D755</f>
        <v>0</v>
      </c>
      <c r="C753">
        <f>'Site Data'!E755</f>
        <v>0</v>
      </c>
      <c r="D753" s="97">
        <f t="shared" si="24"/>
        <v>0</v>
      </c>
      <c r="E753" s="98" t="str">
        <f t="shared" si="25"/>
        <v>Error</v>
      </c>
    </row>
    <row r="754" spans="1:5" x14ac:dyDescent="0.25">
      <c r="A754" s="95">
        <f>'Site Data'!B756</f>
        <v>0</v>
      </c>
      <c r="B754">
        <f>'Site Data'!D756</f>
        <v>0</v>
      </c>
      <c r="C754">
        <f>'Site Data'!E756</f>
        <v>0</v>
      </c>
      <c r="D754" s="97">
        <f t="shared" si="24"/>
        <v>0</v>
      </c>
      <c r="E754" s="98" t="str">
        <f t="shared" si="25"/>
        <v>Error</v>
      </c>
    </row>
    <row r="755" spans="1:5" x14ac:dyDescent="0.25">
      <c r="A755" s="95">
        <f>'Site Data'!B757</f>
        <v>0</v>
      </c>
      <c r="B755">
        <f>'Site Data'!D757</f>
        <v>0</v>
      </c>
      <c r="C755">
        <f>'Site Data'!E757</f>
        <v>0</v>
      </c>
      <c r="D755" s="97">
        <f t="shared" si="24"/>
        <v>0</v>
      </c>
      <c r="E755" s="98" t="str">
        <f t="shared" si="25"/>
        <v>Error</v>
      </c>
    </row>
    <row r="756" spans="1:5" x14ac:dyDescent="0.25">
      <c r="A756" s="95">
        <f>'Site Data'!B758</f>
        <v>0</v>
      </c>
      <c r="B756">
        <f>'Site Data'!D758</f>
        <v>0</v>
      </c>
      <c r="C756">
        <f>'Site Data'!E758</f>
        <v>0</v>
      </c>
      <c r="D756" s="97">
        <f t="shared" si="24"/>
        <v>0</v>
      </c>
      <c r="E756" s="98" t="str">
        <f t="shared" si="25"/>
        <v>Error</v>
      </c>
    </row>
    <row r="757" spans="1:5" x14ac:dyDescent="0.25">
      <c r="A757" s="95">
        <f>'Site Data'!B759</f>
        <v>0</v>
      </c>
      <c r="B757">
        <f>'Site Data'!D759</f>
        <v>0</v>
      </c>
      <c r="C757">
        <f>'Site Data'!E759</f>
        <v>0</v>
      </c>
      <c r="D757" s="97">
        <f t="shared" si="24"/>
        <v>0</v>
      </c>
      <c r="E757" s="98" t="str">
        <f t="shared" si="25"/>
        <v>Error</v>
      </c>
    </row>
    <row r="758" spans="1:5" x14ac:dyDescent="0.25">
      <c r="A758" s="95">
        <f>'Site Data'!B760</f>
        <v>0</v>
      </c>
      <c r="B758">
        <f>'Site Data'!D760</f>
        <v>0</v>
      </c>
      <c r="C758">
        <f>'Site Data'!E760</f>
        <v>0</v>
      </c>
      <c r="D758" s="97">
        <f t="shared" si="24"/>
        <v>0</v>
      </c>
      <c r="E758" s="98" t="str">
        <f t="shared" si="25"/>
        <v>Error</v>
      </c>
    </row>
    <row r="759" spans="1:5" x14ac:dyDescent="0.25">
      <c r="A759" s="95">
        <f>'Site Data'!B761</f>
        <v>0</v>
      </c>
      <c r="B759">
        <f>'Site Data'!D761</f>
        <v>0</v>
      </c>
      <c r="C759">
        <f>'Site Data'!E761</f>
        <v>0</v>
      </c>
      <c r="D759" s="97">
        <f t="shared" si="24"/>
        <v>0</v>
      </c>
      <c r="E759" s="98" t="str">
        <f t="shared" si="25"/>
        <v>Error</v>
      </c>
    </row>
    <row r="760" spans="1:5" x14ac:dyDescent="0.25">
      <c r="A760" s="95">
        <f>'Site Data'!B762</f>
        <v>0</v>
      </c>
      <c r="B760">
        <f>'Site Data'!D762</f>
        <v>0</v>
      </c>
      <c r="C760">
        <f>'Site Data'!E762</f>
        <v>0</v>
      </c>
      <c r="D760" s="97">
        <f t="shared" si="24"/>
        <v>0</v>
      </c>
      <c r="E760" s="98" t="str">
        <f t="shared" si="25"/>
        <v>Error</v>
      </c>
    </row>
    <row r="761" spans="1:5" x14ac:dyDescent="0.25">
      <c r="A761" s="95">
        <f>'Site Data'!B763</f>
        <v>0</v>
      </c>
      <c r="B761">
        <f>'Site Data'!D763</f>
        <v>0</v>
      </c>
      <c r="C761">
        <f>'Site Data'!E763</f>
        <v>0</v>
      </c>
      <c r="D761" s="97">
        <f t="shared" si="24"/>
        <v>0</v>
      </c>
      <c r="E761" s="98" t="str">
        <f t="shared" si="25"/>
        <v>Error</v>
      </c>
    </row>
    <row r="762" spans="1:5" x14ac:dyDescent="0.25">
      <c r="A762" s="95">
        <f>'Site Data'!B764</f>
        <v>0</v>
      </c>
      <c r="B762">
        <f>'Site Data'!D764</f>
        <v>0</v>
      </c>
      <c r="C762">
        <f>'Site Data'!E764</f>
        <v>0</v>
      </c>
      <c r="D762" s="97">
        <f t="shared" si="24"/>
        <v>0</v>
      </c>
      <c r="E762" s="98" t="str">
        <f t="shared" si="25"/>
        <v>Error</v>
      </c>
    </row>
    <row r="763" spans="1:5" x14ac:dyDescent="0.25">
      <c r="A763" s="95">
        <f>'Site Data'!B765</f>
        <v>0</v>
      </c>
      <c r="B763">
        <f>'Site Data'!D765</f>
        <v>0</v>
      </c>
      <c r="C763">
        <f>'Site Data'!E765</f>
        <v>0</v>
      </c>
      <c r="D763" s="97">
        <f t="shared" si="24"/>
        <v>0</v>
      </c>
      <c r="E763" s="98" t="str">
        <f t="shared" si="25"/>
        <v>Error</v>
      </c>
    </row>
    <row r="764" spans="1:5" x14ac:dyDescent="0.25">
      <c r="A764" s="95">
        <f>'Site Data'!B766</f>
        <v>0</v>
      </c>
      <c r="B764">
        <f>'Site Data'!D766</f>
        <v>0</v>
      </c>
      <c r="C764">
        <f>'Site Data'!E766</f>
        <v>0</v>
      </c>
      <c r="D764" s="97">
        <f t="shared" si="24"/>
        <v>0</v>
      </c>
      <c r="E764" s="98" t="str">
        <f t="shared" si="25"/>
        <v>Error</v>
      </c>
    </row>
    <row r="765" spans="1:5" x14ac:dyDescent="0.25">
      <c r="A765" s="95">
        <f>'Site Data'!B767</f>
        <v>0</v>
      </c>
      <c r="B765">
        <f>'Site Data'!D767</f>
        <v>0</v>
      </c>
      <c r="C765">
        <f>'Site Data'!E767</f>
        <v>0</v>
      </c>
      <c r="D765" s="97">
        <f t="shared" si="24"/>
        <v>0</v>
      </c>
      <c r="E765" s="98" t="str">
        <f t="shared" si="25"/>
        <v>Error</v>
      </c>
    </row>
    <row r="766" spans="1:5" x14ac:dyDescent="0.25">
      <c r="A766" s="95">
        <f>'Site Data'!B768</f>
        <v>0</v>
      </c>
      <c r="B766">
        <f>'Site Data'!D768</f>
        <v>0</v>
      </c>
      <c r="C766">
        <f>'Site Data'!E768</f>
        <v>0</v>
      </c>
      <c r="D766" s="97">
        <f t="shared" si="24"/>
        <v>0</v>
      </c>
      <c r="E766" s="98" t="str">
        <f t="shared" si="25"/>
        <v>Error</v>
      </c>
    </row>
    <row r="767" spans="1:5" x14ac:dyDescent="0.25">
      <c r="A767" s="95">
        <f>'Site Data'!B769</f>
        <v>0</v>
      </c>
      <c r="B767">
        <f>'Site Data'!D769</f>
        <v>0</v>
      </c>
      <c r="C767">
        <f>'Site Data'!E769</f>
        <v>0</v>
      </c>
      <c r="D767" s="97">
        <f t="shared" si="24"/>
        <v>0</v>
      </c>
      <c r="E767" s="98" t="str">
        <f t="shared" si="25"/>
        <v>Error</v>
      </c>
    </row>
    <row r="768" spans="1:5" x14ac:dyDescent="0.25">
      <c r="A768" s="95">
        <f>'Site Data'!B770</f>
        <v>0</v>
      </c>
      <c r="B768">
        <f>'Site Data'!D770</f>
        <v>0</v>
      </c>
      <c r="C768">
        <f>'Site Data'!E770</f>
        <v>0</v>
      </c>
      <c r="D768" s="97">
        <f t="shared" si="24"/>
        <v>0</v>
      </c>
      <c r="E768" s="98" t="str">
        <f t="shared" si="25"/>
        <v>Error</v>
      </c>
    </row>
    <row r="769" spans="1:5" x14ac:dyDescent="0.25">
      <c r="A769" s="95">
        <f>'Site Data'!B771</f>
        <v>0</v>
      </c>
      <c r="B769">
        <f>'Site Data'!D771</f>
        <v>0</v>
      </c>
      <c r="C769">
        <f>'Site Data'!E771</f>
        <v>0</v>
      </c>
      <c r="D769" s="97">
        <f t="shared" si="24"/>
        <v>0</v>
      </c>
      <c r="E769" s="98" t="str">
        <f t="shared" si="25"/>
        <v>Error</v>
      </c>
    </row>
    <row r="770" spans="1:5" x14ac:dyDescent="0.25">
      <c r="A770" s="95">
        <f>'Site Data'!B772</f>
        <v>0</v>
      </c>
      <c r="B770">
        <f>'Site Data'!D772</f>
        <v>0</v>
      </c>
      <c r="C770">
        <f>'Site Data'!E772</f>
        <v>0</v>
      </c>
      <c r="D770" s="97">
        <f t="shared" ref="D770:D833" si="26">B770-C770</f>
        <v>0</v>
      </c>
      <c r="E770" s="98" t="str">
        <f t="shared" ref="E770:E833" si="27">IF(AND(D770 &gt;= 50, D770 &lt;= 60), "Valid", "Error")</f>
        <v>Error</v>
      </c>
    </row>
    <row r="771" spans="1:5" x14ac:dyDescent="0.25">
      <c r="A771" s="95">
        <f>'Site Data'!B773</f>
        <v>0</v>
      </c>
      <c r="B771">
        <f>'Site Data'!D773</f>
        <v>0</v>
      </c>
      <c r="C771">
        <f>'Site Data'!E773</f>
        <v>0</v>
      </c>
      <c r="D771" s="97">
        <f t="shared" si="26"/>
        <v>0</v>
      </c>
      <c r="E771" s="98" t="str">
        <f t="shared" si="27"/>
        <v>Error</v>
      </c>
    </row>
    <row r="772" spans="1:5" x14ac:dyDescent="0.25">
      <c r="A772" s="95">
        <f>'Site Data'!B774</f>
        <v>0</v>
      </c>
      <c r="B772">
        <f>'Site Data'!D774</f>
        <v>0</v>
      </c>
      <c r="C772">
        <f>'Site Data'!E774</f>
        <v>0</v>
      </c>
      <c r="D772" s="97">
        <f t="shared" si="26"/>
        <v>0</v>
      </c>
      <c r="E772" s="98" t="str">
        <f t="shared" si="27"/>
        <v>Error</v>
      </c>
    </row>
    <row r="773" spans="1:5" x14ac:dyDescent="0.25">
      <c r="A773" s="95">
        <f>'Site Data'!B775</f>
        <v>0</v>
      </c>
      <c r="B773">
        <f>'Site Data'!D775</f>
        <v>0</v>
      </c>
      <c r="C773">
        <f>'Site Data'!E775</f>
        <v>0</v>
      </c>
      <c r="D773" s="97">
        <f t="shared" si="26"/>
        <v>0</v>
      </c>
      <c r="E773" s="98" t="str">
        <f t="shared" si="27"/>
        <v>Error</v>
      </c>
    </row>
    <row r="774" spans="1:5" x14ac:dyDescent="0.25">
      <c r="A774" s="95">
        <f>'Site Data'!B776</f>
        <v>0</v>
      </c>
      <c r="B774">
        <f>'Site Data'!D776</f>
        <v>0</v>
      </c>
      <c r="C774">
        <f>'Site Data'!E776</f>
        <v>0</v>
      </c>
      <c r="D774" s="97">
        <f t="shared" si="26"/>
        <v>0</v>
      </c>
      <c r="E774" s="98" t="str">
        <f t="shared" si="27"/>
        <v>Error</v>
      </c>
    </row>
    <row r="775" spans="1:5" x14ac:dyDescent="0.25">
      <c r="A775" s="95">
        <f>'Site Data'!B777</f>
        <v>0</v>
      </c>
      <c r="B775">
        <f>'Site Data'!D777</f>
        <v>0</v>
      </c>
      <c r="C775">
        <f>'Site Data'!E777</f>
        <v>0</v>
      </c>
      <c r="D775" s="97">
        <f t="shared" si="26"/>
        <v>0</v>
      </c>
      <c r="E775" s="98" t="str">
        <f t="shared" si="27"/>
        <v>Error</v>
      </c>
    </row>
    <row r="776" spans="1:5" x14ac:dyDescent="0.25">
      <c r="A776" s="95">
        <f>'Site Data'!B778</f>
        <v>0</v>
      </c>
      <c r="B776">
        <f>'Site Data'!D778</f>
        <v>0</v>
      </c>
      <c r="C776">
        <f>'Site Data'!E778</f>
        <v>0</v>
      </c>
      <c r="D776" s="97">
        <f t="shared" si="26"/>
        <v>0</v>
      </c>
      <c r="E776" s="98" t="str">
        <f t="shared" si="27"/>
        <v>Error</v>
      </c>
    </row>
    <row r="777" spans="1:5" x14ac:dyDescent="0.25">
      <c r="A777" s="95">
        <f>'Site Data'!B779</f>
        <v>0</v>
      </c>
      <c r="B777">
        <f>'Site Data'!D779</f>
        <v>0</v>
      </c>
      <c r="C777">
        <f>'Site Data'!E779</f>
        <v>0</v>
      </c>
      <c r="D777" s="97">
        <f t="shared" si="26"/>
        <v>0</v>
      </c>
      <c r="E777" s="98" t="str">
        <f t="shared" si="27"/>
        <v>Error</v>
      </c>
    </row>
    <row r="778" spans="1:5" x14ac:dyDescent="0.25">
      <c r="A778" s="95">
        <f>'Site Data'!B780</f>
        <v>0</v>
      </c>
      <c r="B778">
        <f>'Site Data'!D780</f>
        <v>0</v>
      </c>
      <c r="C778">
        <f>'Site Data'!E780</f>
        <v>0</v>
      </c>
      <c r="D778" s="97">
        <f t="shared" si="26"/>
        <v>0</v>
      </c>
      <c r="E778" s="98" t="str">
        <f t="shared" si="27"/>
        <v>Error</v>
      </c>
    </row>
    <row r="779" spans="1:5" x14ac:dyDescent="0.25">
      <c r="A779" s="95">
        <f>'Site Data'!B781</f>
        <v>0</v>
      </c>
      <c r="B779">
        <f>'Site Data'!D781</f>
        <v>0</v>
      </c>
      <c r="C779">
        <f>'Site Data'!E781</f>
        <v>0</v>
      </c>
      <c r="D779" s="97">
        <f t="shared" si="26"/>
        <v>0</v>
      </c>
      <c r="E779" s="98" t="str">
        <f t="shared" si="27"/>
        <v>Error</v>
      </c>
    </row>
    <row r="780" spans="1:5" x14ac:dyDescent="0.25">
      <c r="A780" s="95">
        <f>'Site Data'!B782</f>
        <v>0</v>
      </c>
      <c r="B780">
        <f>'Site Data'!D782</f>
        <v>0</v>
      </c>
      <c r="C780">
        <f>'Site Data'!E782</f>
        <v>0</v>
      </c>
      <c r="D780" s="97">
        <f t="shared" si="26"/>
        <v>0</v>
      </c>
      <c r="E780" s="98" t="str">
        <f t="shared" si="27"/>
        <v>Error</v>
      </c>
    </row>
    <row r="781" spans="1:5" x14ac:dyDescent="0.25">
      <c r="A781" s="95">
        <f>'Site Data'!B783</f>
        <v>0</v>
      </c>
      <c r="B781">
        <f>'Site Data'!D783</f>
        <v>0</v>
      </c>
      <c r="C781">
        <f>'Site Data'!E783</f>
        <v>0</v>
      </c>
      <c r="D781" s="97">
        <f t="shared" si="26"/>
        <v>0</v>
      </c>
      <c r="E781" s="98" t="str">
        <f t="shared" si="27"/>
        <v>Error</v>
      </c>
    </row>
    <row r="782" spans="1:5" x14ac:dyDescent="0.25">
      <c r="A782" s="95">
        <f>'Site Data'!B784</f>
        <v>0</v>
      </c>
      <c r="B782">
        <f>'Site Data'!D784</f>
        <v>0</v>
      </c>
      <c r="C782">
        <f>'Site Data'!E784</f>
        <v>0</v>
      </c>
      <c r="D782" s="97">
        <f t="shared" si="26"/>
        <v>0</v>
      </c>
      <c r="E782" s="98" t="str">
        <f t="shared" si="27"/>
        <v>Error</v>
      </c>
    </row>
    <row r="783" spans="1:5" x14ac:dyDescent="0.25">
      <c r="A783" s="95">
        <f>'Site Data'!B785</f>
        <v>0</v>
      </c>
      <c r="B783">
        <f>'Site Data'!D785</f>
        <v>0</v>
      </c>
      <c r="C783">
        <f>'Site Data'!E785</f>
        <v>0</v>
      </c>
      <c r="D783" s="97">
        <f t="shared" si="26"/>
        <v>0</v>
      </c>
      <c r="E783" s="98" t="str">
        <f t="shared" si="27"/>
        <v>Error</v>
      </c>
    </row>
    <row r="784" spans="1:5" x14ac:dyDescent="0.25">
      <c r="A784" s="95">
        <f>'Site Data'!B786</f>
        <v>0</v>
      </c>
      <c r="B784">
        <f>'Site Data'!D786</f>
        <v>0</v>
      </c>
      <c r="C784">
        <f>'Site Data'!E786</f>
        <v>0</v>
      </c>
      <c r="D784" s="97">
        <f t="shared" si="26"/>
        <v>0</v>
      </c>
      <c r="E784" s="98" t="str">
        <f t="shared" si="27"/>
        <v>Error</v>
      </c>
    </row>
    <row r="785" spans="1:5" x14ac:dyDescent="0.25">
      <c r="A785" s="95">
        <f>'Site Data'!B787</f>
        <v>0</v>
      </c>
      <c r="B785">
        <f>'Site Data'!D787</f>
        <v>0</v>
      </c>
      <c r="C785">
        <f>'Site Data'!E787</f>
        <v>0</v>
      </c>
      <c r="D785" s="97">
        <f t="shared" si="26"/>
        <v>0</v>
      </c>
      <c r="E785" s="98" t="str">
        <f t="shared" si="27"/>
        <v>Error</v>
      </c>
    </row>
    <row r="786" spans="1:5" x14ac:dyDescent="0.25">
      <c r="A786" s="95">
        <f>'Site Data'!B788</f>
        <v>0</v>
      </c>
      <c r="B786">
        <f>'Site Data'!D788</f>
        <v>0</v>
      </c>
      <c r="C786">
        <f>'Site Data'!E788</f>
        <v>0</v>
      </c>
      <c r="D786" s="97">
        <f t="shared" si="26"/>
        <v>0</v>
      </c>
      <c r="E786" s="98" t="str">
        <f t="shared" si="27"/>
        <v>Error</v>
      </c>
    </row>
    <row r="787" spans="1:5" x14ac:dyDescent="0.25">
      <c r="A787" s="95">
        <f>'Site Data'!B789</f>
        <v>0</v>
      </c>
      <c r="B787">
        <f>'Site Data'!D789</f>
        <v>0</v>
      </c>
      <c r="C787">
        <f>'Site Data'!E789</f>
        <v>0</v>
      </c>
      <c r="D787" s="97">
        <f t="shared" si="26"/>
        <v>0</v>
      </c>
      <c r="E787" s="98" t="str">
        <f t="shared" si="27"/>
        <v>Error</v>
      </c>
    </row>
    <row r="788" spans="1:5" x14ac:dyDescent="0.25">
      <c r="A788" s="95">
        <f>'Site Data'!B790</f>
        <v>0</v>
      </c>
      <c r="B788">
        <f>'Site Data'!D790</f>
        <v>0</v>
      </c>
      <c r="C788">
        <f>'Site Data'!E790</f>
        <v>0</v>
      </c>
      <c r="D788" s="97">
        <f t="shared" si="26"/>
        <v>0</v>
      </c>
      <c r="E788" s="98" t="str">
        <f t="shared" si="27"/>
        <v>Error</v>
      </c>
    </row>
    <row r="789" spans="1:5" x14ac:dyDescent="0.25">
      <c r="A789" s="95">
        <f>'Site Data'!B791</f>
        <v>0</v>
      </c>
      <c r="B789">
        <f>'Site Data'!D791</f>
        <v>0</v>
      </c>
      <c r="C789">
        <f>'Site Data'!E791</f>
        <v>0</v>
      </c>
      <c r="D789" s="97">
        <f t="shared" si="26"/>
        <v>0</v>
      </c>
      <c r="E789" s="98" t="str">
        <f t="shared" si="27"/>
        <v>Error</v>
      </c>
    </row>
    <row r="790" spans="1:5" x14ac:dyDescent="0.25">
      <c r="A790" s="95">
        <f>'Site Data'!B792</f>
        <v>0</v>
      </c>
      <c r="B790">
        <f>'Site Data'!D792</f>
        <v>0</v>
      </c>
      <c r="C790">
        <f>'Site Data'!E792</f>
        <v>0</v>
      </c>
      <c r="D790" s="97">
        <f t="shared" si="26"/>
        <v>0</v>
      </c>
      <c r="E790" s="98" t="str">
        <f t="shared" si="27"/>
        <v>Error</v>
      </c>
    </row>
    <row r="791" spans="1:5" x14ac:dyDescent="0.25">
      <c r="A791" s="95">
        <f>'Site Data'!B793</f>
        <v>0</v>
      </c>
      <c r="B791">
        <f>'Site Data'!D793</f>
        <v>0</v>
      </c>
      <c r="C791">
        <f>'Site Data'!E793</f>
        <v>0</v>
      </c>
      <c r="D791" s="97">
        <f t="shared" si="26"/>
        <v>0</v>
      </c>
      <c r="E791" s="98" t="str">
        <f t="shared" si="27"/>
        <v>Error</v>
      </c>
    </row>
    <row r="792" spans="1:5" x14ac:dyDescent="0.25">
      <c r="A792" s="95">
        <f>'Site Data'!B794</f>
        <v>0</v>
      </c>
      <c r="B792">
        <f>'Site Data'!D794</f>
        <v>0</v>
      </c>
      <c r="C792">
        <f>'Site Data'!E794</f>
        <v>0</v>
      </c>
      <c r="D792" s="97">
        <f t="shared" si="26"/>
        <v>0</v>
      </c>
      <c r="E792" s="98" t="str">
        <f t="shared" si="27"/>
        <v>Error</v>
      </c>
    </row>
    <row r="793" spans="1:5" x14ac:dyDescent="0.25">
      <c r="A793" s="95">
        <f>'Site Data'!B795</f>
        <v>0</v>
      </c>
      <c r="B793">
        <f>'Site Data'!D795</f>
        <v>0</v>
      </c>
      <c r="C793">
        <f>'Site Data'!E795</f>
        <v>0</v>
      </c>
      <c r="D793" s="97">
        <f t="shared" si="26"/>
        <v>0</v>
      </c>
      <c r="E793" s="98" t="str">
        <f t="shared" si="27"/>
        <v>Error</v>
      </c>
    </row>
    <row r="794" spans="1:5" x14ac:dyDescent="0.25">
      <c r="A794" s="95">
        <f>'Site Data'!B796</f>
        <v>0</v>
      </c>
      <c r="B794">
        <f>'Site Data'!D796</f>
        <v>0</v>
      </c>
      <c r="C794">
        <f>'Site Data'!E796</f>
        <v>0</v>
      </c>
      <c r="D794" s="97">
        <f t="shared" si="26"/>
        <v>0</v>
      </c>
      <c r="E794" s="98" t="str">
        <f t="shared" si="27"/>
        <v>Error</v>
      </c>
    </row>
    <row r="795" spans="1:5" x14ac:dyDescent="0.25">
      <c r="A795" s="95">
        <f>'Site Data'!B797</f>
        <v>0</v>
      </c>
      <c r="B795">
        <f>'Site Data'!D797</f>
        <v>0</v>
      </c>
      <c r="C795">
        <f>'Site Data'!E797</f>
        <v>0</v>
      </c>
      <c r="D795" s="97">
        <f t="shared" si="26"/>
        <v>0</v>
      </c>
      <c r="E795" s="98" t="str">
        <f t="shared" si="27"/>
        <v>Error</v>
      </c>
    </row>
    <row r="796" spans="1:5" x14ac:dyDescent="0.25">
      <c r="A796" s="95">
        <f>'Site Data'!B798</f>
        <v>0</v>
      </c>
      <c r="B796">
        <f>'Site Data'!D798</f>
        <v>0</v>
      </c>
      <c r="C796">
        <f>'Site Data'!E798</f>
        <v>0</v>
      </c>
      <c r="D796" s="97">
        <f t="shared" si="26"/>
        <v>0</v>
      </c>
      <c r="E796" s="98" t="str">
        <f t="shared" si="27"/>
        <v>Error</v>
      </c>
    </row>
    <row r="797" spans="1:5" x14ac:dyDescent="0.25">
      <c r="A797" s="95">
        <f>'Site Data'!B799</f>
        <v>0</v>
      </c>
      <c r="B797">
        <f>'Site Data'!D799</f>
        <v>0</v>
      </c>
      <c r="C797">
        <f>'Site Data'!E799</f>
        <v>0</v>
      </c>
      <c r="D797" s="97">
        <f t="shared" si="26"/>
        <v>0</v>
      </c>
      <c r="E797" s="98" t="str">
        <f t="shared" si="27"/>
        <v>Error</v>
      </c>
    </row>
    <row r="798" spans="1:5" x14ac:dyDescent="0.25">
      <c r="A798" s="95">
        <f>'Site Data'!B800</f>
        <v>0</v>
      </c>
      <c r="B798">
        <f>'Site Data'!D800</f>
        <v>0</v>
      </c>
      <c r="C798">
        <f>'Site Data'!E800</f>
        <v>0</v>
      </c>
      <c r="D798" s="97">
        <f t="shared" si="26"/>
        <v>0</v>
      </c>
      <c r="E798" s="98" t="str">
        <f t="shared" si="27"/>
        <v>Error</v>
      </c>
    </row>
    <row r="799" spans="1:5" x14ac:dyDescent="0.25">
      <c r="A799" s="95">
        <f>'Site Data'!B801</f>
        <v>0</v>
      </c>
      <c r="B799">
        <f>'Site Data'!D801</f>
        <v>0</v>
      </c>
      <c r="C799">
        <f>'Site Data'!E801</f>
        <v>0</v>
      </c>
      <c r="D799" s="97">
        <f t="shared" si="26"/>
        <v>0</v>
      </c>
      <c r="E799" s="98" t="str">
        <f t="shared" si="27"/>
        <v>Error</v>
      </c>
    </row>
    <row r="800" spans="1:5" x14ac:dyDescent="0.25">
      <c r="A800" s="95">
        <f>'Site Data'!B802</f>
        <v>0</v>
      </c>
      <c r="B800">
        <f>'Site Data'!D802</f>
        <v>0</v>
      </c>
      <c r="C800">
        <f>'Site Data'!E802</f>
        <v>0</v>
      </c>
      <c r="D800" s="97">
        <f t="shared" si="26"/>
        <v>0</v>
      </c>
      <c r="E800" s="98" t="str">
        <f t="shared" si="27"/>
        <v>Error</v>
      </c>
    </row>
    <row r="801" spans="1:5" x14ac:dyDescent="0.25">
      <c r="A801" s="95">
        <f>'Site Data'!B803</f>
        <v>0</v>
      </c>
      <c r="B801">
        <f>'Site Data'!D803</f>
        <v>0</v>
      </c>
      <c r="C801">
        <f>'Site Data'!E803</f>
        <v>0</v>
      </c>
      <c r="D801" s="97">
        <f t="shared" si="26"/>
        <v>0</v>
      </c>
      <c r="E801" s="98" t="str">
        <f t="shared" si="27"/>
        <v>Error</v>
      </c>
    </row>
    <row r="802" spans="1:5" x14ac:dyDescent="0.25">
      <c r="A802" s="95">
        <f>'Site Data'!B804</f>
        <v>0</v>
      </c>
      <c r="B802">
        <f>'Site Data'!D804</f>
        <v>0</v>
      </c>
      <c r="C802">
        <f>'Site Data'!E804</f>
        <v>0</v>
      </c>
      <c r="D802" s="97">
        <f t="shared" si="26"/>
        <v>0</v>
      </c>
      <c r="E802" s="98" t="str">
        <f t="shared" si="27"/>
        <v>Error</v>
      </c>
    </row>
    <row r="803" spans="1:5" x14ac:dyDescent="0.25">
      <c r="A803" s="95">
        <f>'Site Data'!B805</f>
        <v>0</v>
      </c>
      <c r="B803">
        <f>'Site Data'!D805</f>
        <v>0</v>
      </c>
      <c r="C803">
        <f>'Site Data'!E805</f>
        <v>0</v>
      </c>
      <c r="D803" s="97">
        <f t="shared" si="26"/>
        <v>0</v>
      </c>
      <c r="E803" s="98" t="str">
        <f t="shared" si="27"/>
        <v>Error</v>
      </c>
    </row>
    <row r="804" spans="1:5" x14ac:dyDescent="0.25">
      <c r="A804" s="95">
        <f>'Site Data'!B806</f>
        <v>0</v>
      </c>
      <c r="B804">
        <f>'Site Data'!D806</f>
        <v>0</v>
      </c>
      <c r="C804">
        <f>'Site Data'!E806</f>
        <v>0</v>
      </c>
      <c r="D804" s="97">
        <f t="shared" si="26"/>
        <v>0</v>
      </c>
      <c r="E804" s="98" t="str">
        <f t="shared" si="27"/>
        <v>Error</v>
      </c>
    </row>
    <row r="805" spans="1:5" x14ac:dyDescent="0.25">
      <c r="A805" s="95">
        <f>'Site Data'!B807</f>
        <v>0</v>
      </c>
      <c r="B805">
        <f>'Site Data'!D807</f>
        <v>0</v>
      </c>
      <c r="C805">
        <f>'Site Data'!E807</f>
        <v>0</v>
      </c>
      <c r="D805" s="97">
        <f t="shared" si="26"/>
        <v>0</v>
      </c>
      <c r="E805" s="98" t="str">
        <f t="shared" si="27"/>
        <v>Error</v>
      </c>
    </row>
    <row r="806" spans="1:5" x14ac:dyDescent="0.25">
      <c r="A806" s="95">
        <f>'Site Data'!B808</f>
        <v>0</v>
      </c>
      <c r="B806">
        <f>'Site Data'!D808</f>
        <v>0</v>
      </c>
      <c r="C806">
        <f>'Site Data'!E808</f>
        <v>0</v>
      </c>
      <c r="D806" s="97">
        <f t="shared" si="26"/>
        <v>0</v>
      </c>
      <c r="E806" s="98" t="str">
        <f t="shared" si="27"/>
        <v>Error</v>
      </c>
    </row>
    <row r="807" spans="1:5" x14ac:dyDescent="0.25">
      <c r="A807" s="95">
        <f>'Site Data'!B809</f>
        <v>0</v>
      </c>
      <c r="B807">
        <f>'Site Data'!D809</f>
        <v>0</v>
      </c>
      <c r="C807">
        <f>'Site Data'!E809</f>
        <v>0</v>
      </c>
      <c r="D807" s="97">
        <f t="shared" si="26"/>
        <v>0</v>
      </c>
      <c r="E807" s="98" t="str">
        <f t="shared" si="27"/>
        <v>Error</v>
      </c>
    </row>
    <row r="808" spans="1:5" x14ac:dyDescent="0.25">
      <c r="A808" s="95">
        <f>'Site Data'!B810</f>
        <v>0</v>
      </c>
      <c r="B808">
        <f>'Site Data'!D810</f>
        <v>0</v>
      </c>
      <c r="C808">
        <f>'Site Data'!E810</f>
        <v>0</v>
      </c>
      <c r="D808" s="97">
        <f t="shared" si="26"/>
        <v>0</v>
      </c>
      <c r="E808" s="98" t="str">
        <f t="shared" si="27"/>
        <v>Error</v>
      </c>
    </row>
    <row r="809" spans="1:5" x14ac:dyDescent="0.25">
      <c r="A809" s="95">
        <f>'Site Data'!B811</f>
        <v>0</v>
      </c>
      <c r="B809">
        <f>'Site Data'!D811</f>
        <v>0</v>
      </c>
      <c r="C809">
        <f>'Site Data'!E811</f>
        <v>0</v>
      </c>
      <c r="D809" s="97">
        <f t="shared" si="26"/>
        <v>0</v>
      </c>
      <c r="E809" s="98" t="str">
        <f t="shared" si="27"/>
        <v>Error</v>
      </c>
    </row>
    <row r="810" spans="1:5" x14ac:dyDescent="0.25">
      <c r="A810" s="95">
        <f>'Site Data'!B812</f>
        <v>0</v>
      </c>
      <c r="B810">
        <f>'Site Data'!D812</f>
        <v>0</v>
      </c>
      <c r="C810">
        <f>'Site Data'!E812</f>
        <v>0</v>
      </c>
      <c r="D810" s="97">
        <f t="shared" si="26"/>
        <v>0</v>
      </c>
      <c r="E810" s="98" t="str">
        <f t="shared" si="27"/>
        <v>Error</v>
      </c>
    </row>
    <row r="811" spans="1:5" x14ac:dyDescent="0.25">
      <c r="A811" s="95">
        <f>'Site Data'!B813</f>
        <v>0</v>
      </c>
      <c r="B811">
        <f>'Site Data'!D813</f>
        <v>0</v>
      </c>
      <c r="C811">
        <f>'Site Data'!E813</f>
        <v>0</v>
      </c>
      <c r="D811" s="97">
        <f t="shared" si="26"/>
        <v>0</v>
      </c>
      <c r="E811" s="98" t="str">
        <f t="shared" si="27"/>
        <v>Error</v>
      </c>
    </row>
    <row r="812" spans="1:5" x14ac:dyDescent="0.25">
      <c r="A812" s="95">
        <f>'Site Data'!B814</f>
        <v>0</v>
      </c>
      <c r="B812">
        <f>'Site Data'!D814</f>
        <v>0</v>
      </c>
      <c r="C812">
        <f>'Site Data'!E814</f>
        <v>0</v>
      </c>
      <c r="D812" s="97">
        <f t="shared" si="26"/>
        <v>0</v>
      </c>
      <c r="E812" s="98" t="str">
        <f t="shared" si="27"/>
        <v>Error</v>
      </c>
    </row>
    <row r="813" spans="1:5" x14ac:dyDescent="0.25">
      <c r="A813" s="95">
        <f>'Site Data'!B815</f>
        <v>0</v>
      </c>
      <c r="B813">
        <f>'Site Data'!D815</f>
        <v>0</v>
      </c>
      <c r="C813">
        <f>'Site Data'!E815</f>
        <v>0</v>
      </c>
      <c r="D813" s="97">
        <f t="shared" si="26"/>
        <v>0</v>
      </c>
      <c r="E813" s="98" t="str">
        <f t="shared" si="27"/>
        <v>Error</v>
      </c>
    </row>
    <row r="814" spans="1:5" x14ac:dyDescent="0.25">
      <c r="A814" s="95">
        <f>'Site Data'!B816</f>
        <v>0</v>
      </c>
      <c r="B814">
        <f>'Site Data'!D816</f>
        <v>0</v>
      </c>
      <c r="C814">
        <f>'Site Data'!E816</f>
        <v>0</v>
      </c>
      <c r="D814" s="97">
        <f t="shared" si="26"/>
        <v>0</v>
      </c>
      <c r="E814" s="98" t="str">
        <f t="shared" si="27"/>
        <v>Error</v>
      </c>
    </row>
    <row r="815" spans="1:5" x14ac:dyDescent="0.25">
      <c r="A815" s="95">
        <f>'Site Data'!B817</f>
        <v>0</v>
      </c>
      <c r="B815">
        <f>'Site Data'!D817</f>
        <v>0</v>
      </c>
      <c r="C815">
        <f>'Site Data'!E817</f>
        <v>0</v>
      </c>
      <c r="D815" s="97">
        <f t="shared" si="26"/>
        <v>0</v>
      </c>
      <c r="E815" s="98" t="str">
        <f t="shared" si="27"/>
        <v>Error</v>
      </c>
    </row>
    <row r="816" spans="1:5" x14ac:dyDescent="0.25">
      <c r="A816" s="95">
        <f>'Site Data'!B818</f>
        <v>0</v>
      </c>
      <c r="B816">
        <f>'Site Data'!D818</f>
        <v>0</v>
      </c>
      <c r="C816">
        <f>'Site Data'!E818</f>
        <v>0</v>
      </c>
      <c r="D816" s="97">
        <f t="shared" si="26"/>
        <v>0</v>
      </c>
      <c r="E816" s="98" t="str">
        <f t="shared" si="27"/>
        <v>Error</v>
      </c>
    </row>
    <row r="817" spans="1:5" x14ac:dyDescent="0.25">
      <c r="A817" s="95">
        <f>'Site Data'!B819</f>
        <v>0</v>
      </c>
      <c r="B817">
        <f>'Site Data'!D819</f>
        <v>0</v>
      </c>
      <c r="C817">
        <f>'Site Data'!E819</f>
        <v>0</v>
      </c>
      <c r="D817" s="97">
        <f t="shared" si="26"/>
        <v>0</v>
      </c>
      <c r="E817" s="98" t="str">
        <f t="shared" si="27"/>
        <v>Error</v>
      </c>
    </row>
    <row r="818" spans="1:5" x14ac:dyDescent="0.25">
      <c r="A818" s="95">
        <f>'Site Data'!B820</f>
        <v>0</v>
      </c>
      <c r="B818">
        <f>'Site Data'!D820</f>
        <v>0</v>
      </c>
      <c r="C818">
        <f>'Site Data'!E820</f>
        <v>0</v>
      </c>
      <c r="D818" s="97">
        <f t="shared" si="26"/>
        <v>0</v>
      </c>
      <c r="E818" s="98" t="str">
        <f t="shared" si="27"/>
        <v>Error</v>
      </c>
    </row>
    <row r="819" spans="1:5" x14ac:dyDescent="0.25">
      <c r="A819" s="95">
        <f>'Site Data'!B821</f>
        <v>0</v>
      </c>
      <c r="B819">
        <f>'Site Data'!D821</f>
        <v>0</v>
      </c>
      <c r="C819">
        <f>'Site Data'!E821</f>
        <v>0</v>
      </c>
      <c r="D819" s="97">
        <f t="shared" si="26"/>
        <v>0</v>
      </c>
      <c r="E819" s="98" t="str">
        <f t="shared" si="27"/>
        <v>Error</v>
      </c>
    </row>
    <row r="820" spans="1:5" x14ac:dyDescent="0.25">
      <c r="A820" s="95">
        <f>'Site Data'!B822</f>
        <v>0</v>
      </c>
      <c r="B820">
        <f>'Site Data'!D822</f>
        <v>0</v>
      </c>
      <c r="C820">
        <f>'Site Data'!E822</f>
        <v>0</v>
      </c>
      <c r="D820" s="97">
        <f t="shared" si="26"/>
        <v>0</v>
      </c>
      <c r="E820" s="98" t="str">
        <f t="shared" si="27"/>
        <v>Error</v>
      </c>
    </row>
    <row r="821" spans="1:5" x14ac:dyDescent="0.25">
      <c r="A821" s="95">
        <f>'Site Data'!B823</f>
        <v>0</v>
      </c>
      <c r="B821">
        <f>'Site Data'!D823</f>
        <v>0</v>
      </c>
      <c r="C821">
        <f>'Site Data'!E823</f>
        <v>0</v>
      </c>
      <c r="D821" s="97">
        <f t="shared" si="26"/>
        <v>0</v>
      </c>
      <c r="E821" s="98" t="str">
        <f t="shared" si="27"/>
        <v>Error</v>
      </c>
    </row>
    <row r="822" spans="1:5" x14ac:dyDescent="0.25">
      <c r="A822" s="95">
        <f>'Site Data'!B824</f>
        <v>0</v>
      </c>
      <c r="B822">
        <f>'Site Data'!D824</f>
        <v>0</v>
      </c>
      <c r="C822">
        <f>'Site Data'!E824</f>
        <v>0</v>
      </c>
      <c r="D822" s="97">
        <f t="shared" si="26"/>
        <v>0</v>
      </c>
      <c r="E822" s="98" t="str">
        <f t="shared" si="27"/>
        <v>Error</v>
      </c>
    </row>
    <row r="823" spans="1:5" x14ac:dyDescent="0.25">
      <c r="A823" s="95">
        <f>'Site Data'!B825</f>
        <v>0</v>
      </c>
      <c r="B823">
        <f>'Site Data'!D825</f>
        <v>0</v>
      </c>
      <c r="C823">
        <f>'Site Data'!E825</f>
        <v>0</v>
      </c>
      <c r="D823" s="97">
        <f t="shared" si="26"/>
        <v>0</v>
      </c>
      <c r="E823" s="98" t="str">
        <f t="shared" si="27"/>
        <v>Error</v>
      </c>
    </row>
    <row r="824" spans="1:5" x14ac:dyDescent="0.25">
      <c r="A824" s="95">
        <f>'Site Data'!B826</f>
        <v>0</v>
      </c>
      <c r="B824">
        <f>'Site Data'!D826</f>
        <v>0</v>
      </c>
      <c r="C824">
        <f>'Site Data'!E826</f>
        <v>0</v>
      </c>
      <c r="D824" s="97">
        <f t="shared" si="26"/>
        <v>0</v>
      </c>
      <c r="E824" s="98" t="str">
        <f t="shared" si="27"/>
        <v>Error</v>
      </c>
    </row>
    <row r="825" spans="1:5" x14ac:dyDescent="0.25">
      <c r="A825" s="95">
        <f>'Site Data'!B827</f>
        <v>0</v>
      </c>
      <c r="B825">
        <f>'Site Data'!D827</f>
        <v>0</v>
      </c>
      <c r="C825">
        <f>'Site Data'!E827</f>
        <v>0</v>
      </c>
      <c r="D825" s="97">
        <f t="shared" si="26"/>
        <v>0</v>
      </c>
      <c r="E825" s="98" t="str">
        <f t="shared" si="27"/>
        <v>Error</v>
      </c>
    </row>
    <row r="826" spans="1:5" x14ac:dyDescent="0.25">
      <c r="A826" s="95">
        <f>'Site Data'!B828</f>
        <v>0</v>
      </c>
      <c r="B826">
        <f>'Site Data'!D828</f>
        <v>0</v>
      </c>
      <c r="C826">
        <f>'Site Data'!E828</f>
        <v>0</v>
      </c>
      <c r="D826" s="97">
        <f t="shared" si="26"/>
        <v>0</v>
      </c>
      <c r="E826" s="98" t="str">
        <f t="shared" si="27"/>
        <v>Error</v>
      </c>
    </row>
    <row r="827" spans="1:5" x14ac:dyDescent="0.25">
      <c r="A827" s="95">
        <f>'Site Data'!B829</f>
        <v>0</v>
      </c>
      <c r="B827">
        <f>'Site Data'!D829</f>
        <v>0</v>
      </c>
      <c r="C827">
        <f>'Site Data'!E829</f>
        <v>0</v>
      </c>
      <c r="D827" s="97">
        <f t="shared" si="26"/>
        <v>0</v>
      </c>
      <c r="E827" s="98" t="str">
        <f t="shared" si="27"/>
        <v>Error</v>
      </c>
    </row>
    <row r="828" spans="1:5" x14ac:dyDescent="0.25">
      <c r="A828" s="95">
        <f>'Site Data'!B830</f>
        <v>0</v>
      </c>
      <c r="B828">
        <f>'Site Data'!D830</f>
        <v>0</v>
      </c>
      <c r="C828">
        <f>'Site Data'!E830</f>
        <v>0</v>
      </c>
      <c r="D828" s="97">
        <f t="shared" si="26"/>
        <v>0</v>
      </c>
      <c r="E828" s="98" t="str">
        <f t="shared" si="27"/>
        <v>Error</v>
      </c>
    </row>
    <row r="829" spans="1:5" x14ac:dyDescent="0.25">
      <c r="A829" s="95">
        <f>'Site Data'!B831</f>
        <v>0</v>
      </c>
      <c r="B829">
        <f>'Site Data'!D831</f>
        <v>0</v>
      </c>
      <c r="C829">
        <f>'Site Data'!E831</f>
        <v>0</v>
      </c>
      <c r="D829" s="97">
        <f t="shared" si="26"/>
        <v>0</v>
      </c>
      <c r="E829" s="98" t="str">
        <f t="shared" si="27"/>
        <v>Error</v>
      </c>
    </row>
    <row r="830" spans="1:5" x14ac:dyDescent="0.25">
      <c r="A830" s="95">
        <f>'Site Data'!B832</f>
        <v>0</v>
      </c>
      <c r="B830">
        <f>'Site Data'!D832</f>
        <v>0</v>
      </c>
      <c r="C830">
        <f>'Site Data'!E832</f>
        <v>0</v>
      </c>
      <c r="D830" s="97">
        <f t="shared" si="26"/>
        <v>0</v>
      </c>
      <c r="E830" s="98" t="str">
        <f t="shared" si="27"/>
        <v>Error</v>
      </c>
    </row>
    <row r="831" spans="1:5" x14ac:dyDescent="0.25">
      <c r="A831" s="95">
        <f>'Site Data'!B833</f>
        <v>0</v>
      </c>
      <c r="B831">
        <f>'Site Data'!D833</f>
        <v>0</v>
      </c>
      <c r="C831">
        <f>'Site Data'!E833</f>
        <v>0</v>
      </c>
      <c r="D831" s="97">
        <f t="shared" si="26"/>
        <v>0</v>
      </c>
      <c r="E831" s="98" t="str">
        <f t="shared" si="27"/>
        <v>Error</v>
      </c>
    </row>
    <row r="832" spans="1:5" x14ac:dyDescent="0.25">
      <c r="A832" s="95">
        <f>'Site Data'!B834</f>
        <v>0</v>
      </c>
      <c r="B832">
        <f>'Site Data'!D834</f>
        <v>0</v>
      </c>
      <c r="C832">
        <f>'Site Data'!E834</f>
        <v>0</v>
      </c>
      <c r="D832" s="97">
        <f t="shared" si="26"/>
        <v>0</v>
      </c>
      <c r="E832" s="98" t="str">
        <f t="shared" si="27"/>
        <v>Error</v>
      </c>
    </row>
    <row r="833" spans="1:5" x14ac:dyDescent="0.25">
      <c r="A833" s="95">
        <f>'Site Data'!B835</f>
        <v>0</v>
      </c>
      <c r="B833">
        <f>'Site Data'!D835</f>
        <v>0</v>
      </c>
      <c r="C833">
        <f>'Site Data'!E835</f>
        <v>0</v>
      </c>
      <c r="D833" s="97">
        <f t="shared" si="26"/>
        <v>0</v>
      </c>
      <c r="E833" s="98" t="str">
        <f t="shared" si="27"/>
        <v>Error</v>
      </c>
    </row>
    <row r="834" spans="1:5" x14ac:dyDescent="0.25">
      <c r="A834" s="95">
        <f>'Site Data'!B836</f>
        <v>0</v>
      </c>
      <c r="B834">
        <f>'Site Data'!D836</f>
        <v>0</v>
      </c>
      <c r="C834">
        <f>'Site Data'!E836</f>
        <v>0</v>
      </c>
      <c r="D834" s="97">
        <f t="shared" ref="D834:D897" si="28">B834-C834</f>
        <v>0</v>
      </c>
      <c r="E834" s="98" t="str">
        <f t="shared" ref="E834:E897" si="29">IF(AND(D834 &gt;= 50, D834 &lt;= 60), "Valid", "Error")</f>
        <v>Error</v>
      </c>
    </row>
    <row r="835" spans="1:5" x14ac:dyDescent="0.25">
      <c r="A835" s="95">
        <f>'Site Data'!B837</f>
        <v>0</v>
      </c>
      <c r="B835">
        <f>'Site Data'!D837</f>
        <v>0</v>
      </c>
      <c r="C835">
        <f>'Site Data'!E837</f>
        <v>0</v>
      </c>
      <c r="D835" s="97">
        <f t="shared" si="28"/>
        <v>0</v>
      </c>
      <c r="E835" s="98" t="str">
        <f t="shared" si="29"/>
        <v>Error</v>
      </c>
    </row>
    <row r="836" spans="1:5" x14ac:dyDescent="0.25">
      <c r="A836" s="95">
        <f>'Site Data'!B838</f>
        <v>0</v>
      </c>
      <c r="B836">
        <f>'Site Data'!D838</f>
        <v>0</v>
      </c>
      <c r="C836">
        <f>'Site Data'!E838</f>
        <v>0</v>
      </c>
      <c r="D836" s="97">
        <f t="shared" si="28"/>
        <v>0</v>
      </c>
      <c r="E836" s="98" t="str">
        <f t="shared" si="29"/>
        <v>Error</v>
      </c>
    </row>
    <row r="837" spans="1:5" x14ac:dyDescent="0.25">
      <c r="A837" s="95">
        <f>'Site Data'!B839</f>
        <v>0</v>
      </c>
      <c r="B837">
        <f>'Site Data'!D839</f>
        <v>0</v>
      </c>
      <c r="C837">
        <f>'Site Data'!E839</f>
        <v>0</v>
      </c>
      <c r="D837" s="97">
        <f t="shared" si="28"/>
        <v>0</v>
      </c>
      <c r="E837" s="98" t="str">
        <f t="shared" si="29"/>
        <v>Error</v>
      </c>
    </row>
    <row r="838" spans="1:5" x14ac:dyDescent="0.25">
      <c r="A838" s="95">
        <f>'Site Data'!B840</f>
        <v>0</v>
      </c>
      <c r="B838">
        <f>'Site Data'!D840</f>
        <v>0</v>
      </c>
      <c r="C838">
        <f>'Site Data'!E840</f>
        <v>0</v>
      </c>
      <c r="D838" s="97">
        <f t="shared" si="28"/>
        <v>0</v>
      </c>
      <c r="E838" s="98" t="str">
        <f t="shared" si="29"/>
        <v>Error</v>
      </c>
    </row>
    <row r="839" spans="1:5" x14ac:dyDescent="0.25">
      <c r="A839" s="95">
        <f>'Site Data'!B841</f>
        <v>0</v>
      </c>
      <c r="B839">
        <f>'Site Data'!D841</f>
        <v>0</v>
      </c>
      <c r="C839">
        <f>'Site Data'!E841</f>
        <v>0</v>
      </c>
      <c r="D839" s="97">
        <f t="shared" si="28"/>
        <v>0</v>
      </c>
      <c r="E839" s="98" t="str">
        <f t="shared" si="29"/>
        <v>Error</v>
      </c>
    </row>
    <row r="840" spans="1:5" x14ac:dyDescent="0.25">
      <c r="A840" s="95">
        <f>'Site Data'!B842</f>
        <v>0</v>
      </c>
      <c r="B840">
        <f>'Site Data'!D842</f>
        <v>0</v>
      </c>
      <c r="C840">
        <f>'Site Data'!E842</f>
        <v>0</v>
      </c>
      <c r="D840" s="97">
        <f t="shared" si="28"/>
        <v>0</v>
      </c>
      <c r="E840" s="98" t="str">
        <f t="shared" si="29"/>
        <v>Error</v>
      </c>
    </row>
    <row r="841" spans="1:5" x14ac:dyDescent="0.25">
      <c r="A841" s="95">
        <f>'Site Data'!B843</f>
        <v>0</v>
      </c>
      <c r="B841">
        <f>'Site Data'!D843</f>
        <v>0</v>
      </c>
      <c r="C841">
        <f>'Site Data'!E843</f>
        <v>0</v>
      </c>
      <c r="D841" s="97">
        <f t="shared" si="28"/>
        <v>0</v>
      </c>
      <c r="E841" s="98" t="str">
        <f t="shared" si="29"/>
        <v>Error</v>
      </c>
    </row>
    <row r="842" spans="1:5" x14ac:dyDescent="0.25">
      <c r="A842" s="95">
        <f>'Site Data'!B844</f>
        <v>0</v>
      </c>
      <c r="B842">
        <f>'Site Data'!D844</f>
        <v>0</v>
      </c>
      <c r="C842">
        <f>'Site Data'!E844</f>
        <v>0</v>
      </c>
      <c r="D842" s="97">
        <f t="shared" si="28"/>
        <v>0</v>
      </c>
      <c r="E842" s="98" t="str">
        <f t="shared" si="29"/>
        <v>Error</v>
      </c>
    </row>
    <row r="843" spans="1:5" x14ac:dyDescent="0.25">
      <c r="A843" s="95">
        <f>'Site Data'!B845</f>
        <v>0</v>
      </c>
      <c r="B843">
        <f>'Site Data'!D845</f>
        <v>0</v>
      </c>
      <c r="C843">
        <f>'Site Data'!E845</f>
        <v>0</v>
      </c>
      <c r="D843" s="97">
        <f t="shared" si="28"/>
        <v>0</v>
      </c>
      <c r="E843" s="98" t="str">
        <f t="shared" si="29"/>
        <v>Error</v>
      </c>
    </row>
    <row r="844" spans="1:5" x14ac:dyDescent="0.25">
      <c r="A844" s="95">
        <f>'Site Data'!B846</f>
        <v>0</v>
      </c>
      <c r="B844">
        <f>'Site Data'!D846</f>
        <v>0</v>
      </c>
      <c r="C844">
        <f>'Site Data'!E846</f>
        <v>0</v>
      </c>
      <c r="D844" s="97">
        <f t="shared" si="28"/>
        <v>0</v>
      </c>
      <c r="E844" s="98" t="str">
        <f t="shared" si="29"/>
        <v>Error</v>
      </c>
    </row>
    <row r="845" spans="1:5" x14ac:dyDescent="0.25">
      <c r="A845" s="95">
        <f>'Site Data'!B847</f>
        <v>0</v>
      </c>
      <c r="B845">
        <f>'Site Data'!D847</f>
        <v>0</v>
      </c>
      <c r="C845">
        <f>'Site Data'!E847</f>
        <v>0</v>
      </c>
      <c r="D845" s="97">
        <f t="shared" si="28"/>
        <v>0</v>
      </c>
      <c r="E845" s="98" t="str">
        <f t="shared" si="29"/>
        <v>Error</v>
      </c>
    </row>
    <row r="846" spans="1:5" x14ac:dyDescent="0.25">
      <c r="A846" s="95">
        <f>'Site Data'!B848</f>
        <v>0</v>
      </c>
      <c r="B846">
        <f>'Site Data'!D848</f>
        <v>0</v>
      </c>
      <c r="C846">
        <f>'Site Data'!E848</f>
        <v>0</v>
      </c>
      <c r="D846" s="97">
        <f t="shared" si="28"/>
        <v>0</v>
      </c>
      <c r="E846" s="98" t="str">
        <f t="shared" si="29"/>
        <v>Error</v>
      </c>
    </row>
    <row r="847" spans="1:5" x14ac:dyDescent="0.25">
      <c r="A847" s="95">
        <f>'Site Data'!B849</f>
        <v>0</v>
      </c>
      <c r="B847">
        <f>'Site Data'!D849</f>
        <v>0</v>
      </c>
      <c r="C847">
        <f>'Site Data'!E849</f>
        <v>0</v>
      </c>
      <c r="D847" s="97">
        <f t="shared" si="28"/>
        <v>0</v>
      </c>
      <c r="E847" s="98" t="str">
        <f t="shared" si="29"/>
        <v>Error</v>
      </c>
    </row>
    <row r="848" spans="1:5" x14ac:dyDescent="0.25">
      <c r="A848" s="95">
        <f>'Site Data'!B850</f>
        <v>0</v>
      </c>
      <c r="B848">
        <f>'Site Data'!D850</f>
        <v>0</v>
      </c>
      <c r="C848">
        <f>'Site Data'!E850</f>
        <v>0</v>
      </c>
      <c r="D848" s="97">
        <f t="shared" si="28"/>
        <v>0</v>
      </c>
      <c r="E848" s="98" t="str">
        <f t="shared" si="29"/>
        <v>Error</v>
      </c>
    </row>
    <row r="849" spans="1:5" x14ac:dyDescent="0.25">
      <c r="A849" s="95">
        <f>'Site Data'!B851</f>
        <v>0</v>
      </c>
      <c r="B849">
        <f>'Site Data'!D851</f>
        <v>0</v>
      </c>
      <c r="C849">
        <f>'Site Data'!E851</f>
        <v>0</v>
      </c>
      <c r="D849" s="97">
        <f t="shared" si="28"/>
        <v>0</v>
      </c>
      <c r="E849" s="98" t="str">
        <f t="shared" si="29"/>
        <v>Error</v>
      </c>
    </row>
    <row r="850" spans="1:5" x14ac:dyDescent="0.25">
      <c r="A850" s="95">
        <f>'Site Data'!B852</f>
        <v>0</v>
      </c>
      <c r="B850">
        <f>'Site Data'!D852</f>
        <v>0</v>
      </c>
      <c r="C850">
        <f>'Site Data'!E852</f>
        <v>0</v>
      </c>
      <c r="D850" s="97">
        <f t="shared" si="28"/>
        <v>0</v>
      </c>
      <c r="E850" s="98" t="str">
        <f t="shared" si="29"/>
        <v>Error</v>
      </c>
    </row>
    <row r="851" spans="1:5" x14ac:dyDescent="0.25">
      <c r="A851" s="95">
        <f>'Site Data'!B853</f>
        <v>0</v>
      </c>
      <c r="B851">
        <f>'Site Data'!D853</f>
        <v>0</v>
      </c>
      <c r="C851">
        <f>'Site Data'!E853</f>
        <v>0</v>
      </c>
      <c r="D851" s="97">
        <f t="shared" si="28"/>
        <v>0</v>
      </c>
      <c r="E851" s="98" t="str">
        <f t="shared" si="29"/>
        <v>Error</v>
      </c>
    </row>
    <row r="852" spans="1:5" x14ac:dyDescent="0.25">
      <c r="A852" s="95">
        <f>'Site Data'!B854</f>
        <v>0</v>
      </c>
      <c r="B852">
        <f>'Site Data'!D854</f>
        <v>0</v>
      </c>
      <c r="C852">
        <f>'Site Data'!E854</f>
        <v>0</v>
      </c>
      <c r="D852" s="97">
        <f t="shared" si="28"/>
        <v>0</v>
      </c>
      <c r="E852" s="98" t="str">
        <f t="shared" si="29"/>
        <v>Error</v>
      </c>
    </row>
    <row r="853" spans="1:5" x14ac:dyDescent="0.25">
      <c r="A853" s="95">
        <f>'Site Data'!B855</f>
        <v>0</v>
      </c>
      <c r="B853">
        <f>'Site Data'!D855</f>
        <v>0</v>
      </c>
      <c r="C853">
        <f>'Site Data'!E855</f>
        <v>0</v>
      </c>
      <c r="D853" s="97">
        <f t="shared" si="28"/>
        <v>0</v>
      </c>
      <c r="E853" s="98" t="str">
        <f t="shared" si="29"/>
        <v>Error</v>
      </c>
    </row>
    <row r="854" spans="1:5" x14ac:dyDescent="0.25">
      <c r="A854" s="95">
        <f>'Site Data'!B856</f>
        <v>0</v>
      </c>
      <c r="B854">
        <f>'Site Data'!D856</f>
        <v>0</v>
      </c>
      <c r="C854">
        <f>'Site Data'!E856</f>
        <v>0</v>
      </c>
      <c r="D854" s="97">
        <f t="shared" si="28"/>
        <v>0</v>
      </c>
      <c r="E854" s="98" t="str">
        <f t="shared" si="29"/>
        <v>Error</v>
      </c>
    </row>
    <row r="855" spans="1:5" x14ac:dyDescent="0.25">
      <c r="A855" s="95">
        <f>'Site Data'!B857</f>
        <v>0</v>
      </c>
      <c r="B855">
        <f>'Site Data'!D857</f>
        <v>0</v>
      </c>
      <c r="C855">
        <f>'Site Data'!E857</f>
        <v>0</v>
      </c>
      <c r="D855" s="97">
        <f t="shared" si="28"/>
        <v>0</v>
      </c>
      <c r="E855" s="98" t="str">
        <f t="shared" si="29"/>
        <v>Error</v>
      </c>
    </row>
    <row r="856" spans="1:5" x14ac:dyDescent="0.25">
      <c r="A856" s="95">
        <f>'Site Data'!B858</f>
        <v>0</v>
      </c>
      <c r="B856">
        <f>'Site Data'!D858</f>
        <v>0</v>
      </c>
      <c r="C856">
        <f>'Site Data'!E858</f>
        <v>0</v>
      </c>
      <c r="D856" s="97">
        <f t="shared" si="28"/>
        <v>0</v>
      </c>
      <c r="E856" s="98" t="str">
        <f t="shared" si="29"/>
        <v>Error</v>
      </c>
    </row>
    <row r="857" spans="1:5" x14ac:dyDescent="0.25">
      <c r="A857" s="95">
        <f>'Site Data'!B859</f>
        <v>0</v>
      </c>
      <c r="B857">
        <f>'Site Data'!D859</f>
        <v>0</v>
      </c>
      <c r="C857">
        <f>'Site Data'!E859</f>
        <v>0</v>
      </c>
      <c r="D857" s="97">
        <f t="shared" si="28"/>
        <v>0</v>
      </c>
      <c r="E857" s="98" t="str">
        <f t="shared" si="29"/>
        <v>Error</v>
      </c>
    </row>
    <row r="858" spans="1:5" x14ac:dyDescent="0.25">
      <c r="A858" s="95">
        <f>'Site Data'!B860</f>
        <v>0</v>
      </c>
      <c r="B858">
        <f>'Site Data'!D860</f>
        <v>0</v>
      </c>
      <c r="C858">
        <f>'Site Data'!E860</f>
        <v>0</v>
      </c>
      <c r="D858" s="97">
        <f t="shared" si="28"/>
        <v>0</v>
      </c>
      <c r="E858" s="98" t="str">
        <f t="shared" si="29"/>
        <v>Error</v>
      </c>
    </row>
    <row r="859" spans="1:5" x14ac:dyDescent="0.25">
      <c r="A859" s="95">
        <f>'Site Data'!B861</f>
        <v>0</v>
      </c>
      <c r="B859">
        <f>'Site Data'!D861</f>
        <v>0</v>
      </c>
      <c r="C859">
        <f>'Site Data'!E861</f>
        <v>0</v>
      </c>
      <c r="D859" s="97">
        <f t="shared" si="28"/>
        <v>0</v>
      </c>
      <c r="E859" s="98" t="str">
        <f t="shared" si="29"/>
        <v>Error</v>
      </c>
    </row>
    <row r="860" spans="1:5" x14ac:dyDescent="0.25">
      <c r="A860" s="95">
        <f>'Site Data'!B862</f>
        <v>0</v>
      </c>
      <c r="B860">
        <f>'Site Data'!D862</f>
        <v>0</v>
      </c>
      <c r="C860">
        <f>'Site Data'!E862</f>
        <v>0</v>
      </c>
      <c r="D860" s="97">
        <f t="shared" si="28"/>
        <v>0</v>
      </c>
      <c r="E860" s="98" t="str">
        <f t="shared" si="29"/>
        <v>Error</v>
      </c>
    </row>
    <row r="861" spans="1:5" x14ac:dyDescent="0.25">
      <c r="A861" s="95">
        <f>'Site Data'!B863</f>
        <v>0</v>
      </c>
      <c r="B861">
        <f>'Site Data'!D863</f>
        <v>0</v>
      </c>
      <c r="C861">
        <f>'Site Data'!E863</f>
        <v>0</v>
      </c>
      <c r="D861" s="97">
        <f t="shared" si="28"/>
        <v>0</v>
      </c>
      <c r="E861" s="98" t="str">
        <f t="shared" si="29"/>
        <v>Error</v>
      </c>
    </row>
    <row r="862" spans="1:5" x14ac:dyDescent="0.25">
      <c r="A862" s="95">
        <f>'Site Data'!B864</f>
        <v>0</v>
      </c>
      <c r="B862">
        <f>'Site Data'!D864</f>
        <v>0</v>
      </c>
      <c r="C862">
        <f>'Site Data'!E864</f>
        <v>0</v>
      </c>
      <c r="D862" s="97">
        <f t="shared" si="28"/>
        <v>0</v>
      </c>
      <c r="E862" s="98" t="str">
        <f t="shared" si="29"/>
        <v>Error</v>
      </c>
    </row>
    <row r="863" spans="1:5" x14ac:dyDescent="0.25">
      <c r="A863" s="95">
        <f>'Site Data'!B865</f>
        <v>0</v>
      </c>
      <c r="B863">
        <f>'Site Data'!D865</f>
        <v>0</v>
      </c>
      <c r="C863">
        <f>'Site Data'!E865</f>
        <v>0</v>
      </c>
      <c r="D863" s="97">
        <f t="shared" si="28"/>
        <v>0</v>
      </c>
      <c r="E863" s="98" t="str">
        <f t="shared" si="29"/>
        <v>Error</v>
      </c>
    </row>
    <row r="864" spans="1:5" x14ac:dyDescent="0.25">
      <c r="A864" s="95">
        <f>'Site Data'!B866</f>
        <v>0</v>
      </c>
      <c r="B864">
        <f>'Site Data'!D866</f>
        <v>0</v>
      </c>
      <c r="C864">
        <f>'Site Data'!E866</f>
        <v>0</v>
      </c>
      <c r="D864" s="97">
        <f t="shared" si="28"/>
        <v>0</v>
      </c>
      <c r="E864" s="98" t="str">
        <f t="shared" si="29"/>
        <v>Error</v>
      </c>
    </row>
    <row r="865" spans="1:5" x14ac:dyDescent="0.25">
      <c r="A865" s="95">
        <f>'Site Data'!B867</f>
        <v>0</v>
      </c>
      <c r="B865">
        <f>'Site Data'!D867</f>
        <v>0</v>
      </c>
      <c r="C865">
        <f>'Site Data'!E867</f>
        <v>0</v>
      </c>
      <c r="D865" s="97">
        <f t="shared" si="28"/>
        <v>0</v>
      </c>
      <c r="E865" s="98" t="str">
        <f t="shared" si="29"/>
        <v>Error</v>
      </c>
    </row>
    <row r="866" spans="1:5" x14ac:dyDescent="0.25">
      <c r="A866" s="95">
        <f>'Site Data'!B868</f>
        <v>0</v>
      </c>
      <c r="B866">
        <f>'Site Data'!D868</f>
        <v>0</v>
      </c>
      <c r="C866">
        <f>'Site Data'!E868</f>
        <v>0</v>
      </c>
      <c r="D866" s="97">
        <f t="shared" si="28"/>
        <v>0</v>
      </c>
      <c r="E866" s="98" t="str">
        <f t="shared" si="29"/>
        <v>Error</v>
      </c>
    </row>
    <row r="867" spans="1:5" x14ac:dyDescent="0.25">
      <c r="A867" s="95">
        <f>'Site Data'!B869</f>
        <v>0</v>
      </c>
      <c r="B867">
        <f>'Site Data'!D869</f>
        <v>0</v>
      </c>
      <c r="C867">
        <f>'Site Data'!E869</f>
        <v>0</v>
      </c>
      <c r="D867" s="97">
        <f t="shared" si="28"/>
        <v>0</v>
      </c>
      <c r="E867" s="98" t="str">
        <f t="shared" si="29"/>
        <v>Error</v>
      </c>
    </row>
    <row r="868" spans="1:5" x14ac:dyDescent="0.25">
      <c r="A868" s="95">
        <f>'Site Data'!B870</f>
        <v>0</v>
      </c>
      <c r="B868">
        <f>'Site Data'!D870</f>
        <v>0</v>
      </c>
      <c r="C868">
        <f>'Site Data'!E870</f>
        <v>0</v>
      </c>
      <c r="D868" s="97">
        <f t="shared" si="28"/>
        <v>0</v>
      </c>
      <c r="E868" s="98" t="str">
        <f t="shared" si="29"/>
        <v>Error</v>
      </c>
    </row>
    <row r="869" spans="1:5" x14ac:dyDescent="0.25">
      <c r="A869" s="95">
        <f>'Site Data'!B871</f>
        <v>0</v>
      </c>
      <c r="B869">
        <f>'Site Data'!D871</f>
        <v>0</v>
      </c>
      <c r="C869">
        <f>'Site Data'!E871</f>
        <v>0</v>
      </c>
      <c r="D869" s="97">
        <f t="shared" si="28"/>
        <v>0</v>
      </c>
      <c r="E869" s="98" t="str">
        <f t="shared" si="29"/>
        <v>Error</v>
      </c>
    </row>
    <row r="870" spans="1:5" x14ac:dyDescent="0.25">
      <c r="A870" s="95">
        <f>'Site Data'!B872</f>
        <v>0</v>
      </c>
      <c r="B870">
        <f>'Site Data'!D872</f>
        <v>0</v>
      </c>
      <c r="C870">
        <f>'Site Data'!E872</f>
        <v>0</v>
      </c>
      <c r="D870" s="97">
        <f t="shared" si="28"/>
        <v>0</v>
      </c>
      <c r="E870" s="98" t="str">
        <f t="shared" si="29"/>
        <v>Error</v>
      </c>
    </row>
    <row r="871" spans="1:5" x14ac:dyDescent="0.25">
      <c r="A871" s="95">
        <f>'Site Data'!B873</f>
        <v>0</v>
      </c>
      <c r="B871">
        <f>'Site Data'!D873</f>
        <v>0</v>
      </c>
      <c r="C871">
        <f>'Site Data'!E873</f>
        <v>0</v>
      </c>
      <c r="D871" s="97">
        <f t="shared" si="28"/>
        <v>0</v>
      </c>
      <c r="E871" s="98" t="str">
        <f t="shared" si="29"/>
        <v>Error</v>
      </c>
    </row>
    <row r="872" spans="1:5" x14ac:dyDescent="0.25">
      <c r="A872" s="95">
        <f>'Site Data'!B874</f>
        <v>0</v>
      </c>
      <c r="B872">
        <f>'Site Data'!D874</f>
        <v>0</v>
      </c>
      <c r="C872">
        <f>'Site Data'!E874</f>
        <v>0</v>
      </c>
      <c r="D872" s="97">
        <f t="shared" si="28"/>
        <v>0</v>
      </c>
      <c r="E872" s="98" t="str">
        <f t="shared" si="29"/>
        <v>Error</v>
      </c>
    </row>
    <row r="873" spans="1:5" x14ac:dyDescent="0.25">
      <c r="A873" s="95">
        <f>'Site Data'!B875</f>
        <v>0</v>
      </c>
      <c r="B873">
        <f>'Site Data'!D875</f>
        <v>0</v>
      </c>
      <c r="C873">
        <f>'Site Data'!E875</f>
        <v>0</v>
      </c>
      <c r="D873" s="97">
        <f t="shared" si="28"/>
        <v>0</v>
      </c>
      <c r="E873" s="98" t="str">
        <f t="shared" si="29"/>
        <v>Error</v>
      </c>
    </row>
    <row r="874" spans="1:5" x14ac:dyDescent="0.25">
      <c r="A874" s="95">
        <f>'Site Data'!B876</f>
        <v>0</v>
      </c>
      <c r="B874">
        <f>'Site Data'!D876</f>
        <v>0</v>
      </c>
      <c r="C874">
        <f>'Site Data'!E876</f>
        <v>0</v>
      </c>
      <c r="D874" s="97">
        <f t="shared" si="28"/>
        <v>0</v>
      </c>
      <c r="E874" s="98" t="str">
        <f t="shared" si="29"/>
        <v>Error</v>
      </c>
    </row>
    <row r="875" spans="1:5" x14ac:dyDescent="0.25">
      <c r="A875" s="95">
        <f>'Site Data'!B877</f>
        <v>0</v>
      </c>
      <c r="B875">
        <f>'Site Data'!D877</f>
        <v>0</v>
      </c>
      <c r="C875">
        <f>'Site Data'!E877</f>
        <v>0</v>
      </c>
      <c r="D875" s="97">
        <f t="shared" si="28"/>
        <v>0</v>
      </c>
      <c r="E875" s="98" t="str">
        <f t="shared" si="29"/>
        <v>Error</v>
      </c>
    </row>
    <row r="876" spans="1:5" x14ac:dyDescent="0.25">
      <c r="A876" s="95">
        <f>'Site Data'!B878</f>
        <v>0</v>
      </c>
      <c r="B876">
        <f>'Site Data'!D878</f>
        <v>0</v>
      </c>
      <c r="C876">
        <f>'Site Data'!E878</f>
        <v>0</v>
      </c>
      <c r="D876" s="97">
        <f t="shared" si="28"/>
        <v>0</v>
      </c>
      <c r="E876" s="98" t="str">
        <f t="shared" si="29"/>
        <v>Error</v>
      </c>
    </row>
    <row r="877" spans="1:5" x14ac:dyDescent="0.25">
      <c r="A877" s="95">
        <f>'Site Data'!B879</f>
        <v>0</v>
      </c>
      <c r="B877">
        <f>'Site Data'!D879</f>
        <v>0</v>
      </c>
      <c r="C877">
        <f>'Site Data'!E879</f>
        <v>0</v>
      </c>
      <c r="D877" s="97">
        <f t="shared" si="28"/>
        <v>0</v>
      </c>
      <c r="E877" s="98" t="str">
        <f t="shared" si="29"/>
        <v>Error</v>
      </c>
    </row>
    <row r="878" spans="1:5" x14ac:dyDescent="0.25">
      <c r="A878" s="95">
        <f>'Site Data'!B880</f>
        <v>0</v>
      </c>
      <c r="B878">
        <f>'Site Data'!D880</f>
        <v>0</v>
      </c>
      <c r="C878">
        <f>'Site Data'!E880</f>
        <v>0</v>
      </c>
      <c r="D878" s="97">
        <f t="shared" si="28"/>
        <v>0</v>
      </c>
      <c r="E878" s="98" t="str">
        <f t="shared" si="29"/>
        <v>Error</v>
      </c>
    </row>
    <row r="879" spans="1:5" x14ac:dyDescent="0.25">
      <c r="A879" s="95">
        <f>'Site Data'!B881</f>
        <v>0</v>
      </c>
      <c r="B879">
        <f>'Site Data'!D881</f>
        <v>0</v>
      </c>
      <c r="C879">
        <f>'Site Data'!E881</f>
        <v>0</v>
      </c>
      <c r="D879" s="97">
        <f t="shared" si="28"/>
        <v>0</v>
      </c>
      <c r="E879" s="98" t="str">
        <f t="shared" si="29"/>
        <v>Error</v>
      </c>
    </row>
    <row r="880" spans="1:5" x14ac:dyDescent="0.25">
      <c r="A880" s="95">
        <f>'Site Data'!B882</f>
        <v>0</v>
      </c>
      <c r="B880">
        <f>'Site Data'!D882</f>
        <v>0</v>
      </c>
      <c r="C880">
        <f>'Site Data'!E882</f>
        <v>0</v>
      </c>
      <c r="D880" s="97">
        <f t="shared" si="28"/>
        <v>0</v>
      </c>
      <c r="E880" s="98" t="str">
        <f t="shared" si="29"/>
        <v>Error</v>
      </c>
    </row>
    <row r="881" spans="1:5" x14ac:dyDescent="0.25">
      <c r="A881" s="95">
        <f>'Site Data'!B883</f>
        <v>0</v>
      </c>
      <c r="B881">
        <f>'Site Data'!D883</f>
        <v>0</v>
      </c>
      <c r="C881">
        <f>'Site Data'!E883</f>
        <v>0</v>
      </c>
      <c r="D881" s="97">
        <f t="shared" si="28"/>
        <v>0</v>
      </c>
      <c r="E881" s="98" t="str">
        <f t="shared" si="29"/>
        <v>Error</v>
      </c>
    </row>
    <row r="882" spans="1:5" x14ac:dyDescent="0.25">
      <c r="A882" s="95">
        <f>'Site Data'!B884</f>
        <v>0</v>
      </c>
      <c r="B882">
        <f>'Site Data'!D884</f>
        <v>0</v>
      </c>
      <c r="C882">
        <f>'Site Data'!E884</f>
        <v>0</v>
      </c>
      <c r="D882" s="97">
        <f t="shared" si="28"/>
        <v>0</v>
      </c>
      <c r="E882" s="98" t="str">
        <f t="shared" si="29"/>
        <v>Error</v>
      </c>
    </row>
    <row r="883" spans="1:5" x14ac:dyDescent="0.25">
      <c r="A883" s="95">
        <f>'Site Data'!B885</f>
        <v>0</v>
      </c>
      <c r="B883">
        <f>'Site Data'!D885</f>
        <v>0</v>
      </c>
      <c r="C883">
        <f>'Site Data'!E885</f>
        <v>0</v>
      </c>
      <c r="D883" s="97">
        <f t="shared" si="28"/>
        <v>0</v>
      </c>
      <c r="E883" s="98" t="str">
        <f t="shared" si="29"/>
        <v>Error</v>
      </c>
    </row>
    <row r="884" spans="1:5" x14ac:dyDescent="0.25">
      <c r="A884" s="95">
        <f>'Site Data'!B886</f>
        <v>0</v>
      </c>
      <c r="B884">
        <f>'Site Data'!D886</f>
        <v>0</v>
      </c>
      <c r="C884">
        <f>'Site Data'!E886</f>
        <v>0</v>
      </c>
      <c r="D884" s="97">
        <f t="shared" si="28"/>
        <v>0</v>
      </c>
      <c r="E884" s="98" t="str">
        <f t="shared" si="29"/>
        <v>Error</v>
      </c>
    </row>
    <row r="885" spans="1:5" x14ac:dyDescent="0.25">
      <c r="A885" s="95">
        <f>'Site Data'!B887</f>
        <v>0</v>
      </c>
      <c r="B885">
        <f>'Site Data'!D887</f>
        <v>0</v>
      </c>
      <c r="C885">
        <f>'Site Data'!E887</f>
        <v>0</v>
      </c>
      <c r="D885" s="97">
        <f t="shared" si="28"/>
        <v>0</v>
      </c>
      <c r="E885" s="98" t="str">
        <f t="shared" si="29"/>
        <v>Error</v>
      </c>
    </row>
    <row r="886" spans="1:5" x14ac:dyDescent="0.25">
      <c r="A886" s="95">
        <f>'Site Data'!B888</f>
        <v>0</v>
      </c>
      <c r="B886">
        <f>'Site Data'!D888</f>
        <v>0</v>
      </c>
      <c r="C886">
        <f>'Site Data'!E888</f>
        <v>0</v>
      </c>
      <c r="D886" s="97">
        <f t="shared" si="28"/>
        <v>0</v>
      </c>
      <c r="E886" s="98" t="str">
        <f t="shared" si="29"/>
        <v>Error</v>
      </c>
    </row>
    <row r="887" spans="1:5" x14ac:dyDescent="0.25">
      <c r="A887" s="95">
        <f>'Site Data'!B889</f>
        <v>0</v>
      </c>
      <c r="B887">
        <f>'Site Data'!D889</f>
        <v>0</v>
      </c>
      <c r="C887">
        <f>'Site Data'!E889</f>
        <v>0</v>
      </c>
      <c r="D887" s="97">
        <f t="shared" si="28"/>
        <v>0</v>
      </c>
      <c r="E887" s="98" t="str">
        <f t="shared" si="29"/>
        <v>Error</v>
      </c>
    </row>
    <row r="888" spans="1:5" x14ac:dyDescent="0.25">
      <c r="A888" s="95">
        <f>'Site Data'!B890</f>
        <v>0</v>
      </c>
      <c r="B888">
        <f>'Site Data'!D890</f>
        <v>0</v>
      </c>
      <c r="C888">
        <f>'Site Data'!E890</f>
        <v>0</v>
      </c>
      <c r="D888" s="97">
        <f t="shared" si="28"/>
        <v>0</v>
      </c>
      <c r="E888" s="98" t="str">
        <f t="shared" si="29"/>
        <v>Error</v>
      </c>
    </row>
    <row r="889" spans="1:5" x14ac:dyDescent="0.25">
      <c r="A889" s="95">
        <f>'Site Data'!B891</f>
        <v>0</v>
      </c>
      <c r="B889">
        <f>'Site Data'!D891</f>
        <v>0</v>
      </c>
      <c r="C889">
        <f>'Site Data'!E891</f>
        <v>0</v>
      </c>
      <c r="D889" s="97">
        <f t="shared" si="28"/>
        <v>0</v>
      </c>
      <c r="E889" s="98" t="str">
        <f t="shared" si="29"/>
        <v>Error</v>
      </c>
    </row>
    <row r="890" spans="1:5" x14ac:dyDescent="0.25">
      <c r="A890" s="95">
        <f>'Site Data'!B892</f>
        <v>0</v>
      </c>
      <c r="B890">
        <f>'Site Data'!D892</f>
        <v>0</v>
      </c>
      <c r="C890">
        <f>'Site Data'!E892</f>
        <v>0</v>
      </c>
      <c r="D890" s="97">
        <f t="shared" si="28"/>
        <v>0</v>
      </c>
      <c r="E890" s="98" t="str">
        <f t="shared" si="29"/>
        <v>Error</v>
      </c>
    </row>
    <row r="891" spans="1:5" x14ac:dyDescent="0.25">
      <c r="A891" s="95">
        <f>'Site Data'!B893</f>
        <v>0</v>
      </c>
      <c r="B891">
        <f>'Site Data'!D893</f>
        <v>0</v>
      </c>
      <c r="C891">
        <f>'Site Data'!E893</f>
        <v>0</v>
      </c>
      <c r="D891" s="97">
        <f t="shared" si="28"/>
        <v>0</v>
      </c>
      <c r="E891" s="98" t="str">
        <f t="shared" si="29"/>
        <v>Error</v>
      </c>
    </row>
    <row r="892" spans="1:5" x14ac:dyDescent="0.25">
      <c r="A892" s="95">
        <f>'Site Data'!B894</f>
        <v>0</v>
      </c>
      <c r="B892">
        <f>'Site Data'!D894</f>
        <v>0</v>
      </c>
      <c r="C892">
        <f>'Site Data'!E894</f>
        <v>0</v>
      </c>
      <c r="D892" s="97">
        <f t="shared" si="28"/>
        <v>0</v>
      </c>
      <c r="E892" s="98" t="str">
        <f t="shared" si="29"/>
        <v>Error</v>
      </c>
    </row>
    <row r="893" spans="1:5" x14ac:dyDescent="0.25">
      <c r="A893" s="95">
        <f>'Site Data'!B895</f>
        <v>0</v>
      </c>
      <c r="B893">
        <f>'Site Data'!D895</f>
        <v>0</v>
      </c>
      <c r="C893">
        <f>'Site Data'!E895</f>
        <v>0</v>
      </c>
      <c r="D893" s="97">
        <f t="shared" si="28"/>
        <v>0</v>
      </c>
      <c r="E893" s="98" t="str">
        <f t="shared" si="29"/>
        <v>Error</v>
      </c>
    </row>
    <row r="894" spans="1:5" x14ac:dyDescent="0.25">
      <c r="A894" s="95">
        <f>'Site Data'!B896</f>
        <v>0</v>
      </c>
      <c r="B894">
        <f>'Site Data'!D896</f>
        <v>0</v>
      </c>
      <c r="C894">
        <f>'Site Data'!E896</f>
        <v>0</v>
      </c>
      <c r="D894" s="97">
        <f t="shared" si="28"/>
        <v>0</v>
      </c>
      <c r="E894" s="98" t="str">
        <f t="shared" si="29"/>
        <v>Error</v>
      </c>
    </row>
    <row r="895" spans="1:5" x14ac:dyDescent="0.25">
      <c r="A895" s="95">
        <f>'Site Data'!B897</f>
        <v>0</v>
      </c>
      <c r="B895">
        <f>'Site Data'!D897</f>
        <v>0</v>
      </c>
      <c r="C895">
        <f>'Site Data'!E897</f>
        <v>0</v>
      </c>
      <c r="D895" s="97">
        <f t="shared" si="28"/>
        <v>0</v>
      </c>
      <c r="E895" s="98" t="str">
        <f t="shared" si="29"/>
        <v>Error</v>
      </c>
    </row>
    <row r="896" spans="1:5" x14ac:dyDescent="0.25">
      <c r="A896" s="95">
        <f>'Site Data'!B898</f>
        <v>0</v>
      </c>
      <c r="B896">
        <f>'Site Data'!D898</f>
        <v>0</v>
      </c>
      <c r="C896">
        <f>'Site Data'!E898</f>
        <v>0</v>
      </c>
      <c r="D896" s="97">
        <f t="shared" si="28"/>
        <v>0</v>
      </c>
      <c r="E896" s="98" t="str">
        <f t="shared" si="29"/>
        <v>Error</v>
      </c>
    </row>
    <row r="897" spans="1:5" x14ac:dyDescent="0.25">
      <c r="A897" s="95">
        <f>'Site Data'!B899</f>
        <v>0</v>
      </c>
      <c r="B897">
        <f>'Site Data'!D899</f>
        <v>0</v>
      </c>
      <c r="C897">
        <f>'Site Data'!E899</f>
        <v>0</v>
      </c>
      <c r="D897" s="97">
        <f t="shared" si="28"/>
        <v>0</v>
      </c>
      <c r="E897" s="98" t="str">
        <f t="shared" si="29"/>
        <v>Error</v>
      </c>
    </row>
    <row r="898" spans="1:5" x14ac:dyDescent="0.25">
      <c r="A898" s="95">
        <f>'Site Data'!B900</f>
        <v>0</v>
      </c>
      <c r="B898">
        <f>'Site Data'!D900</f>
        <v>0</v>
      </c>
      <c r="C898">
        <f>'Site Data'!E900</f>
        <v>0</v>
      </c>
      <c r="D898" s="97">
        <f t="shared" ref="D898:D961" si="30">B898-C898</f>
        <v>0</v>
      </c>
      <c r="E898" s="98" t="str">
        <f t="shared" ref="E898:E961" si="31">IF(AND(D898 &gt;= 50, D898 &lt;= 60), "Valid", "Error")</f>
        <v>Error</v>
      </c>
    </row>
    <row r="899" spans="1:5" x14ac:dyDescent="0.25">
      <c r="A899" s="95">
        <f>'Site Data'!B901</f>
        <v>0</v>
      </c>
      <c r="B899">
        <f>'Site Data'!D901</f>
        <v>0</v>
      </c>
      <c r="C899">
        <f>'Site Data'!E901</f>
        <v>0</v>
      </c>
      <c r="D899" s="97">
        <f t="shared" si="30"/>
        <v>0</v>
      </c>
      <c r="E899" s="98" t="str">
        <f t="shared" si="31"/>
        <v>Error</v>
      </c>
    </row>
    <row r="900" spans="1:5" x14ac:dyDescent="0.25">
      <c r="A900" s="95">
        <f>'Site Data'!B902</f>
        <v>0</v>
      </c>
      <c r="B900">
        <f>'Site Data'!D902</f>
        <v>0</v>
      </c>
      <c r="C900">
        <f>'Site Data'!E902</f>
        <v>0</v>
      </c>
      <c r="D900" s="97">
        <f t="shared" si="30"/>
        <v>0</v>
      </c>
      <c r="E900" s="98" t="str">
        <f t="shared" si="31"/>
        <v>Error</v>
      </c>
    </row>
    <row r="901" spans="1:5" x14ac:dyDescent="0.25">
      <c r="A901" s="95">
        <f>'Site Data'!B903</f>
        <v>0</v>
      </c>
      <c r="B901">
        <f>'Site Data'!D903</f>
        <v>0</v>
      </c>
      <c r="C901">
        <f>'Site Data'!E903</f>
        <v>0</v>
      </c>
      <c r="D901" s="97">
        <f t="shared" si="30"/>
        <v>0</v>
      </c>
      <c r="E901" s="98" t="str">
        <f t="shared" si="31"/>
        <v>Error</v>
      </c>
    </row>
    <row r="902" spans="1:5" x14ac:dyDescent="0.25">
      <c r="A902" s="95">
        <f>'Site Data'!B904</f>
        <v>0</v>
      </c>
      <c r="B902">
        <f>'Site Data'!D904</f>
        <v>0</v>
      </c>
      <c r="C902">
        <f>'Site Data'!E904</f>
        <v>0</v>
      </c>
      <c r="D902" s="97">
        <f t="shared" si="30"/>
        <v>0</v>
      </c>
      <c r="E902" s="98" t="str">
        <f t="shared" si="31"/>
        <v>Error</v>
      </c>
    </row>
    <row r="903" spans="1:5" x14ac:dyDescent="0.25">
      <c r="A903" s="95">
        <f>'Site Data'!B905</f>
        <v>0</v>
      </c>
      <c r="B903">
        <f>'Site Data'!D905</f>
        <v>0</v>
      </c>
      <c r="C903">
        <f>'Site Data'!E905</f>
        <v>0</v>
      </c>
      <c r="D903" s="97">
        <f t="shared" si="30"/>
        <v>0</v>
      </c>
      <c r="E903" s="98" t="str">
        <f t="shared" si="31"/>
        <v>Error</v>
      </c>
    </row>
    <row r="904" spans="1:5" x14ac:dyDescent="0.25">
      <c r="A904" s="95">
        <f>'Site Data'!B906</f>
        <v>0</v>
      </c>
      <c r="B904">
        <f>'Site Data'!D906</f>
        <v>0</v>
      </c>
      <c r="C904">
        <f>'Site Data'!E906</f>
        <v>0</v>
      </c>
      <c r="D904" s="97">
        <f t="shared" si="30"/>
        <v>0</v>
      </c>
      <c r="E904" s="98" t="str">
        <f t="shared" si="31"/>
        <v>Error</v>
      </c>
    </row>
    <row r="905" spans="1:5" x14ac:dyDescent="0.25">
      <c r="A905" s="95">
        <f>'Site Data'!B907</f>
        <v>0</v>
      </c>
      <c r="B905">
        <f>'Site Data'!D907</f>
        <v>0</v>
      </c>
      <c r="C905">
        <f>'Site Data'!E907</f>
        <v>0</v>
      </c>
      <c r="D905" s="97">
        <f t="shared" si="30"/>
        <v>0</v>
      </c>
      <c r="E905" s="98" t="str">
        <f t="shared" si="31"/>
        <v>Error</v>
      </c>
    </row>
    <row r="906" spans="1:5" x14ac:dyDescent="0.25">
      <c r="A906" s="95">
        <f>'Site Data'!B908</f>
        <v>0</v>
      </c>
      <c r="B906">
        <f>'Site Data'!D908</f>
        <v>0</v>
      </c>
      <c r="C906">
        <f>'Site Data'!E908</f>
        <v>0</v>
      </c>
      <c r="D906" s="97">
        <f t="shared" si="30"/>
        <v>0</v>
      </c>
      <c r="E906" s="98" t="str">
        <f t="shared" si="31"/>
        <v>Error</v>
      </c>
    </row>
    <row r="907" spans="1:5" x14ac:dyDescent="0.25">
      <c r="A907" s="95">
        <f>'Site Data'!B909</f>
        <v>0</v>
      </c>
      <c r="B907">
        <f>'Site Data'!D909</f>
        <v>0</v>
      </c>
      <c r="C907">
        <f>'Site Data'!E909</f>
        <v>0</v>
      </c>
      <c r="D907" s="97">
        <f t="shared" si="30"/>
        <v>0</v>
      </c>
      <c r="E907" s="98" t="str">
        <f t="shared" si="31"/>
        <v>Error</v>
      </c>
    </row>
    <row r="908" spans="1:5" x14ac:dyDescent="0.25">
      <c r="A908" s="95">
        <f>'Site Data'!B910</f>
        <v>0</v>
      </c>
      <c r="B908">
        <f>'Site Data'!D910</f>
        <v>0</v>
      </c>
      <c r="C908">
        <f>'Site Data'!E910</f>
        <v>0</v>
      </c>
      <c r="D908" s="97">
        <f t="shared" si="30"/>
        <v>0</v>
      </c>
      <c r="E908" s="98" t="str">
        <f t="shared" si="31"/>
        <v>Error</v>
      </c>
    </row>
    <row r="909" spans="1:5" x14ac:dyDescent="0.25">
      <c r="A909" s="95">
        <f>'Site Data'!B911</f>
        <v>0</v>
      </c>
      <c r="B909">
        <f>'Site Data'!D911</f>
        <v>0</v>
      </c>
      <c r="C909">
        <f>'Site Data'!E911</f>
        <v>0</v>
      </c>
      <c r="D909" s="97">
        <f t="shared" si="30"/>
        <v>0</v>
      </c>
      <c r="E909" s="98" t="str">
        <f t="shared" si="31"/>
        <v>Error</v>
      </c>
    </row>
    <row r="910" spans="1:5" x14ac:dyDescent="0.25">
      <c r="A910" s="95">
        <f>'Site Data'!B912</f>
        <v>0</v>
      </c>
      <c r="B910">
        <f>'Site Data'!D912</f>
        <v>0</v>
      </c>
      <c r="C910">
        <f>'Site Data'!E912</f>
        <v>0</v>
      </c>
      <c r="D910" s="97">
        <f t="shared" si="30"/>
        <v>0</v>
      </c>
      <c r="E910" s="98" t="str">
        <f t="shared" si="31"/>
        <v>Error</v>
      </c>
    </row>
    <row r="911" spans="1:5" x14ac:dyDescent="0.25">
      <c r="A911" s="95">
        <f>'Site Data'!B913</f>
        <v>0</v>
      </c>
      <c r="B911">
        <f>'Site Data'!D913</f>
        <v>0</v>
      </c>
      <c r="C911">
        <f>'Site Data'!E913</f>
        <v>0</v>
      </c>
      <c r="D911" s="97">
        <f t="shared" si="30"/>
        <v>0</v>
      </c>
      <c r="E911" s="98" t="str">
        <f t="shared" si="31"/>
        <v>Error</v>
      </c>
    </row>
    <row r="912" spans="1:5" x14ac:dyDescent="0.25">
      <c r="A912" s="95">
        <f>'Site Data'!B914</f>
        <v>0</v>
      </c>
      <c r="B912">
        <f>'Site Data'!D914</f>
        <v>0</v>
      </c>
      <c r="C912">
        <f>'Site Data'!E914</f>
        <v>0</v>
      </c>
      <c r="D912" s="97">
        <f t="shared" si="30"/>
        <v>0</v>
      </c>
      <c r="E912" s="98" t="str">
        <f t="shared" si="31"/>
        <v>Error</v>
      </c>
    </row>
    <row r="913" spans="1:5" x14ac:dyDescent="0.25">
      <c r="A913" s="95">
        <f>'Site Data'!B915</f>
        <v>0</v>
      </c>
      <c r="B913">
        <f>'Site Data'!D915</f>
        <v>0</v>
      </c>
      <c r="C913">
        <f>'Site Data'!E915</f>
        <v>0</v>
      </c>
      <c r="D913" s="97">
        <f t="shared" si="30"/>
        <v>0</v>
      </c>
      <c r="E913" s="98" t="str">
        <f t="shared" si="31"/>
        <v>Error</v>
      </c>
    </row>
    <row r="914" spans="1:5" x14ac:dyDescent="0.25">
      <c r="A914" s="95">
        <f>'Site Data'!B916</f>
        <v>0</v>
      </c>
      <c r="B914">
        <f>'Site Data'!D916</f>
        <v>0</v>
      </c>
      <c r="C914">
        <f>'Site Data'!E916</f>
        <v>0</v>
      </c>
      <c r="D914" s="97">
        <f t="shared" si="30"/>
        <v>0</v>
      </c>
      <c r="E914" s="98" t="str">
        <f t="shared" si="31"/>
        <v>Error</v>
      </c>
    </row>
    <row r="915" spans="1:5" x14ac:dyDescent="0.25">
      <c r="A915" s="95">
        <f>'Site Data'!B917</f>
        <v>0</v>
      </c>
      <c r="B915">
        <f>'Site Data'!D917</f>
        <v>0</v>
      </c>
      <c r="C915">
        <f>'Site Data'!E917</f>
        <v>0</v>
      </c>
      <c r="D915" s="97">
        <f t="shared" si="30"/>
        <v>0</v>
      </c>
      <c r="E915" s="98" t="str">
        <f t="shared" si="31"/>
        <v>Error</v>
      </c>
    </row>
    <row r="916" spans="1:5" x14ac:dyDescent="0.25">
      <c r="A916" s="95">
        <f>'Site Data'!B918</f>
        <v>0</v>
      </c>
      <c r="B916">
        <f>'Site Data'!D918</f>
        <v>0</v>
      </c>
      <c r="C916">
        <f>'Site Data'!E918</f>
        <v>0</v>
      </c>
      <c r="D916" s="97">
        <f t="shared" si="30"/>
        <v>0</v>
      </c>
      <c r="E916" s="98" t="str">
        <f t="shared" si="31"/>
        <v>Error</v>
      </c>
    </row>
    <row r="917" spans="1:5" x14ac:dyDescent="0.25">
      <c r="A917" s="95">
        <f>'Site Data'!B919</f>
        <v>0</v>
      </c>
      <c r="B917">
        <f>'Site Data'!D919</f>
        <v>0</v>
      </c>
      <c r="C917">
        <f>'Site Data'!E919</f>
        <v>0</v>
      </c>
      <c r="D917" s="97">
        <f t="shared" si="30"/>
        <v>0</v>
      </c>
      <c r="E917" s="98" t="str">
        <f t="shared" si="31"/>
        <v>Error</v>
      </c>
    </row>
    <row r="918" spans="1:5" x14ac:dyDescent="0.25">
      <c r="A918" s="95">
        <f>'Site Data'!B920</f>
        <v>0</v>
      </c>
      <c r="B918">
        <f>'Site Data'!D920</f>
        <v>0</v>
      </c>
      <c r="C918">
        <f>'Site Data'!E920</f>
        <v>0</v>
      </c>
      <c r="D918" s="97">
        <f t="shared" si="30"/>
        <v>0</v>
      </c>
      <c r="E918" s="98" t="str">
        <f t="shared" si="31"/>
        <v>Error</v>
      </c>
    </row>
    <row r="919" spans="1:5" x14ac:dyDescent="0.25">
      <c r="A919" s="95">
        <f>'Site Data'!B921</f>
        <v>0</v>
      </c>
      <c r="B919">
        <f>'Site Data'!D921</f>
        <v>0</v>
      </c>
      <c r="C919">
        <f>'Site Data'!E921</f>
        <v>0</v>
      </c>
      <c r="D919" s="97">
        <f t="shared" si="30"/>
        <v>0</v>
      </c>
      <c r="E919" s="98" t="str">
        <f t="shared" si="31"/>
        <v>Error</v>
      </c>
    </row>
    <row r="920" spans="1:5" x14ac:dyDescent="0.25">
      <c r="A920" s="95">
        <f>'Site Data'!B922</f>
        <v>0</v>
      </c>
      <c r="B920">
        <f>'Site Data'!D922</f>
        <v>0</v>
      </c>
      <c r="C920">
        <f>'Site Data'!E922</f>
        <v>0</v>
      </c>
      <c r="D920" s="97">
        <f t="shared" si="30"/>
        <v>0</v>
      </c>
      <c r="E920" s="98" t="str">
        <f t="shared" si="31"/>
        <v>Error</v>
      </c>
    </row>
    <row r="921" spans="1:5" x14ac:dyDescent="0.25">
      <c r="A921" s="95">
        <f>'Site Data'!B923</f>
        <v>0</v>
      </c>
      <c r="B921">
        <f>'Site Data'!D923</f>
        <v>0</v>
      </c>
      <c r="C921">
        <f>'Site Data'!E923</f>
        <v>0</v>
      </c>
      <c r="D921" s="97">
        <f t="shared" si="30"/>
        <v>0</v>
      </c>
      <c r="E921" s="98" t="str">
        <f t="shared" si="31"/>
        <v>Error</v>
      </c>
    </row>
    <row r="922" spans="1:5" x14ac:dyDescent="0.25">
      <c r="A922" s="95">
        <f>'Site Data'!B924</f>
        <v>0</v>
      </c>
      <c r="B922">
        <f>'Site Data'!D924</f>
        <v>0</v>
      </c>
      <c r="C922">
        <f>'Site Data'!E924</f>
        <v>0</v>
      </c>
      <c r="D922" s="97">
        <f t="shared" si="30"/>
        <v>0</v>
      </c>
      <c r="E922" s="98" t="str">
        <f t="shared" si="31"/>
        <v>Error</v>
      </c>
    </row>
    <row r="923" spans="1:5" x14ac:dyDescent="0.25">
      <c r="A923" s="95">
        <f>'Site Data'!B925</f>
        <v>0</v>
      </c>
      <c r="B923">
        <f>'Site Data'!D925</f>
        <v>0</v>
      </c>
      <c r="C923">
        <f>'Site Data'!E925</f>
        <v>0</v>
      </c>
      <c r="D923" s="97">
        <f t="shared" si="30"/>
        <v>0</v>
      </c>
      <c r="E923" s="98" t="str">
        <f t="shared" si="31"/>
        <v>Error</v>
      </c>
    </row>
    <row r="924" spans="1:5" x14ac:dyDescent="0.25">
      <c r="A924" s="95">
        <f>'Site Data'!B926</f>
        <v>0</v>
      </c>
      <c r="B924">
        <f>'Site Data'!D926</f>
        <v>0</v>
      </c>
      <c r="C924">
        <f>'Site Data'!E926</f>
        <v>0</v>
      </c>
      <c r="D924" s="97">
        <f t="shared" si="30"/>
        <v>0</v>
      </c>
      <c r="E924" s="98" t="str">
        <f t="shared" si="31"/>
        <v>Error</v>
      </c>
    </row>
    <row r="925" spans="1:5" x14ac:dyDescent="0.25">
      <c r="A925" s="95">
        <f>'Site Data'!B927</f>
        <v>0</v>
      </c>
      <c r="B925">
        <f>'Site Data'!D927</f>
        <v>0</v>
      </c>
      <c r="C925">
        <f>'Site Data'!E927</f>
        <v>0</v>
      </c>
      <c r="D925" s="97">
        <f t="shared" si="30"/>
        <v>0</v>
      </c>
      <c r="E925" s="98" t="str">
        <f t="shared" si="31"/>
        <v>Error</v>
      </c>
    </row>
    <row r="926" spans="1:5" x14ac:dyDescent="0.25">
      <c r="A926" s="95">
        <f>'Site Data'!B928</f>
        <v>0</v>
      </c>
      <c r="B926">
        <f>'Site Data'!D928</f>
        <v>0</v>
      </c>
      <c r="C926">
        <f>'Site Data'!E928</f>
        <v>0</v>
      </c>
      <c r="D926" s="97">
        <f t="shared" si="30"/>
        <v>0</v>
      </c>
      <c r="E926" s="98" t="str">
        <f t="shared" si="31"/>
        <v>Error</v>
      </c>
    </row>
    <row r="927" spans="1:5" x14ac:dyDescent="0.25">
      <c r="A927" s="95">
        <f>'Site Data'!B929</f>
        <v>0</v>
      </c>
      <c r="B927">
        <f>'Site Data'!D929</f>
        <v>0</v>
      </c>
      <c r="C927">
        <f>'Site Data'!E929</f>
        <v>0</v>
      </c>
      <c r="D927" s="97">
        <f t="shared" si="30"/>
        <v>0</v>
      </c>
      <c r="E927" s="98" t="str">
        <f t="shared" si="31"/>
        <v>Error</v>
      </c>
    </row>
    <row r="928" spans="1:5" x14ac:dyDescent="0.25">
      <c r="A928" s="95">
        <f>'Site Data'!B930</f>
        <v>0</v>
      </c>
      <c r="B928">
        <f>'Site Data'!D930</f>
        <v>0</v>
      </c>
      <c r="C928">
        <f>'Site Data'!E930</f>
        <v>0</v>
      </c>
      <c r="D928" s="97">
        <f t="shared" si="30"/>
        <v>0</v>
      </c>
      <c r="E928" s="98" t="str">
        <f t="shared" si="31"/>
        <v>Error</v>
      </c>
    </row>
    <row r="929" spans="1:5" x14ac:dyDescent="0.25">
      <c r="A929" s="95">
        <f>'Site Data'!B931</f>
        <v>0</v>
      </c>
      <c r="B929">
        <f>'Site Data'!D931</f>
        <v>0</v>
      </c>
      <c r="C929">
        <f>'Site Data'!E931</f>
        <v>0</v>
      </c>
      <c r="D929" s="97">
        <f t="shared" si="30"/>
        <v>0</v>
      </c>
      <c r="E929" s="98" t="str">
        <f t="shared" si="31"/>
        <v>Error</v>
      </c>
    </row>
    <row r="930" spans="1:5" x14ac:dyDescent="0.25">
      <c r="A930" s="95">
        <f>'Site Data'!B932</f>
        <v>0</v>
      </c>
      <c r="B930">
        <f>'Site Data'!D932</f>
        <v>0</v>
      </c>
      <c r="C930">
        <f>'Site Data'!E932</f>
        <v>0</v>
      </c>
      <c r="D930" s="97">
        <f t="shared" si="30"/>
        <v>0</v>
      </c>
      <c r="E930" s="98" t="str">
        <f t="shared" si="31"/>
        <v>Error</v>
      </c>
    </row>
    <row r="931" spans="1:5" x14ac:dyDescent="0.25">
      <c r="A931" s="95">
        <f>'Site Data'!B933</f>
        <v>0</v>
      </c>
      <c r="B931">
        <f>'Site Data'!D933</f>
        <v>0</v>
      </c>
      <c r="C931">
        <f>'Site Data'!E933</f>
        <v>0</v>
      </c>
      <c r="D931" s="97">
        <f t="shared" si="30"/>
        <v>0</v>
      </c>
      <c r="E931" s="98" t="str">
        <f t="shared" si="31"/>
        <v>Error</v>
      </c>
    </row>
    <row r="932" spans="1:5" x14ac:dyDescent="0.25">
      <c r="A932" s="95">
        <f>'Site Data'!B934</f>
        <v>0</v>
      </c>
      <c r="B932">
        <f>'Site Data'!D934</f>
        <v>0</v>
      </c>
      <c r="C932">
        <f>'Site Data'!E934</f>
        <v>0</v>
      </c>
      <c r="D932" s="97">
        <f t="shared" si="30"/>
        <v>0</v>
      </c>
      <c r="E932" s="98" t="str">
        <f t="shared" si="31"/>
        <v>Error</v>
      </c>
    </row>
    <row r="933" spans="1:5" x14ac:dyDescent="0.25">
      <c r="A933" s="95">
        <f>'Site Data'!B935</f>
        <v>0</v>
      </c>
      <c r="B933">
        <f>'Site Data'!D935</f>
        <v>0</v>
      </c>
      <c r="C933">
        <f>'Site Data'!E935</f>
        <v>0</v>
      </c>
      <c r="D933" s="97">
        <f t="shared" si="30"/>
        <v>0</v>
      </c>
      <c r="E933" s="98" t="str">
        <f t="shared" si="31"/>
        <v>Error</v>
      </c>
    </row>
    <row r="934" spans="1:5" x14ac:dyDescent="0.25">
      <c r="A934" s="95">
        <f>'Site Data'!B936</f>
        <v>0</v>
      </c>
      <c r="B934">
        <f>'Site Data'!D936</f>
        <v>0</v>
      </c>
      <c r="C934">
        <f>'Site Data'!E936</f>
        <v>0</v>
      </c>
      <c r="D934" s="97">
        <f t="shared" si="30"/>
        <v>0</v>
      </c>
      <c r="E934" s="98" t="str">
        <f t="shared" si="31"/>
        <v>Error</v>
      </c>
    </row>
    <row r="935" spans="1:5" x14ac:dyDescent="0.25">
      <c r="A935" s="95">
        <f>'Site Data'!B937</f>
        <v>0</v>
      </c>
      <c r="B935">
        <f>'Site Data'!D937</f>
        <v>0</v>
      </c>
      <c r="C935">
        <f>'Site Data'!E937</f>
        <v>0</v>
      </c>
      <c r="D935" s="97">
        <f t="shared" si="30"/>
        <v>0</v>
      </c>
      <c r="E935" s="98" t="str">
        <f t="shared" si="31"/>
        <v>Error</v>
      </c>
    </row>
    <row r="936" spans="1:5" x14ac:dyDescent="0.25">
      <c r="A936" s="95">
        <f>'Site Data'!B938</f>
        <v>0</v>
      </c>
      <c r="B936">
        <f>'Site Data'!D938</f>
        <v>0</v>
      </c>
      <c r="C936">
        <f>'Site Data'!E938</f>
        <v>0</v>
      </c>
      <c r="D936" s="97">
        <f t="shared" si="30"/>
        <v>0</v>
      </c>
      <c r="E936" s="98" t="str">
        <f t="shared" si="31"/>
        <v>Error</v>
      </c>
    </row>
    <row r="937" spans="1:5" x14ac:dyDescent="0.25">
      <c r="A937" s="95">
        <f>'Site Data'!B939</f>
        <v>0</v>
      </c>
      <c r="B937">
        <f>'Site Data'!D939</f>
        <v>0</v>
      </c>
      <c r="C937">
        <f>'Site Data'!E939</f>
        <v>0</v>
      </c>
      <c r="D937" s="97">
        <f t="shared" si="30"/>
        <v>0</v>
      </c>
      <c r="E937" s="98" t="str">
        <f t="shared" si="31"/>
        <v>Error</v>
      </c>
    </row>
    <row r="938" spans="1:5" x14ac:dyDescent="0.25">
      <c r="A938" s="95">
        <f>'Site Data'!B940</f>
        <v>0</v>
      </c>
      <c r="B938">
        <f>'Site Data'!D940</f>
        <v>0</v>
      </c>
      <c r="C938">
        <f>'Site Data'!E940</f>
        <v>0</v>
      </c>
      <c r="D938" s="97">
        <f t="shared" si="30"/>
        <v>0</v>
      </c>
      <c r="E938" s="98" t="str">
        <f t="shared" si="31"/>
        <v>Error</v>
      </c>
    </row>
    <row r="939" spans="1:5" x14ac:dyDescent="0.25">
      <c r="A939" s="95">
        <f>'Site Data'!B941</f>
        <v>0</v>
      </c>
      <c r="B939">
        <f>'Site Data'!D941</f>
        <v>0</v>
      </c>
      <c r="C939">
        <f>'Site Data'!E941</f>
        <v>0</v>
      </c>
      <c r="D939" s="97">
        <f t="shared" si="30"/>
        <v>0</v>
      </c>
      <c r="E939" s="98" t="str">
        <f t="shared" si="31"/>
        <v>Error</v>
      </c>
    </row>
    <row r="940" spans="1:5" x14ac:dyDescent="0.25">
      <c r="A940" s="95">
        <f>'Site Data'!B942</f>
        <v>0</v>
      </c>
      <c r="B940">
        <f>'Site Data'!D942</f>
        <v>0</v>
      </c>
      <c r="C940">
        <f>'Site Data'!E942</f>
        <v>0</v>
      </c>
      <c r="D940" s="97">
        <f t="shared" si="30"/>
        <v>0</v>
      </c>
      <c r="E940" s="98" t="str">
        <f t="shared" si="31"/>
        <v>Error</v>
      </c>
    </row>
    <row r="941" spans="1:5" x14ac:dyDescent="0.25">
      <c r="A941" s="95">
        <f>'Site Data'!B943</f>
        <v>0</v>
      </c>
      <c r="B941">
        <f>'Site Data'!D943</f>
        <v>0</v>
      </c>
      <c r="C941">
        <f>'Site Data'!E943</f>
        <v>0</v>
      </c>
      <c r="D941" s="97">
        <f t="shared" si="30"/>
        <v>0</v>
      </c>
      <c r="E941" s="98" t="str">
        <f t="shared" si="31"/>
        <v>Error</v>
      </c>
    </row>
    <row r="942" spans="1:5" x14ac:dyDescent="0.25">
      <c r="A942" s="95">
        <f>'Site Data'!B944</f>
        <v>0</v>
      </c>
      <c r="B942">
        <f>'Site Data'!D944</f>
        <v>0</v>
      </c>
      <c r="C942">
        <f>'Site Data'!E944</f>
        <v>0</v>
      </c>
      <c r="D942" s="97">
        <f t="shared" si="30"/>
        <v>0</v>
      </c>
      <c r="E942" s="98" t="str">
        <f t="shared" si="31"/>
        <v>Error</v>
      </c>
    </row>
    <row r="943" spans="1:5" x14ac:dyDescent="0.25">
      <c r="A943" s="95">
        <f>'Site Data'!B945</f>
        <v>0</v>
      </c>
      <c r="B943">
        <f>'Site Data'!D945</f>
        <v>0</v>
      </c>
      <c r="C943">
        <f>'Site Data'!E945</f>
        <v>0</v>
      </c>
      <c r="D943" s="97">
        <f t="shared" si="30"/>
        <v>0</v>
      </c>
      <c r="E943" s="98" t="str">
        <f t="shared" si="31"/>
        <v>Error</v>
      </c>
    </row>
    <row r="944" spans="1:5" x14ac:dyDescent="0.25">
      <c r="A944" s="95">
        <f>'Site Data'!B946</f>
        <v>0</v>
      </c>
      <c r="B944">
        <f>'Site Data'!D946</f>
        <v>0</v>
      </c>
      <c r="C944">
        <f>'Site Data'!E946</f>
        <v>0</v>
      </c>
      <c r="D944" s="97">
        <f t="shared" si="30"/>
        <v>0</v>
      </c>
      <c r="E944" s="98" t="str">
        <f t="shared" si="31"/>
        <v>Error</v>
      </c>
    </row>
    <row r="945" spans="1:5" x14ac:dyDescent="0.25">
      <c r="A945" s="95">
        <f>'Site Data'!B947</f>
        <v>0</v>
      </c>
      <c r="B945">
        <f>'Site Data'!D947</f>
        <v>0</v>
      </c>
      <c r="C945">
        <f>'Site Data'!E947</f>
        <v>0</v>
      </c>
      <c r="D945" s="97">
        <f t="shared" si="30"/>
        <v>0</v>
      </c>
      <c r="E945" s="98" t="str">
        <f t="shared" si="31"/>
        <v>Error</v>
      </c>
    </row>
    <row r="946" spans="1:5" x14ac:dyDescent="0.25">
      <c r="A946" s="95">
        <f>'Site Data'!B948</f>
        <v>0</v>
      </c>
      <c r="B946">
        <f>'Site Data'!D948</f>
        <v>0</v>
      </c>
      <c r="C946">
        <f>'Site Data'!E948</f>
        <v>0</v>
      </c>
      <c r="D946" s="97">
        <f t="shared" si="30"/>
        <v>0</v>
      </c>
      <c r="E946" s="98" t="str">
        <f t="shared" si="31"/>
        <v>Error</v>
      </c>
    </row>
    <row r="947" spans="1:5" x14ac:dyDescent="0.25">
      <c r="A947" s="95">
        <f>'Site Data'!B949</f>
        <v>0</v>
      </c>
      <c r="B947">
        <f>'Site Data'!D949</f>
        <v>0</v>
      </c>
      <c r="C947">
        <f>'Site Data'!E949</f>
        <v>0</v>
      </c>
      <c r="D947" s="97">
        <f t="shared" si="30"/>
        <v>0</v>
      </c>
      <c r="E947" s="98" t="str">
        <f t="shared" si="31"/>
        <v>Error</v>
      </c>
    </row>
    <row r="948" spans="1:5" x14ac:dyDescent="0.25">
      <c r="A948" s="95">
        <f>'Site Data'!B950</f>
        <v>0</v>
      </c>
      <c r="B948">
        <f>'Site Data'!D950</f>
        <v>0</v>
      </c>
      <c r="C948">
        <f>'Site Data'!E950</f>
        <v>0</v>
      </c>
      <c r="D948" s="97">
        <f t="shared" si="30"/>
        <v>0</v>
      </c>
      <c r="E948" s="98" t="str">
        <f t="shared" si="31"/>
        <v>Error</v>
      </c>
    </row>
    <row r="949" spans="1:5" x14ac:dyDescent="0.25">
      <c r="A949" s="95">
        <f>'Site Data'!B951</f>
        <v>0</v>
      </c>
      <c r="B949">
        <f>'Site Data'!D951</f>
        <v>0</v>
      </c>
      <c r="C949">
        <f>'Site Data'!E951</f>
        <v>0</v>
      </c>
      <c r="D949" s="97">
        <f t="shared" si="30"/>
        <v>0</v>
      </c>
      <c r="E949" s="98" t="str">
        <f t="shared" si="31"/>
        <v>Error</v>
      </c>
    </row>
    <row r="950" spans="1:5" x14ac:dyDescent="0.25">
      <c r="A950" s="95">
        <f>'Site Data'!B952</f>
        <v>0</v>
      </c>
      <c r="B950">
        <f>'Site Data'!D952</f>
        <v>0</v>
      </c>
      <c r="C950">
        <f>'Site Data'!E952</f>
        <v>0</v>
      </c>
      <c r="D950" s="97">
        <f t="shared" si="30"/>
        <v>0</v>
      </c>
      <c r="E950" s="98" t="str">
        <f t="shared" si="31"/>
        <v>Error</v>
      </c>
    </row>
    <row r="951" spans="1:5" x14ac:dyDescent="0.25">
      <c r="A951" s="95">
        <f>'Site Data'!B953</f>
        <v>0</v>
      </c>
      <c r="B951">
        <f>'Site Data'!D953</f>
        <v>0</v>
      </c>
      <c r="C951">
        <f>'Site Data'!E953</f>
        <v>0</v>
      </c>
      <c r="D951" s="97">
        <f t="shared" si="30"/>
        <v>0</v>
      </c>
      <c r="E951" s="98" t="str">
        <f t="shared" si="31"/>
        <v>Error</v>
      </c>
    </row>
    <row r="952" spans="1:5" x14ac:dyDescent="0.25">
      <c r="A952" s="95">
        <f>'Site Data'!B954</f>
        <v>0</v>
      </c>
      <c r="B952">
        <f>'Site Data'!D954</f>
        <v>0</v>
      </c>
      <c r="C952">
        <f>'Site Data'!E954</f>
        <v>0</v>
      </c>
      <c r="D952" s="97">
        <f t="shared" si="30"/>
        <v>0</v>
      </c>
      <c r="E952" s="98" t="str">
        <f t="shared" si="31"/>
        <v>Error</v>
      </c>
    </row>
    <row r="953" spans="1:5" x14ac:dyDescent="0.25">
      <c r="A953" s="95">
        <f>'Site Data'!B955</f>
        <v>0</v>
      </c>
      <c r="B953">
        <f>'Site Data'!D955</f>
        <v>0</v>
      </c>
      <c r="C953">
        <f>'Site Data'!E955</f>
        <v>0</v>
      </c>
      <c r="D953" s="97">
        <f t="shared" si="30"/>
        <v>0</v>
      </c>
      <c r="E953" s="98" t="str">
        <f t="shared" si="31"/>
        <v>Error</v>
      </c>
    </row>
    <row r="954" spans="1:5" x14ac:dyDescent="0.25">
      <c r="A954" s="95">
        <f>'Site Data'!B956</f>
        <v>0</v>
      </c>
      <c r="B954">
        <f>'Site Data'!D956</f>
        <v>0</v>
      </c>
      <c r="C954">
        <f>'Site Data'!E956</f>
        <v>0</v>
      </c>
      <c r="D954" s="97">
        <f t="shared" si="30"/>
        <v>0</v>
      </c>
      <c r="E954" s="98" t="str">
        <f t="shared" si="31"/>
        <v>Error</v>
      </c>
    </row>
    <row r="955" spans="1:5" x14ac:dyDescent="0.25">
      <c r="A955" s="95">
        <f>'Site Data'!B957</f>
        <v>0</v>
      </c>
      <c r="B955">
        <f>'Site Data'!D957</f>
        <v>0</v>
      </c>
      <c r="C955">
        <f>'Site Data'!E957</f>
        <v>0</v>
      </c>
      <c r="D955" s="97">
        <f t="shared" si="30"/>
        <v>0</v>
      </c>
      <c r="E955" s="98" t="str">
        <f t="shared" si="31"/>
        <v>Error</v>
      </c>
    </row>
    <row r="956" spans="1:5" x14ac:dyDescent="0.25">
      <c r="A956" s="95">
        <f>'Site Data'!B958</f>
        <v>0</v>
      </c>
      <c r="B956">
        <f>'Site Data'!D958</f>
        <v>0</v>
      </c>
      <c r="C956">
        <f>'Site Data'!E958</f>
        <v>0</v>
      </c>
      <c r="D956" s="97">
        <f t="shared" si="30"/>
        <v>0</v>
      </c>
      <c r="E956" s="98" t="str">
        <f t="shared" si="31"/>
        <v>Error</v>
      </c>
    </row>
    <row r="957" spans="1:5" x14ac:dyDescent="0.25">
      <c r="A957" s="95">
        <f>'Site Data'!B959</f>
        <v>0</v>
      </c>
      <c r="B957">
        <f>'Site Data'!D959</f>
        <v>0</v>
      </c>
      <c r="C957">
        <f>'Site Data'!E959</f>
        <v>0</v>
      </c>
      <c r="D957" s="97">
        <f t="shared" si="30"/>
        <v>0</v>
      </c>
      <c r="E957" s="98" t="str">
        <f t="shared" si="31"/>
        <v>Error</v>
      </c>
    </row>
    <row r="958" spans="1:5" x14ac:dyDescent="0.25">
      <c r="A958" s="95">
        <f>'Site Data'!B960</f>
        <v>0</v>
      </c>
      <c r="B958">
        <f>'Site Data'!D960</f>
        <v>0</v>
      </c>
      <c r="C958">
        <f>'Site Data'!E960</f>
        <v>0</v>
      </c>
      <c r="D958" s="97">
        <f t="shared" si="30"/>
        <v>0</v>
      </c>
      <c r="E958" s="98" t="str">
        <f t="shared" si="31"/>
        <v>Error</v>
      </c>
    </row>
    <row r="959" spans="1:5" x14ac:dyDescent="0.25">
      <c r="A959" s="95">
        <f>'Site Data'!B961</f>
        <v>0</v>
      </c>
      <c r="B959">
        <f>'Site Data'!D961</f>
        <v>0</v>
      </c>
      <c r="C959">
        <f>'Site Data'!E961</f>
        <v>0</v>
      </c>
      <c r="D959" s="97">
        <f t="shared" si="30"/>
        <v>0</v>
      </c>
      <c r="E959" s="98" t="str">
        <f t="shared" si="31"/>
        <v>Error</v>
      </c>
    </row>
    <row r="960" spans="1:5" x14ac:dyDescent="0.25">
      <c r="A960" s="95">
        <f>'Site Data'!B962</f>
        <v>0</v>
      </c>
      <c r="B960">
        <f>'Site Data'!D962</f>
        <v>0</v>
      </c>
      <c r="C960">
        <f>'Site Data'!E962</f>
        <v>0</v>
      </c>
      <c r="D960" s="97">
        <f t="shared" si="30"/>
        <v>0</v>
      </c>
      <c r="E960" s="98" t="str">
        <f t="shared" si="31"/>
        <v>Error</v>
      </c>
    </row>
    <row r="961" spans="1:5" x14ac:dyDescent="0.25">
      <c r="A961" s="95">
        <f>'Site Data'!B963</f>
        <v>0</v>
      </c>
      <c r="B961">
        <f>'Site Data'!D963</f>
        <v>0</v>
      </c>
      <c r="C961">
        <f>'Site Data'!E963</f>
        <v>0</v>
      </c>
      <c r="D961" s="97">
        <f t="shared" si="30"/>
        <v>0</v>
      </c>
      <c r="E961" s="98" t="str">
        <f t="shared" si="31"/>
        <v>Error</v>
      </c>
    </row>
    <row r="962" spans="1:5" x14ac:dyDescent="0.25">
      <c r="A962" s="95">
        <f>'Site Data'!B964</f>
        <v>0</v>
      </c>
      <c r="B962">
        <f>'Site Data'!D964</f>
        <v>0</v>
      </c>
      <c r="C962">
        <f>'Site Data'!E964</f>
        <v>0</v>
      </c>
      <c r="D962" s="97">
        <f t="shared" ref="D962:D1025" si="32">B962-C962</f>
        <v>0</v>
      </c>
      <c r="E962" s="98" t="str">
        <f t="shared" ref="E962:E1025" si="33">IF(AND(D962 &gt;= 50, D962 &lt;= 60), "Valid", "Error")</f>
        <v>Error</v>
      </c>
    </row>
    <row r="963" spans="1:5" x14ac:dyDescent="0.25">
      <c r="A963" s="95">
        <f>'Site Data'!B965</f>
        <v>0</v>
      </c>
      <c r="B963">
        <f>'Site Data'!D965</f>
        <v>0</v>
      </c>
      <c r="C963">
        <f>'Site Data'!E965</f>
        <v>0</v>
      </c>
      <c r="D963" s="97">
        <f t="shared" si="32"/>
        <v>0</v>
      </c>
      <c r="E963" s="98" t="str">
        <f t="shared" si="33"/>
        <v>Error</v>
      </c>
    </row>
    <row r="964" spans="1:5" x14ac:dyDescent="0.25">
      <c r="A964" s="95">
        <f>'Site Data'!B966</f>
        <v>0</v>
      </c>
      <c r="B964">
        <f>'Site Data'!D966</f>
        <v>0</v>
      </c>
      <c r="C964">
        <f>'Site Data'!E966</f>
        <v>0</v>
      </c>
      <c r="D964" s="97">
        <f t="shared" si="32"/>
        <v>0</v>
      </c>
      <c r="E964" s="98" t="str">
        <f t="shared" si="33"/>
        <v>Error</v>
      </c>
    </row>
    <row r="965" spans="1:5" x14ac:dyDescent="0.25">
      <c r="A965" s="95">
        <f>'Site Data'!B967</f>
        <v>0</v>
      </c>
      <c r="B965">
        <f>'Site Data'!D967</f>
        <v>0</v>
      </c>
      <c r="C965">
        <f>'Site Data'!E967</f>
        <v>0</v>
      </c>
      <c r="D965" s="97">
        <f t="shared" si="32"/>
        <v>0</v>
      </c>
      <c r="E965" s="98" t="str">
        <f t="shared" si="33"/>
        <v>Error</v>
      </c>
    </row>
    <row r="966" spans="1:5" x14ac:dyDescent="0.25">
      <c r="A966" s="95">
        <f>'Site Data'!B968</f>
        <v>0</v>
      </c>
      <c r="B966">
        <f>'Site Data'!D968</f>
        <v>0</v>
      </c>
      <c r="C966">
        <f>'Site Data'!E968</f>
        <v>0</v>
      </c>
      <c r="D966" s="97">
        <f t="shared" si="32"/>
        <v>0</v>
      </c>
      <c r="E966" s="98" t="str">
        <f t="shared" si="33"/>
        <v>Error</v>
      </c>
    </row>
    <row r="967" spans="1:5" x14ac:dyDescent="0.25">
      <c r="A967" s="95">
        <f>'Site Data'!B969</f>
        <v>0</v>
      </c>
      <c r="B967">
        <f>'Site Data'!D969</f>
        <v>0</v>
      </c>
      <c r="C967">
        <f>'Site Data'!E969</f>
        <v>0</v>
      </c>
      <c r="D967" s="97">
        <f t="shared" si="32"/>
        <v>0</v>
      </c>
      <c r="E967" s="98" t="str">
        <f t="shared" si="33"/>
        <v>Error</v>
      </c>
    </row>
    <row r="968" spans="1:5" x14ac:dyDescent="0.25">
      <c r="A968" s="95">
        <f>'Site Data'!B970</f>
        <v>0</v>
      </c>
      <c r="B968">
        <f>'Site Data'!D970</f>
        <v>0</v>
      </c>
      <c r="C968">
        <f>'Site Data'!E970</f>
        <v>0</v>
      </c>
      <c r="D968" s="97">
        <f t="shared" si="32"/>
        <v>0</v>
      </c>
      <c r="E968" s="98" t="str">
        <f t="shared" si="33"/>
        <v>Error</v>
      </c>
    </row>
    <row r="969" spans="1:5" x14ac:dyDescent="0.25">
      <c r="A969" s="95">
        <f>'Site Data'!B971</f>
        <v>0</v>
      </c>
      <c r="B969">
        <f>'Site Data'!D971</f>
        <v>0</v>
      </c>
      <c r="C969">
        <f>'Site Data'!E971</f>
        <v>0</v>
      </c>
      <c r="D969" s="97">
        <f t="shared" si="32"/>
        <v>0</v>
      </c>
      <c r="E969" s="98" t="str">
        <f t="shared" si="33"/>
        <v>Error</v>
      </c>
    </row>
    <row r="970" spans="1:5" x14ac:dyDescent="0.25">
      <c r="A970" s="95">
        <f>'Site Data'!B972</f>
        <v>0</v>
      </c>
      <c r="B970">
        <f>'Site Data'!D972</f>
        <v>0</v>
      </c>
      <c r="C970">
        <f>'Site Data'!E972</f>
        <v>0</v>
      </c>
      <c r="D970" s="97">
        <f t="shared" si="32"/>
        <v>0</v>
      </c>
      <c r="E970" s="98" t="str">
        <f t="shared" si="33"/>
        <v>Error</v>
      </c>
    </row>
    <row r="971" spans="1:5" x14ac:dyDescent="0.25">
      <c r="A971" s="95">
        <f>'Site Data'!B973</f>
        <v>0</v>
      </c>
      <c r="B971">
        <f>'Site Data'!D973</f>
        <v>0</v>
      </c>
      <c r="C971">
        <f>'Site Data'!E973</f>
        <v>0</v>
      </c>
      <c r="D971" s="97">
        <f t="shared" si="32"/>
        <v>0</v>
      </c>
      <c r="E971" s="98" t="str">
        <f t="shared" si="33"/>
        <v>Error</v>
      </c>
    </row>
    <row r="972" spans="1:5" x14ac:dyDescent="0.25">
      <c r="A972" s="95">
        <f>'Site Data'!B974</f>
        <v>0</v>
      </c>
      <c r="B972">
        <f>'Site Data'!D974</f>
        <v>0</v>
      </c>
      <c r="C972">
        <f>'Site Data'!E974</f>
        <v>0</v>
      </c>
      <c r="D972" s="97">
        <f t="shared" si="32"/>
        <v>0</v>
      </c>
      <c r="E972" s="98" t="str">
        <f t="shared" si="33"/>
        <v>Error</v>
      </c>
    </row>
    <row r="973" spans="1:5" x14ac:dyDescent="0.25">
      <c r="A973" s="95">
        <f>'Site Data'!B975</f>
        <v>0</v>
      </c>
      <c r="B973">
        <f>'Site Data'!D975</f>
        <v>0</v>
      </c>
      <c r="C973">
        <f>'Site Data'!E975</f>
        <v>0</v>
      </c>
      <c r="D973" s="97">
        <f t="shared" si="32"/>
        <v>0</v>
      </c>
      <c r="E973" s="98" t="str">
        <f t="shared" si="33"/>
        <v>Error</v>
      </c>
    </row>
    <row r="974" spans="1:5" x14ac:dyDescent="0.25">
      <c r="A974" s="95">
        <f>'Site Data'!B976</f>
        <v>0</v>
      </c>
      <c r="B974">
        <f>'Site Data'!D976</f>
        <v>0</v>
      </c>
      <c r="C974">
        <f>'Site Data'!E976</f>
        <v>0</v>
      </c>
      <c r="D974" s="97">
        <f t="shared" si="32"/>
        <v>0</v>
      </c>
      <c r="E974" s="98" t="str">
        <f t="shared" si="33"/>
        <v>Error</v>
      </c>
    </row>
    <row r="975" spans="1:5" x14ac:dyDescent="0.25">
      <c r="A975" s="95">
        <f>'Site Data'!B977</f>
        <v>0</v>
      </c>
      <c r="B975">
        <f>'Site Data'!D977</f>
        <v>0</v>
      </c>
      <c r="C975">
        <f>'Site Data'!E977</f>
        <v>0</v>
      </c>
      <c r="D975" s="97">
        <f t="shared" si="32"/>
        <v>0</v>
      </c>
      <c r="E975" s="98" t="str">
        <f t="shared" si="33"/>
        <v>Error</v>
      </c>
    </row>
    <row r="976" spans="1:5" x14ac:dyDescent="0.25">
      <c r="A976" s="95">
        <f>'Site Data'!B978</f>
        <v>0</v>
      </c>
      <c r="B976">
        <f>'Site Data'!D978</f>
        <v>0</v>
      </c>
      <c r="C976">
        <f>'Site Data'!E978</f>
        <v>0</v>
      </c>
      <c r="D976" s="97">
        <f t="shared" si="32"/>
        <v>0</v>
      </c>
      <c r="E976" s="98" t="str">
        <f t="shared" si="33"/>
        <v>Error</v>
      </c>
    </row>
    <row r="977" spans="1:5" x14ac:dyDescent="0.25">
      <c r="A977" s="95">
        <f>'Site Data'!B979</f>
        <v>0</v>
      </c>
      <c r="B977">
        <f>'Site Data'!D979</f>
        <v>0</v>
      </c>
      <c r="C977">
        <f>'Site Data'!E979</f>
        <v>0</v>
      </c>
      <c r="D977" s="97">
        <f t="shared" si="32"/>
        <v>0</v>
      </c>
      <c r="E977" s="98" t="str">
        <f t="shared" si="33"/>
        <v>Error</v>
      </c>
    </row>
    <row r="978" spans="1:5" x14ac:dyDescent="0.25">
      <c r="A978" s="95">
        <f>'Site Data'!B980</f>
        <v>0</v>
      </c>
      <c r="B978">
        <f>'Site Data'!D980</f>
        <v>0</v>
      </c>
      <c r="C978">
        <f>'Site Data'!E980</f>
        <v>0</v>
      </c>
      <c r="D978" s="97">
        <f t="shared" si="32"/>
        <v>0</v>
      </c>
      <c r="E978" s="98" t="str">
        <f t="shared" si="33"/>
        <v>Error</v>
      </c>
    </row>
    <row r="979" spans="1:5" x14ac:dyDescent="0.25">
      <c r="A979" s="95">
        <f>'Site Data'!B981</f>
        <v>0</v>
      </c>
      <c r="B979">
        <f>'Site Data'!D981</f>
        <v>0</v>
      </c>
      <c r="C979">
        <f>'Site Data'!E981</f>
        <v>0</v>
      </c>
      <c r="D979" s="97">
        <f t="shared" si="32"/>
        <v>0</v>
      </c>
      <c r="E979" s="98" t="str">
        <f t="shared" si="33"/>
        <v>Error</v>
      </c>
    </row>
    <row r="980" spans="1:5" x14ac:dyDescent="0.25">
      <c r="A980" s="95">
        <f>'Site Data'!B982</f>
        <v>0</v>
      </c>
      <c r="B980">
        <f>'Site Data'!D982</f>
        <v>0</v>
      </c>
      <c r="C980">
        <f>'Site Data'!E982</f>
        <v>0</v>
      </c>
      <c r="D980" s="97">
        <f t="shared" si="32"/>
        <v>0</v>
      </c>
      <c r="E980" s="98" t="str">
        <f t="shared" si="33"/>
        <v>Error</v>
      </c>
    </row>
    <row r="981" spans="1:5" x14ac:dyDescent="0.25">
      <c r="A981" s="95">
        <f>'Site Data'!B983</f>
        <v>0</v>
      </c>
      <c r="B981">
        <f>'Site Data'!D983</f>
        <v>0</v>
      </c>
      <c r="C981">
        <f>'Site Data'!E983</f>
        <v>0</v>
      </c>
      <c r="D981" s="97">
        <f t="shared" si="32"/>
        <v>0</v>
      </c>
      <c r="E981" s="98" t="str">
        <f t="shared" si="33"/>
        <v>Error</v>
      </c>
    </row>
    <row r="982" spans="1:5" x14ac:dyDescent="0.25">
      <c r="A982" s="95">
        <f>'Site Data'!B984</f>
        <v>0</v>
      </c>
      <c r="B982">
        <f>'Site Data'!D984</f>
        <v>0</v>
      </c>
      <c r="C982">
        <f>'Site Data'!E984</f>
        <v>0</v>
      </c>
      <c r="D982" s="97">
        <f t="shared" si="32"/>
        <v>0</v>
      </c>
      <c r="E982" s="98" t="str">
        <f t="shared" si="33"/>
        <v>Error</v>
      </c>
    </row>
    <row r="983" spans="1:5" x14ac:dyDescent="0.25">
      <c r="A983" s="95">
        <f>'Site Data'!B985</f>
        <v>0</v>
      </c>
      <c r="B983">
        <f>'Site Data'!D985</f>
        <v>0</v>
      </c>
      <c r="C983">
        <f>'Site Data'!E985</f>
        <v>0</v>
      </c>
      <c r="D983" s="97">
        <f t="shared" si="32"/>
        <v>0</v>
      </c>
      <c r="E983" s="98" t="str">
        <f t="shared" si="33"/>
        <v>Error</v>
      </c>
    </row>
    <row r="984" spans="1:5" x14ac:dyDescent="0.25">
      <c r="A984" s="95">
        <f>'Site Data'!B986</f>
        <v>0</v>
      </c>
      <c r="B984">
        <f>'Site Data'!D986</f>
        <v>0</v>
      </c>
      <c r="C984">
        <f>'Site Data'!E986</f>
        <v>0</v>
      </c>
      <c r="D984" s="97">
        <f t="shared" si="32"/>
        <v>0</v>
      </c>
      <c r="E984" s="98" t="str">
        <f t="shared" si="33"/>
        <v>Error</v>
      </c>
    </row>
    <row r="985" spans="1:5" x14ac:dyDescent="0.25">
      <c r="A985" s="95">
        <f>'Site Data'!B987</f>
        <v>0</v>
      </c>
      <c r="B985">
        <f>'Site Data'!D987</f>
        <v>0</v>
      </c>
      <c r="C985">
        <f>'Site Data'!E987</f>
        <v>0</v>
      </c>
      <c r="D985" s="97">
        <f t="shared" si="32"/>
        <v>0</v>
      </c>
      <c r="E985" s="98" t="str">
        <f t="shared" si="33"/>
        <v>Error</v>
      </c>
    </row>
    <row r="986" spans="1:5" x14ac:dyDescent="0.25">
      <c r="A986" s="95">
        <f>'Site Data'!B988</f>
        <v>0</v>
      </c>
      <c r="B986">
        <f>'Site Data'!D988</f>
        <v>0</v>
      </c>
      <c r="C986">
        <f>'Site Data'!E988</f>
        <v>0</v>
      </c>
      <c r="D986" s="97">
        <f t="shared" si="32"/>
        <v>0</v>
      </c>
      <c r="E986" s="98" t="str">
        <f t="shared" si="33"/>
        <v>Error</v>
      </c>
    </row>
    <row r="987" spans="1:5" x14ac:dyDescent="0.25">
      <c r="A987" s="95">
        <f>'Site Data'!B989</f>
        <v>0</v>
      </c>
      <c r="B987">
        <f>'Site Data'!D989</f>
        <v>0</v>
      </c>
      <c r="C987">
        <f>'Site Data'!E989</f>
        <v>0</v>
      </c>
      <c r="D987" s="97">
        <f t="shared" si="32"/>
        <v>0</v>
      </c>
      <c r="E987" s="98" t="str">
        <f t="shared" si="33"/>
        <v>Error</v>
      </c>
    </row>
    <row r="988" spans="1:5" x14ac:dyDescent="0.25">
      <c r="A988" s="95">
        <f>'Site Data'!B990</f>
        <v>0</v>
      </c>
      <c r="B988">
        <f>'Site Data'!D990</f>
        <v>0</v>
      </c>
      <c r="C988">
        <f>'Site Data'!E990</f>
        <v>0</v>
      </c>
      <c r="D988" s="97">
        <f t="shared" si="32"/>
        <v>0</v>
      </c>
      <c r="E988" s="98" t="str">
        <f t="shared" si="33"/>
        <v>Error</v>
      </c>
    </row>
    <row r="989" spans="1:5" x14ac:dyDescent="0.25">
      <c r="A989" s="95">
        <f>'Site Data'!B991</f>
        <v>0</v>
      </c>
      <c r="B989">
        <f>'Site Data'!D991</f>
        <v>0</v>
      </c>
      <c r="C989">
        <f>'Site Data'!E991</f>
        <v>0</v>
      </c>
      <c r="D989" s="97">
        <f t="shared" si="32"/>
        <v>0</v>
      </c>
      <c r="E989" s="98" t="str">
        <f t="shared" si="33"/>
        <v>Error</v>
      </c>
    </row>
    <row r="990" spans="1:5" x14ac:dyDescent="0.25">
      <c r="A990" s="95">
        <f>'Site Data'!B992</f>
        <v>0</v>
      </c>
      <c r="B990">
        <f>'Site Data'!D992</f>
        <v>0</v>
      </c>
      <c r="C990">
        <f>'Site Data'!E992</f>
        <v>0</v>
      </c>
      <c r="D990" s="97">
        <f t="shared" si="32"/>
        <v>0</v>
      </c>
      <c r="E990" s="98" t="str">
        <f t="shared" si="33"/>
        <v>Error</v>
      </c>
    </row>
    <row r="991" spans="1:5" x14ac:dyDescent="0.25">
      <c r="A991" s="95">
        <f>'Site Data'!B993</f>
        <v>0</v>
      </c>
      <c r="B991">
        <f>'Site Data'!D993</f>
        <v>0</v>
      </c>
      <c r="C991">
        <f>'Site Data'!E993</f>
        <v>0</v>
      </c>
      <c r="D991" s="97">
        <f t="shared" si="32"/>
        <v>0</v>
      </c>
      <c r="E991" s="98" t="str">
        <f t="shared" si="33"/>
        <v>Error</v>
      </c>
    </row>
    <row r="992" spans="1:5" x14ac:dyDescent="0.25">
      <c r="A992" s="95">
        <f>'Site Data'!B994</f>
        <v>0</v>
      </c>
      <c r="B992">
        <f>'Site Data'!D994</f>
        <v>0</v>
      </c>
      <c r="C992">
        <f>'Site Data'!E994</f>
        <v>0</v>
      </c>
      <c r="D992" s="97">
        <f t="shared" si="32"/>
        <v>0</v>
      </c>
      <c r="E992" s="98" t="str">
        <f t="shared" si="33"/>
        <v>Error</v>
      </c>
    </row>
    <row r="993" spans="1:5" x14ac:dyDescent="0.25">
      <c r="A993" s="95">
        <f>'Site Data'!B995</f>
        <v>0</v>
      </c>
      <c r="B993">
        <f>'Site Data'!D995</f>
        <v>0</v>
      </c>
      <c r="C993">
        <f>'Site Data'!E995</f>
        <v>0</v>
      </c>
      <c r="D993" s="97">
        <f t="shared" si="32"/>
        <v>0</v>
      </c>
      <c r="E993" s="98" t="str">
        <f t="shared" si="33"/>
        <v>Error</v>
      </c>
    </row>
    <row r="994" spans="1:5" x14ac:dyDescent="0.25">
      <c r="A994" s="95">
        <f>'Site Data'!B996</f>
        <v>0</v>
      </c>
      <c r="B994">
        <f>'Site Data'!D996</f>
        <v>0</v>
      </c>
      <c r="C994">
        <f>'Site Data'!E996</f>
        <v>0</v>
      </c>
      <c r="D994" s="97">
        <f t="shared" si="32"/>
        <v>0</v>
      </c>
      <c r="E994" s="98" t="str">
        <f t="shared" si="33"/>
        <v>Error</v>
      </c>
    </row>
    <row r="995" spans="1:5" x14ac:dyDescent="0.25">
      <c r="A995" s="95">
        <f>'Site Data'!B997</f>
        <v>0</v>
      </c>
      <c r="B995">
        <f>'Site Data'!D997</f>
        <v>0</v>
      </c>
      <c r="C995">
        <f>'Site Data'!E997</f>
        <v>0</v>
      </c>
      <c r="D995" s="97">
        <f t="shared" si="32"/>
        <v>0</v>
      </c>
      <c r="E995" s="98" t="str">
        <f t="shared" si="33"/>
        <v>Error</v>
      </c>
    </row>
    <row r="996" spans="1:5" x14ac:dyDescent="0.25">
      <c r="A996" s="95">
        <f>'Site Data'!B998</f>
        <v>0</v>
      </c>
      <c r="B996">
        <f>'Site Data'!D998</f>
        <v>0</v>
      </c>
      <c r="C996">
        <f>'Site Data'!E998</f>
        <v>0</v>
      </c>
      <c r="D996" s="97">
        <f t="shared" si="32"/>
        <v>0</v>
      </c>
      <c r="E996" s="98" t="str">
        <f t="shared" si="33"/>
        <v>Error</v>
      </c>
    </row>
    <row r="997" spans="1:5" x14ac:dyDescent="0.25">
      <c r="A997" s="95">
        <f>'Site Data'!B999</f>
        <v>0</v>
      </c>
      <c r="B997">
        <f>'Site Data'!D999</f>
        <v>0</v>
      </c>
      <c r="C997">
        <f>'Site Data'!E999</f>
        <v>0</v>
      </c>
      <c r="D997" s="97">
        <f t="shared" si="32"/>
        <v>0</v>
      </c>
      <c r="E997" s="98" t="str">
        <f t="shared" si="33"/>
        <v>Error</v>
      </c>
    </row>
    <row r="998" spans="1:5" x14ac:dyDescent="0.25">
      <c r="A998" s="95">
        <f>'Site Data'!B1000</f>
        <v>0</v>
      </c>
      <c r="B998">
        <f>'Site Data'!D1000</f>
        <v>0</v>
      </c>
      <c r="C998">
        <f>'Site Data'!E1000</f>
        <v>0</v>
      </c>
      <c r="D998" s="97">
        <f t="shared" si="32"/>
        <v>0</v>
      </c>
      <c r="E998" s="98" t="str">
        <f t="shared" si="33"/>
        <v>Error</v>
      </c>
    </row>
    <row r="999" spans="1:5" x14ac:dyDescent="0.25">
      <c r="A999" s="95">
        <f>'Site Data'!B1001</f>
        <v>0</v>
      </c>
      <c r="B999">
        <f>'Site Data'!D1001</f>
        <v>0</v>
      </c>
      <c r="C999">
        <f>'Site Data'!E1001</f>
        <v>0</v>
      </c>
      <c r="D999" s="97">
        <f t="shared" si="32"/>
        <v>0</v>
      </c>
      <c r="E999" s="98" t="str">
        <f t="shared" si="33"/>
        <v>Error</v>
      </c>
    </row>
    <row r="1000" spans="1:5" x14ac:dyDescent="0.25">
      <c r="A1000" s="95">
        <f>'Site Data'!B1002</f>
        <v>0</v>
      </c>
      <c r="B1000">
        <f>'Site Data'!D1002</f>
        <v>0</v>
      </c>
      <c r="C1000">
        <f>'Site Data'!E1002</f>
        <v>0</v>
      </c>
      <c r="D1000" s="97">
        <f t="shared" si="32"/>
        <v>0</v>
      </c>
      <c r="E1000" s="98" t="str">
        <f t="shared" si="33"/>
        <v>Error</v>
      </c>
    </row>
    <row r="1001" spans="1:5" x14ac:dyDescent="0.25">
      <c r="A1001" s="95">
        <f>'Site Data'!B1003</f>
        <v>0</v>
      </c>
      <c r="B1001">
        <f>'Site Data'!D1003</f>
        <v>0</v>
      </c>
      <c r="C1001">
        <f>'Site Data'!E1003</f>
        <v>0</v>
      </c>
      <c r="D1001" s="97">
        <f t="shared" si="32"/>
        <v>0</v>
      </c>
      <c r="E1001" s="98" t="str">
        <f t="shared" si="33"/>
        <v>Error</v>
      </c>
    </row>
    <row r="1002" spans="1:5" x14ac:dyDescent="0.25">
      <c r="A1002" s="95">
        <f>'Site Data'!B1004</f>
        <v>0</v>
      </c>
      <c r="B1002">
        <f>'Site Data'!D1004</f>
        <v>0</v>
      </c>
      <c r="C1002">
        <f>'Site Data'!E1004</f>
        <v>0</v>
      </c>
      <c r="D1002" s="97">
        <f t="shared" si="32"/>
        <v>0</v>
      </c>
      <c r="E1002" s="98" t="str">
        <f t="shared" si="33"/>
        <v>Error</v>
      </c>
    </row>
    <row r="1003" spans="1:5" x14ac:dyDescent="0.25">
      <c r="A1003" s="95">
        <f>'Site Data'!B1005</f>
        <v>0</v>
      </c>
      <c r="B1003">
        <f>'Site Data'!D1005</f>
        <v>0</v>
      </c>
      <c r="C1003">
        <f>'Site Data'!E1005</f>
        <v>0</v>
      </c>
      <c r="D1003" s="97">
        <f t="shared" si="32"/>
        <v>0</v>
      </c>
      <c r="E1003" s="98" t="str">
        <f t="shared" si="33"/>
        <v>Error</v>
      </c>
    </row>
    <row r="1004" spans="1:5" x14ac:dyDescent="0.25">
      <c r="A1004" s="95">
        <f>'Site Data'!B1006</f>
        <v>0</v>
      </c>
      <c r="B1004">
        <f>'Site Data'!D1006</f>
        <v>0</v>
      </c>
      <c r="C1004">
        <f>'Site Data'!E1006</f>
        <v>0</v>
      </c>
      <c r="D1004" s="97">
        <f t="shared" si="32"/>
        <v>0</v>
      </c>
      <c r="E1004" s="98" t="str">
        <f t="shared" si="33"/>
        <v>Error</v>
      </c>
    </row>
    <row r="1005" spans="1:5" x14ac:dyDescent="0.25">
      <c r="A1005" s="95">
        <f>'Site Data'!B1007</f>
        <v>0</v>
      </c>
      <c r="B1005">
        <f>'Site Data'!D1007</f>
        <v>0</v>
      </c>
      <c r="C1005">
        <f>'Site Data'!E1007</f>
        <v>0</v>
      </c>
      <c r="D1005" s="97">
        <f t="shared" si="32"/>
        <v>0</v>
      </c>
      <c r="E1005" s="98" t="str">
        <f t="shared" si="33"/>
        <v>Error</v>
      </c>
    </row>
    <row r="1006" spans="1:5" x14ac:dyDescent="0.25">
      <c r="A1006" s="95">
        <f>'Site Data'!B1008</f>
        <v>0</v>
      </c>
      <c r="B1006">
        <f>'Site Data'!D1008</f>
        <v>0</v>
      </c>
      <c r="C1006">
        <f>'Site Data'!E1008</f>
        <v>0</v>
      </c>
      <c r="D1006" s="97">
        <f t="shared" si="32"/>
        <v>0</v>
      </c>
      <c r="E1006" s="98" t="str">
        <f t="shared" si="33"/>
        <v>Error</v>
      </c>
    </row>
    <row r="1007" spans="1:5" x14ac:dyDescent="0.25">
      <c r="A1007" s="95">
        <f>'Site Data'!B1009</f>
        <v>0</v>
      </c>
      <c r="B1007">
        <f>'Site Data'!D1009</f>
        <v>0</v>
      </c>
      <c r="C1007">
        <f>'Site Data'!E1009</f>
        <v>0</v>
      </c>
      <c r="D1007" s="97">
        <f t="shared" si="32"/>
        <v>0</v>
      </c>
      <c r="E1007" s="98" t="str">
        <f t="shared" si="33"/>
        <v>Error</v>
      </c>
    </row>
    <row r="1008" spans="1:5" x14ac:dyDescent="0.25">
      <c r="A1008" s="95">
        <f>'Site Data'!B1010</f>
        <v>0</v>
      </c>
      <c r="B1008">
        <f>'Site Data'!D1010</f>
        <v>0</v>
      </c>
      <c r="C1008">
        <f>'Site Data'!E1010</f>
        <v>0</v>
      </c>
      <c r="D1008" s="97">
        <f t="shared" si="32"/>
        <v>0</v>
      </c>
      <c r="E1008" s="98" t="str">
        <f t="shared" si="33"/>
        <v>Error</v>
      </c>
    </row>
    <row r="1009" spans="1:5" x14ac:dyDescent="0.25">
      <c r="A1009" s="95">
        <f>'Site Data'!B1011</f>
        <v>0</v>
      </c>
      <c r="B1009">
        <f>'Site Data'!D1011</f>
        <v>0</v>
      </c>
      <c r="C1009">
        <f>'Site Data'!E1011</f>
        <v>0</v>
      </c>
      <c r="D1009" s="97">
        <f t="shared" si="32"/>
        <v>0</v>
      </c>
      <c r="E1009" s="98" t="str">
        <f t="shared" si="33"/>
        <v>Error</v>
      </c>
    </row>
    <row r="1010" spans="1:5" x14ac:dyDescent="0.25">
      <c r="A1010" s="95">
        <f>'Site Data'!B1012</f>
        <v>0</v>
      </c>
      <c r="B1010">
        <f>'Site Data'!D1012</f>
        <v>0</v>
      </c>
      <c r="C1010">
        <f>'Site Data'!E1012</f>
        <v>0</v>
      </c>
      <c r="D1010" s="97">
        <f t="shared" si="32"/>
        <v>0</v>
      </c>
      <c r="E1010" s="98" t="str">
        <f t="shared" si="33"/>
        <v>Error</v>
      </c>
    </row>
    <row r="1011" spans="1:5" x14ac:dyDescent="0.25">
      <c r="A1011" s="95">
        <f>'Site Data'!B1013</f>
        <v>0</v>
      </c>
      <c r="B1011">
        <f>'Site Data'!D1013</f>
        <v>0</v>
      </c>
      <c r="C1011">
        <f>'Site Data'!E1013</f>
        <v>0</v>
      </c>
      <c r="D1011" s="97">
        <f t="shared" si="32"/>
        <v>0</v>
      </c>
      <c r="E1011" s="98" t="str">
        <f t="shared" si="33"/>
        <v>Error</v>
      </c>
    </row>
    <row r="1012" spans="1:5" x14ac:dyDescent="0.25">
      <c r="A1012" s="95">
        <f>'Site Data'!B1014</f>
        <v>0</v>
      </c>
      <c r="B1012">
        <f>'Site Data'!D1014</f>
        <v>0</v>
      </c>
      <c r="C1012">
        <f>'Site Data'!E1014</f>
        <v>0</v>
      </c>
      <c r="D1012" s="97">
        <f t="shared" si="32"/>
        <v>0</v>
      </c>
      <c r="E1012" s="98" t="str">
        <f t="shared" si="33"/>
        <v>Error</v>
      </c>
    </row>
    <row r="1013" spans="1:5" x14ac:dyDescent="0.25">
      <c r="A1013" s="95">
        <f>'Site Data'!B1015</f>
        <v>0</v>
      </c>
      <c r="B1013">
        <f>'Site Data'!D1015</f>
        <v>0</v>
      </c>
      <c r="C1013">
        <f>'Site Data'!E1015</f>
        <v>0</v>
      </c>
      <c r="D1013" s="97">
        <f t="shared" si="32"/>
        <v>0</v>
      </c>
      <c r="E1013" s="98" t="str">
        <f t="shared" si="33"/>
        <v>Error</v>
      </c>
    </row>
    <row r="1014" spans="1:5" x14ac:dyDescent="0.25">
      <c r="A1014" s="95">
        <f>'Site Data'!B1016</f>
        <v>0</v>
      </c>
      <c r="B1014">
        <f>'Site Data'!D1016</f>
        <v>0</v>
      </c>
      <c r="C1014">
        <f>'Site Data'!E1016</f>
        <v>0</v>
      </c>
      <c r="D1014" s="97">
        <f t="shared" si="32"/>
        <v>0</v>
      </c>
      <c r="E1014" s="98" t="str">
        <f t="shared" si="33"/>
        <v>Error</v>
      </c>
    </row>
    <row r="1015" spans="1:5" x14ac:dyDescent="0.25">
      <c r="A1015" s="95">
        <f>'Site Data'!B1017</f>
        <v>0</v>
      </c>
      <c r="B1015">
        <f>'Site Data'!D1017</f>
        <v>0</v>
      </c>
      <c r="C1015">
        <f>'Site Data'!E1017</f>
        <v>0</v>
      </c>
      <c r="D1015" s="97">
        <f t="shared" si="32"/>
        <v>0</v>
      </c>
      <c r="E1015" s="98" t="str">
        <f t="shared" si="33"/>
        <v>Error</v>
      </c>
    </row>
    <row r="1016" spans="1:5" x14ac:dyDescent="0.25">
      <c r="A1016" s="95">
        <f>'Site Data'!B1018</f>
        <v>0</v>
      </c>
      <c r="B1016">
        <f>'Site Data'!D1018</f>
        <v>0</v>
      </c>
      <c r="C1016">
        <f>'Site Data'!E1018</f>
        <v>0</v>
      </c>
      <c r="D1016" s="97">
        <f t="shared" si="32"/>
        <v>0</v>
      </c>
      <c r="E1016" s="98" t="str">
        <f t="shared" si="33"/>
        <v>Error</v>
      </c>
    </row>
    <row r="1017" spans="1:5" x14ac:dyDescent="0.25">
      <c r="A1017" s="95">
        <f>'Site Data'!B1019</f>
        <v>0</v>
      </c>
      <c r="B1017">
        <f>'Site Data'!D1019</f>
        <v>0</v>
      </c>
      <c r="C1017">
        <f>'Site Data'!E1019</f>
        <v>0</v>
      </c>
      <c r="D1017" s="97">
        <f t="shared" si="32"/>
        <v>0</v>
      </c>
      <c r="E1017" s="98" t="str">
        <f t="shared" si="33"/>
        <v>Error</v>
      </c>
    </row>
    <row r="1018" spans="1:5" x14ac:dyDescent="0.25">
      <c r="A1018" s="95">
        <f>'Site Data'!B1020</f>
        <v>0</v>
      </c>
      <c r="B1018">
        <f>'Site Data'!D1020</f>
        <v>0</v>
      </c>
      <c r="C1018">
        <f>'Site Data'!E1020</f>
        <v>0</v>
      </c>
      <c r="D1018" s="97">
        <f t="shared" si="32"/>
        <v>0</v>
      </c>
      <c r="E1018" s="98" t="str">
        <f t="shared" si="33"/>
        <v>Error</v>
      </c>
    </row>
    <row r="1019" spans="1:5" x14ac:dyDescent="0.25">
      <c r="A1019" s="95">
        <f>'Site Data'!B1021</f>
        <v>0</v>
      </c>
      <c r="B1019">
        <f>'Site Data'!D1021</f>
        <v>0</v>
      </c>
      <c r="C1019">
        <f>'Site Data'!E1021</f>
        <v>0</v>
      </c>
      <c r="D1019" s="97">
        <f t="shared" si="32"/>
        <v>0</v>
      </c>
      <c r="E1019" s="98" t="str">
        <f t="shared" si="33"/>
        <v>Error</v>
      </c>
    </row>
    <row r="1020" spans="1:5" x14ac:dyDescent="0.25">
      <c r="A1020" s="95">
        <f>'Site Data'!B1022</f>
        <v>0</v>
      </c>
      <c r="B1020">
        <f>'Site Data'!D1022</f>
        <v>0</v>
      </c>
      <c r="C1020">
        <f>'Site Data'!E1022</f>
        <v>0</v>
      </c>
      <c r="D1020" s="97">
        <f t="shared" si="32"/>
        <v>0</v>
      </c>
      <c r="E1020" s="98" t="str">
        <f t="shared" si="33"/>
        <v>Error</v>
      </c>
    </row>
    <row r="1021" spans="1:5" x14ac:dyDescent="0.25">
      <c r="A1021" s="95">
        <f>'Site Data'!B1023</f>
        <v>0</v>
      </c>
      <c r="B1021">
        <f>'Site Data'!D1023</f>
        <v>0</v>
      </c>
      <c r="C1021">
        <f>'Site Data'!E1023</f>
        <v>0</v>
      </c>
      <c r="D1021" s="97">
        <f t="shared" si="32"/>
        <v>0</v>
      </c>
      <c r="E1021" s="98" t="str">
        <f t="shared" si="33"/>
        <v>Error</v>
      </c>
    </row>
    <row r="1022" spans="1:5" x14ac:dyDescent="0.25">
      <c r="A1022" s="95">
        <f>'Site Data'!B1024</f>
        <v>0</v>
      </c>
      <c r="B1022">
        <f>'Site Data'!D1024</f>
        <v>0</v>
      </c>
      <c r="C1022">
        <f>'Site Data'!E1024</f>
        <v>0</v>
      </c>
      <c r="D1022" s="97">
        <f t="shared" si="32"/>
        <v>0</v>
      </c>
      <c r="E1022" s="98" t="str">
        <f t="shared" si="33"/>
        <v>Error</v>
      </c>
    </row>
    <row r="1023" spans="1:5" x14ac:dyDescent="0.25">
      <c r="A1023" s="95">
        <f>'Site Data'!B1025</f>
        <v>0</v>
      </c>
      <c r="B1023">
        <f>'Site Data'!D1025</f>
        <v>0</v>
      </c>
      <c r="C1023">
        <f>'Site Data'!E1025</f>
        <v>0</v>
      </c>
      <c r="D1023" s="97">
        <f t="shared" si="32"/>
        <v>0</v>
      </c>
      <c r="E1023" s="98" t="str">
        <f t="shared" si="33"/>
        <v>Error</v>
      </c>
    </row>
    <row r="1024" spans="1:5" x14ac:dyDescent="0.25">
      <c r="A1024" s="95">
        <f>'Site Data'!B1026</f>
        <v>0</v>
      </c>
      <c r="B1024">
        <f>'Site Data'!D1026</f>
        <v>0</v>
      </c>
      <c r="C1024">
        <f>'Site Data'!E1026</f>
        <v>0</v>
      </c>
      <c r="D1024" s="97">
        <f t="shared" si="32"/>
        <v>0</v>
      </c>
      <c r="E1024" s="98" t="str">
        <f t="shared" si="33"/>
        <v>Error</v>
      </c>
    </row>
    <row r="1025" spans="1:5" x14ac:dyDescent="0.25">
      <c r="A1025" s="95">
        <f>'Site Data'!B1027</f>
        <v>0</v>
      </c>
      <c r="B1025">
        <f>'Site Data'!D1027</f>
        <v>0</v>
      </c>
      <c r="C1025">
        <f>'Site Data'!E1027</f>
        <v>0</v>
      </c>
      <c r="D1025" s="97">
        <f t="shared" si="32"/>
        <v>0</v>
      </c>
      <c r="E1025" s="98" t="str">
        <f t="shared" si="33"/>
        <v>Error</v>
      </c>
    </row>
    <row r="1026" spans="1:5" x14ac:dyDescent="0.25">
      <c r="A1026" s="95">
        <f>'Site Data'!B1028</f>
        <v>0</v>
      </c>
      <c r="B1026">
        <f>'Site Data'!D1028</f>
        <v>0</v>
      </c>
      <c r="C1026">
        <f>'Site Data'!E1028</f>
        <v>0</v>
      </c>
      <c r="D1026" s="97">
        <f t="shared" ref="D1026:D1089" si="34">B1026-C1026</f>
        <v>0</v>
      </c>
      <c r="E1026" s="98" t="str">
        <f t="shared" ref="E1026:E1089" si="35">IF(AND(D1026 &gt;= 50, D1026 &lt;= 60), "Valid", "Error")</f>
        <v>Error</v>
      </c>
    </row>
    <row r="1027" spans="1:5" x14ac:dyDescent="0.25">
      <c r="A1027" s="95">
        <f>'Site Data'!B1029</f>
        <v>0</v>
      </c>
      <c r="B1027">
        <f>'Site Data'!D1029</f>
        <v>0</v>
      </c>
      <c r="C1027">
        <f>'Site Data'!E1029</f>
        <v>0</v>
      </c>
      <c r="D1027" s="97">
        <f t="shared" si="34"/>
        <v>0</v>
      </c>
      <c r="E1027" s="98" t="str">
        <f t="shared" si="35"/>
        <v>Error</v>
      </c>
    </row>
    <row r="1028" spans="1:5" x14ac:dyDescent="0.25">
      <c r="A1028" s="95">
        <f>'Site Data'!B1030</f>
        <v>0</v>
      </c>
      <c r="B1028">
        <f>'Site Data'!D1030</f>
        <v>0</v>
      </c>
      <c r="C1028">
        <f>'Site Data'!E1030</f>
        <v>0</v>
      </c>
      <c r="D1028" s="97">
        <f t="shared" si="34"/>
        <v>0</v>
      </c>
      <c r="E1028" s="98" t="str">
        <f t="shared" si="35"/>
        <v>Error</v>
      </c>
    </row>
    <row r="1029" spans="1:5" x14ac:dyDescent="0.25">
      <c r="A1029" s="95">
        <f>'Site Data'!B1031</f>
        <v>0</v>
      </c>
      <c r="B1029">
        <f>'Site Data'!D1031</f>
        <v>0</v>
      </c>
      <c r="C1029">
        <f>'Site Data'!E1031</f>
        <v>0</v>
      </c>
      <c r="D1029" s="97">
        <f t="shared" si="34"/>
        <v>0</v>
      </c>
      <c r="E1029" s="98" t="str">
        <f t="shared" si="35"/>
        <v>Error</v>
      </c>
    </row>
    <row r="1030" spans="1:5" x14ac:dyDescent="0.25">
      <c r="A1030" s="95">
        <f>'Site Data'!B1032</f>
        <v>0</v>
      </c>
      <c r="B1030">
        <f>'Site Data'!D1032</f>
        <v>0</v>
      </c>
      <c r="C1030">
        <f>'Site Data'!E1032</f>
        <v>0</v>
      </c>
      <c r="D1030" s="97">
        <f t="shared" si="34"/>
        <v>0</v>
      </c>
      <c r="E1030" s="98" t="str">
        <f t="shared" si="35"/>
        <v>Error</v>
      </c>
    </row>
    <row r="1031" spans="1:5" x14ac:dyDescent="0.25">
      <c r="A1031" s="95">
        <f>'Site Data'!B1033</f>
        <v>0</v>
      </c>
      <c r="B1031">
        <f>'Site Data'!D1033</f>
        <v>0</v>
      </c>
      <c r="C1031">
        <f>'Site Data'!E1033</f>
        <v>0</v>
      </c>
      <c r="D1031" s="97">
        <f t="shared" si="34"/>
        <v>0</v>
      </c>
      <c r="E1031" s="98" t="str">
        <f t="shared" si="35"/>
        <v>Error</v>
      </c>
    </row>
    <row r="1032" spans="1:5" x14ac:dyDescent="0.25">
      <c r="A1032" s="95">
        <f>'Site Data'!B1034</f>
        <v>0</v>
      </c>
      <c r="B1032">
        <f>'Site Data'!D1034</f>
        <v>0</v>
      </c>
      <c r="C1032">
        <f>'Site Data'!E1034</f>
        <v>0</v>
      </c>
      <c r="D1032" s="97">
        <f t="shared" si="34"/>
        <v>0</v>
      </c>
      <c r="E1032" s="98" t="str">
        <f t="shared" si="35"/>
        <v>Error</v>
      </c>
    </row>
    <row r="1033" spans="1:5" x14ac:dyDescent="0.25">
      <c r="A1033" s="95">
        <f>'Site Data'!B1035</f>
        <v>0</v>
      </c>
      <c r="B1033">
        <f>'Site Data'!D1035</f>
        <v>0</v>
      </c>
      <c r="C1033">
        <f>'Site Data'!E1035</f>
        <v>0</v>
      </c>
      <c r="D1033" s="97">
        <f t="shared" si="34"/>
        <v>0</v>
      </c>
      <c r="E1033" s="98" t="str">
        <f t="shared" si="35"/>
        <v>Error</v>
      </c>
    </row>
    <row r="1034" spans="1:5" x14ac:dyDescent="0.25">
      <c r="A1034" s="95">
        <f>'Site Data'!B1036</f>
        <v>0</v>
      </c>
      <c r="B1034">
        <f>'Site Data'!D1036</f>
        <v>0</v>
      </c>
      <c r="C1034">
        <f>'Site Data'!E1036</f>
        <v>0</v>
      </c>
      <c r="D1034" s="97">
        <f t="shared" si="34"/>
        <v>0</v>
      </c>
      <c r="E1034" s="98" t="str">
        <f t="shared" si="35"/>
        <v>Error</v>
      </c>
    </row>
    <row r="1035" spans="1:5" x14ac:dyDescent="0.25">
      <c r="A1035" s="95">
        <f>'Site Data'!B1037</f>
        <v>0</v>
      </c>
      <c r="B1035">
        <f>'Site Data'!D1037</f>
        <v>0</v>
      </c>
      <c r="C1035">
        <f>'Site Data'!E1037</f>
        <v>0</v>
      </c>
      <c r="D1035" s="97">
        <f t="shared" si="34"/>
        <v>0</v>
      </c>
      <c r="E1035" s="98" t="str">
        <f t="shared" si="35"/>
        <v>Error</v>
      </c>
    </row>
    <row r="1036" spans="1:5" x14ac:dyDescent="0.25">
      <c r="A1036" s="95">
        <f>'Site Data'!B1038</f>
        <v>0</v>
      </c>
      <c r="B1036">
        <f>'Site Data'!D1038</f>
        <v>0</v>
      </c>
      <c r="C1036">
        <f>'Site Data'!E1038</f>
        <v>0</v>
      </c>
      <c r="D1036" s="97">
        <f t="shared" si="34"/>
        <v>0</v>
      </c>
      <c r="E1036" s="98" t="str">
        <f t="shared" si="35"/>
        <v>Error</v>
      </c>
    </row>
    <row r="1037" spans="1:5" x14ac:dyDescent="0.25">
      <c r="A1037" s="95">
        <f>'Site Data'!B1039</f>
        <v>0</v>
      </c>
      <c r="B1037">
        <f>'Site Data'!D1039</f>
        <v>0</v>
      </c>
      <c r="C1037">
        <f>'Site Data'!E1039</f>
        <v>0</v>
      </c>
      <c r="D1037" s="97">
        <f t="shared" si="34"/>
        <v>0</v>
      </c>
      <c r="E1037" s="98" t="str">
        <f t="shared" si="35"/>
        <v>Error</v>
      </c>
    </row>
    <row r="1038" spans="1:5" x14ac:dyDescent="0.25">
      <c r="A1038" s="95">
        <f>'Site Data'!B1040</f>
        <v>0</v>
      </c>
      <c r="B1038">
        <f>'Site Data'!D1040</f>
        <v>0</v>
      </c>
      <c r="C1038">
        <f>'Site Data'!E1040</f>
        <v>0</v>
      </c>
      <c r="D1038" s="97">
        <f t="shared" si="34"/>
        <v>0</v>
      </c>
      <c r="E1038" s="98" t="str">
        <f t="shared" si="35"/>
        <v>Error</v>
      </c>
    </row>
    <row r="1039" spans="1:5" x14ac:dyDescent="0.25">
      <c r="A1039" s="95">
        <f>'Site Data'!B1041</f>
        <v>0</v>
      </c>
      <c r="B1039">
        <f>'Site Data'!D1041</f>
        <v>0</v>
      </c>
      <c r="C1039">
        <f>'Site Data'!E1041</f>
        <v>0</v>
      </c>
      <c r="D1039" s="97">
        <f t="shared" si="34"/>
        <v>0</v>
      </c>
      <c r="E1039" s="98" t="str">
        <f t="shared" si="35"/>
        <v>Error</v>
      </c>
    </row>
    <row r="1040" spans="1:5" x14ac:dyDescent="0.25">
      <c r="A1040" s="95">
        <f>'Site Data'!B1042</f>
        <v>0</v>
      </c>
      <c r="B1040">
        <f>'Site Data'!D1042</f>
        <v>0</v>
      </c>
      <c r="C1040">
        <f>'Site Data'!E1042</f>
        <v>0</v>
      </c>
      <c r="D1040" s="97">
        <f t="shared" si="34"/>
        <v>0</v>
      </c>
      <c r="E1040" s="98" t="str">
        <f t="shared" si="35"/>
        <v>Error</v>
      </c>
    </row>
    <row r="1041" spans="1:5" x14ac:dyDescent="0.25">
      <c r="A1041" s="95">
        <f>'Site Data'!B1043</f>
        <v>0</v>
      </c>
      <c r="B1041">
        <f>'Site Data'!D1043</f>
        <v>0</v>
      </c>
      <c r="C1041">
        <f>'Site Data'!E1043</f>
        <v>0</v>
      </c>
      <c r="D1041" s="97">
        <f t="shared" si="34"/>
        <v>0</v>
      </c>
      <c r="E1041" s="98" t="str">
        <f t="shared" si="35"/>
        <v>Error</v>
      </c>
    </row>
    <row r="1042" spans="1:5" x14ac:dyDescent="0.25">
      <c r="A1042" s="95">
        <f>'Site Data'!B1044</f>
        <v>0</v>
      </c>
      <c r="B1042">
        <f>'Site Data'!D1044</f>
        <v>0</v>
      </c>
      <c r="C1042">
        <f>'Site Data'!E1044</f>
        <v>0</v>
      </c>
      <c r="D1042" s="97">
        <f t="shared" si="34"/>
        <v>0</v>
      </c>
      <c r="E1042" s="98" t="str">
        <f t="shared" si="35"/>
        <v>Error</v>
      </c>
    </row>
    <row r="1043" spans="1:5" x14ac:dyDescent="0.25">
      <c r="A1043" s="95">
        <f>'Site Data'!B1045</f>
        <v>0</v>
      </c>
      <c r="B1043">
        <f>'Site Data'!D1045</f>
        <v>0</v>
      </c>
      <c r="C1043">
        <f>'Site Data'!E1045</f>
        <v>0</v>
      </c>
      <c r="D1043" s="97">
        <f t="shared" si="34"/>
        <v>0</v>
      </c>
      <c r="E1043" s="98" t="str">
        <f t="shared" si="35"/>
        <v>Error</v>
      </c>
    </row>
    <row r="1044" spans="1:5" x14ac:dyDescent="0.25">
      <c r="A1044" s="95">
        <f>'Site Data'!B1046</f>
        <v>0</v>
      </c>
      <c r="B1044">
        <f>'Site Data'!D1046</f>
        <v>0</v>
      </c>
      <c r="C1044">
        <f>'Site Data'!E1046</f>
        <v>0</v>
      </c>
      <c r="D1044" s="97">
        <f t="shared" si="34"/>
        <v>0</v>
      </c>
      <c r="E1044" s="98" t="str">
        <f t="shared" si="35"/>
        <v>Error</v>
      </c>
    </row>
    <row r="1045" spans="1:5" x14ac:dyDescent="0.25">
      <c r="A1045" s="95">
        <f>'Site Data'!B1047</f>
        <v>0</v>
      </c>
      <c r="B1045">
        <f>'Site Data'!D1047</f>
        <v>0</v>
      </c>
      <c r="C1045">
        <f>'Site Data'!E1047</f>
        <v>0</v>
      </c>
      <c r="D1045" s="97">
        <f t="shared" si="34"/>
        <v>0</v>
      </c>
      <c r="E1045" s="98" t="str">
        <f t="shared" si="35"/>
        <v>Error</v>
      </c>
    </row>
    <row r="1046" spans="1:5" x14ac:dyDescent="0.25">
      <c r="A1046" s="95">
        <f>'Site Data'!B1048</f>
        <v>0</v>
      </c>
      <c r="B1046">
        <f>'Site Data'!D1048</f>
        <v>0</v>
      </c>
      <c r="C1046">
        <f>'Site Data'!E1048</f>
        <v>0</v>
      </c>
      <c r="D1046" s="97">
        <f t="shared" si="34"/>
        <v>0</v>
      </c>
      <c r="E1046" s="98" t="str">
        <f t="shared" si="35"/>
        <v>Error</v>
      </c>
    </row>
    <row r="1047" spans="1:5" x14ac:dyDescent="0.25">
      <c r="A1047" s="95">
        <f>'Site Data'!B1049</f>
        <v>0</v>
      </c>
      <c r="B1047">
        <f>'Site Data'!D1049</f>
        <v>0</v>
      </c>
      <c r="C1047">
        <f>'Site Data'!E1049</f>
        <v>0</v>
      </c>
      <c r="D1047" s="97">
        <f t="shared" si="34"/>
        <v>0</v>
      </c>
      <c r="E1047" s="98" t="str">
        <f t="shared" si="35"/>
        <v>Error</v>
      </c>
    </row>
    <row r="1048" spans="1:5" x14ac:dyDescent="0.25">
      <c r="A1048" s="95">
        <f>'Site Data'!B1050</f>
        <v>0</v>
      </c>
      <c r="B1048">
        <f>'Site Data'!D1050</f>
        <v>0</v>
      </c>
      <c r="C1048">
        <f>'Site Data'!E1050</f>
        <v>0</v>
      </c>
      <c r="D1048" s="97">
        <f t="shared" si="34"/>
        <v>0</v>
      </c>
      <c r="E1048" s="98" t="str">
        <f t="shared" si="35"/>
        <v>Error</v>
      </c>
    </row>
    <row r="1049" spans="1:5" x14ac:dyDescent="0.25">
      <c r="A1049" s="95">
        <f>'Site Data'!B1051</f>
        <v>0</v>
      </c>
      <c r="B1049">
        <f>'Site Data'!D1051</f>
        <v>0</v>
      </c>
      <c r="C1049">
        <f>'Site Data'!E1051</f>
        <v>0</v>
      </c>
      <c r="D1049" s="97">
        <f t="shared" si="34"/>
        <v>0</v>
      </c>
      <c r="E1049" s="98" t="str">
        <f t="shared" si="35"/>
        <v>Error</v>
      </c>
    </row>
    <row r="1050" spans="1:5" x14ac:dyDescent="0.25">
      <c r="A1050" s="95">
        <f>'Site Data'!B1052</f>
        <v>0</v>
      </c>
      <c r="B1050">
        <f>'Site Data'!D1052</f>
        <v>0</v>
      </c>
      <c r="C1050">
        <f>'Site Data'!E1052</f>
        <v>0</v>
      </c>
      <c r="D1050" s="97">
        <f t="shared" si="34"/>
        <v>0</v>
      </c>
      <c r="E1050" s="98" t="str">
        <f t="shared" si="35"/>
        <v>Error</v>
      </c>
    </row>
    <row r="1051" spans="1:5" x14ac:dyDescent="0.25">
      <c r="A1051" s="95">
        <f>'Site Data'!B1053</f>
        <v>0</v>
      </c>
      <c r="B1051">
        <f>'Site Data'!D1053</f>
        <v>0</v>
      </c>
      <c r="C1051">
        <f>'Site Data'!E1053</f>
        <v>0</v>
      </c>
      <c r="D1051" s="97">
        <f t="shared" si="34"/>
        <v>0</v>
      </c>
      <c r="E1051" s="98" t="str">
        <f t="shared" si="35"/>
        <v>Error</v>
      </c>
    </row>
    <row r="1052" spans="1:5" x14ac:dyDescent="0.25">
      <c r="A1052" s="95">
        <f>'Site Data'!B1054</f>
        <v>0</v>
      </c>
      <c r="B1052">
        <f>'Site Data'!D1054</f>
        <v>0</v>
      </c>
      <c r="C1052">
        <f>'Site Data'!E1054</f>
        <v>0</v>
      </c>
      <c r="D1052" s="97">
        <f t="shared" si="34"/>
        <v>0</v>
      </c>
      <c r="E1052" s="98" t="str">
        <f t="shared" si="35"/>
        <v>Error</v>
      </c>
    </row>
    <row r="1053" spans="1:5" x14ac:dyDescent="0.25">
      <c r="A1053" s="95">
        <f>'Site Data'!B1055</f>
        <v>0</v>
      </c>
      <c r="B1053">
        <f>'Site Data'!D1055</f>
        <v>0</v>
      </c>
      <c r="C1053">
        <f>'Site Data'!E1055</f>
        <v>0</v>
      </c>
      <c r="D1053" s="97">
        <f t="shared" si="34"/>
        <v>0</v>
      </c>
      <c r="E1053" s="98" t="str">
        <f t="shared" si="35"/>
        <v>Error</v>
      </c>
    </row>
    <row r="1054" spans="1:5" x14ac:dyDescent="0.25">
      <c r="A1054" s="95">
        <f>'Site Data'!B1056</f>
        <v>0</v>
      </c>
      <c r="B1054">
        <f>'Site Data'!D1056</f>
        <v>0</v>
      </c>
      <c r="C1054">
        <f>'Site Data'!E1056</f>
        <v>0</v>
      </c>
      <c r="D1054" s="97">
        <f t="shared" si="34"/>
        <v>0</v>
      </c>
      <c r="E1054" s="98" t="str">
        <f t="shared" si="35"/>
        <v>Error</v>
      </c>
    </row>
    <row r="1055" spans="1:5" x14ac:dyDescent="0.25">
      <c r="A1055" s="95">
        <f>'Site Data'!B1057</f>
        <v>0</v>
      </c>
      <c r="B1055">
        <f>'Site Data'!D1057</f>
        <v>0</v>
      </c>
      <c r="C1055">
        <f>'Site Data'!E1057</f>
        <v>0</v>
      </c>
      <c r="D1055" s="97">
        <f t="shared" si="34"/>
        <v>0</v>
      </c>
      <c r="E1055" s="98" t="str">
        <f t="shared" si="35"/>
        <v>Error</v>
      </c>
    </row>
    <row r="1056" spans="1:5" x14ac:dyDescent="0.25">
      <c r="A1056" s="95">
        <f>'Site Data'!B1058</f>
        <v>0</v>
      </c>
      <c r="B1056">
        <f>'Site Data'!D1058</f>
        <v>0</v>
      </c>
      <c r="C1056">
        <f>'Site Data'!E1058</f>
        <v>0</v>
      </c>
      <c r="D1056" s="97">
        <f t="shared" si="34"/>
        <v>0</v>
      </c>
      <c r="E1056" s="98" t="str">
        <f t="shared" si="35"/>
        <v>Error</v>
      </c>
    </row>
    <row r="1057" spans="1:5" x14ac:dyDescent="0.25">
      <c r="A1057" s="95">
        <f>'Site Data'!B1059</f>
        <v>0</v>
      </c>
      <c r="B1057">
        <f>'Site Data'!D1059</f>
        <v>0</v>
      </c>
      <c r="C1057">
        <f>'Site Data'!E1059</f>
        <v>0</v>
      </c>
      <c r="D1057" s="97">
        <f t="shared" si="34"/>
        <v>0</v>
      </c>
      <c r="E1057" s="98" t="str">
        <f t="shared" si="35"/>
        <v>Error</v>
      </c>
    </row>
    <row r="1058" spans="1:5" x14ac:dyDescent="0.25">
      <c r="A1058" s="95">
        <f>'Site Data'!B1060</f>
        <v>0</v>
      </c>
      <c r="B1058">
        <f>'Site Data'!D1060</f>
        <v>0</v>
      </c>
      <c r="C1058">
        <f>'Site Data'!E1060</f>
        <v>0</v>
      </c>
      <c r="D1058" s="97">
        <f t="shared" si="34"/>
        <v>0</v>
      </c>
      <c r="E1058" s="98" t="str">
        <f t="shared" si="35"/>
        <v>Error</v>
      </c>
    </row>
    <row r="1059" spans="1:5" x14ac:dyDescent="0.25">
      <c r="A1059" s="95">
        <f>'Site Data'!B1061</f>
        <v>0</v>
      </c>
      <c r="B1059">
        <f>'Site Data'!D1061</f>
        <v>0</v>
      </c>
      <c r="C1059">
        <f>'Site Data'!E1061</f>
        <v>0</v>
      </c>
      <c r="D1059" s="97">
        <f t="shared" si="34"/>
        <v>0</v>
      </c>
      <c r="E1059" s="98" t="str">
        <f t="shared" si="35"/>
        <v>Error</v>
      </c>
    </row>
    <row r="1060" spans="1:5" x14ac:dyDescent="0.25">
      <c r="A1060" s="95">
        <f>'Site Data'!B1062</f>
        <v>0</v>
      </c>
      <c r="B1060">
        <f>'Site Data'!D1062</f>
        <v>0</v>
      </c>
      <c r="C1060">
        <f>'Site Data'!E1062</f>
        <v>0</v>
      </c>
      <c r="D1060" s="97">
        <f t="shared" si="34"/>
        <v>0</v>
      </c>
      <c r="E1060" s="98" t="str">
        <f t="shared" si="35"/>
        <v>Error</v>
      </c>
    </row>
    <row r="1061" spans="1:5" x14ac:dyDescent="0.25">
      <c r="A1061" s="95">
        <f>'Site Data'!B1063</f>
        <v>0</v>
      </c>
      <c r="B1061">
        <f>'Site Data'!D1063</f>
        <v>0</v>
      </c>
      <c r="C1061">
        <f>'Site Data'!E1063</f>
        <v>0</v>
      </c>
      <c r="D1061" s="97">
        <f t="shared" si="34"/>
        <v>0</v>
      </c>
      <c r="E1061" s="98" t="str">
        <f t="shared" si="35"/>
        <v>Error</v>
      </c>
    </row>
    <row r="1062" spans="1:5" x14ac:dyDescent="0.25">
      <c r="A1062" s="95">
        <f>'Site Data'!B1064</f>
        <v>0</v>
      </c>
      <c r="B1062">
        <f>'Site Data'!D1064</f>
        <v>0</v>
      </c>
      <c r="C1062">
        <f>'Site Data'!E1064</f>
        <v>0</v>
      </c>
      <c r="D1062" s="97">
        <f t="shared" si="34"/>
        <v>0</v>
      </c>
      <c r="E1062" s="98" t="str">
        <f t="shared" si="35"/>
        <v>Error</v>
      </c>
    </row>
    <row r="1063" spans="1:5" x14ac:dyDescent="0.25">
      <c r="A1063" s="95">
        <f>'Site Data'!B1065</f>
        <v>0</v>
      </c>
      <c r="B1063">
        <f>'Site Data'!D1065</f>
        <v>0</v>
      </c>
      <c r="C1063">
        <f>'Site Data'!E1065</f>
        <v>0</v>
      </c>
      <c r="D1063" s="97">
        <f t="shared" si="34"/>
        <v>0</v>
      </c>
      <c r="E1063" s="98" t="str">
        <f t="shared" si="35"/>
        <v>Error</v>
      </c>
    </row>
    <row r="1064" spans="1:5" x14ac:dyDescent="0.25">
      <c r="A1064" s="95">
        <f>'Site Data'!B1066</f>
        <v>0</v>
      </c>
      <c r="B1064">
        <f>'Site Data'!D1066</f>
        <v>0</v>
      </c>
      <c r="C1064">
        <f>'Site Data'!E1066</f>
        <v>0</v>
      </c>
      <c r="D1064" s="97">
        <f t="shared" si="34"/>
        <v>0</v>
      </c>
      <c r="E1064" s="98" t="str">
        <f t="shared" si="35"/>
        <v>Error</v>
      </c>
    </row>
    <row r="1065" spans="1:5" x14ac:dyDescent="0.25">
      <c r="A1065" s="95">
        <f>'Site Data'!B1067</f>
        <v>0</v>
      </c>
      <c r="B1065">
        <f>'Site Data'!D1067</f>
        <v>0</v>
      </c>
      <c r="C1065">
        <f>'Site Data'!E1067</f>
        <v>0</v>
      </c>
      <c r="D1065" s="97">
        <f t="shared" si="34"/>
        <v>0</v>
      </c>
      <c r="E1065" s="98" t="str">
        <f t="shared" si="35"/>
        <v>Error</v>
      </c>
    </row>
    <row r="1066" spans="1:5" x14ac:dyDescent="0.25">
      <c r="A1066" s="95">
        <f>'Site Data'!B1068</f>
        <v>0</v>
      </c>
      <c r="B1066">
        <f>'Site Data'!D1068</f>
        <v>0</v>
      </c>
      <c r="C1066">
        <f>'Site Data'!E1068</f>
        <v>0</v>
      </c>
      <c r="D1066" s="97">
        <f t="shared" si="34"/>
        <v>0</v>
      </c>
      <c r="E1066" s="98" t="str">
        <f t="shared" si="35"/>
        <v>Error</v>
      </c>
    </row>
    <row r="1067" spans="1:5" x14ac:dyDescent="0.25">
      <c r="A1067" s="95">
        <f>'Site Data'!B1069</f>
        <v>0</v>
      </c>
      <c r="B1067">
        <f>'Site Data'!D1069</f>
        <v>0</v>
      </c>
      <c r="C1067">
        <f>'Site Data'!E1069</f>
        <v>0</v>
      </c>
      <c r="D1067" s="97">
        <f t="shared" si="34"/>
        <v>0</v>
      </c>
      <c r="E1067" s="98" t="str">
        <f t="shared" si="35"/>
        <v>Error</v>
      </c>
    </row>
    <row r="1068" spans="1:5" x14ac:dyDescent="0.25">
      <c r="A1068" s="95">
        <f>'Site Data'!B1070</f>
        <v>0</v>
      </c>
      <c r="B1068">
        <f>'Site Data'!D1070</f>
        <v>0</v>
      </c>
      <c r="C1068">
        <f>'Site Data'!E1070</f>
        <v>0</v>
      </c>
      <c r="D1068" s="97">
        <f t="shared" si="34"/>
        <v>0</v>
      </c>
      <c r="E1068" s="98" t="str">
        <f t="shared" si="35"/>
        <v>Error</v>
      </c>
    </row>
    <row r="1069" spans="1:5" x14ac:dyDescent="0.25">
      <c r="A1069" s="95">
        <f>'Site Data'!B1071</f>
        <v>0</v>
      </c>
      <c r="B1069">
        <f>'Site Data'!D1071</f>
        <v>0</v>
      </c>
      <c r="C1069">
        <f>'Site Data'!E1071</f>
        <v>0</v>
      </c>
      <c r="D1069" s="97">
        <f t="shared" si="34"/>
        <v>0</v>
      </c>
      <c r="E1069" s="98" t="str">
        <f t="shared" si="35"/>
        <v>Error</v>
      </c>
    </row>
    <row r="1070" spans="1:5" x14ac:dyDescent="0.25">
      <c r="A1070" s="95">
        <f>'Site Data'!B1072</f>
        <v>0</v>
      </c>
      <c r="B1070">
        <f>'Site Data'!D1072</f>
        <v>0</v>
      </c>
      <c r="C1070">
        <f>'Site Data'!E1072</f>
        <v>0</v>
      </c>
      <c r="D1070" s="97">
        <f t="shared" si="34"/>
        <v>0</v>
      </c>
      <c r="E1070" s="98" t="str">
        <f t="shared" si="35"/>
        <v>Error</v>
      </c>
    </row>
    <row r="1071" spans="1:5" x14ac:dyDescent="0.25">
      <c r="A1071" s="95">
        <f>'Site Data'!B1073</f>
        <v>0</v>
      </c>
      <c r="B1071">
        <f>'Site Data'!D1073</f>
        <v>0</v>
      </c>
      <c r="C1071">
        <f>'Site Data'!E1073</f>
        <v>0</v>
      </c>
      <c r="D1071" s="97">
        <f t="shared" si="34"/>
        <v>0</v>
      </c>
      <c r="E1071" s="98" t="str">
        <f t="shared" si="35"/>
        <v>Error</v>
      </c>
    </row>
    <row r="1072" spans="1:5" x14ac:dyDescent="0.25">
      <c r="A1072" s="95">
        <f>'Site Data'!B1074</f>
        <v>0</v>
      </c>
      <c r="B1072">
        <f>'Site Data'!D1074</f>
        <v>0</v>
      </c>
      <c r="C1072">
        <f>'Site Data'!E1074</f>
        <v>0</v>
      </c>
      <c r="D1072" s="97">
        <f t="shared" si="34"/>
        <v>0</v>
      </c>
      <c r="E1072" s="98" t="str">
        <f t="shared" si="35"/>
        <v>Error</v>
      </c>
    </row>
    <row r="1073" spans="1:5" x14ac:dyDescent="0.25">
      <c r="A1073" s="95">
        <f>'Site Data'!B1075</f>
        <v>0</v>
      </c>
      <c r="B1073">
        <f>'Site Data'!D1075</f>
        <v>0</v>
      </c>
      <c r="C1073">
        <f>'Site Data'!E1075</f>
        <v>0</v>
      </c>
      <c r="D1073" s="97">
        <f t="shared" si="34"/>
        <v>0</v>
      </c>
      <c r="E1073" s="98" t="str">
        <f t="shared" si="35"/>
        <v>Error</v>
      </c>
    </row>
    <row r="1074" spans="1:5" x14ac:dyDescent="0.25">
      <c r="A1074" s="95">
        <f>'Site Data'!B1076</f>
        <v>0</v>
      </c>
      <c r="B1074">
        <f>'Site Data'!D1076</f>
        <v>0</v>
      </c>
      <c r="C1074">
        <f>'Site Data'!E1076</f>
        <v>0</v>
      </c>
      <c r="D1074" s="97">
        <f t="shared" si="34"/>
        <v>0</v>
      </c>
      <c r="E1074" s="98" t="str">
        <f t="shared" si="35"/>
        <v>Error</v>
      </c>
    </row>
    <row r="1075" spans="1:5" x14ac:dyDescent="0.25">
      <c r="A1075" s="95">
        <f>'Site Data'!B1077</f>
        <v>0</v>
      </c>
      <c r="B1075">
        <f>'Site Data'!D1077</f>
        <v>0</v>
      </c>
      <c r="C1075">
        <f>'Site Data'!E1077</f>
        <v>0</v>
      </c>
      <c r="D1075" s="97">
        <f t="shared" si="34"/>
        <v>0</v>
      </c>
      <c r="E1075" s="98" t="str">
        <f t="shared" si="35"/>
        <v>Error</v>
      </c>
    </row>
    <row r="1076" spans="1:5" x14ac:dyDescent="0.25">
      <c r="A1076" s="95">
        <f>'Site Data'!B1078</f>
        <v>0</v>
      </c>
      <c r="B1076">
        <f>'Site Data'!D1078</f>
        <v>0</v>
      </c>
      <c r="C1076">
        <f>'Site Data'!E1078</f>
        <v>0</v>
      </c>
      <c r="D1076" s="97">
        <f t="shared" si="34"/>
        <v>0</v>
      </c>
      <c r="E1076" s="98" t="str">
        <f t="shared" si="35"/>
        <v>Error</v>
      </c>
    </row>
    <row r="1077" spans="1:5" x14ac:dyDescent="0.25">
      <c r="A1077" s="95">
        <f>'Site Data'!B1079</f>
        <v>0</v>
      </c>
      <c r="B1077">
        <f>'Site Data'!D1079</f>
        <v>0</v>
      </c>
      <c r="C1077">
        <f>'Site Data'!E1079</f>
        <v>0</v>
      </c>
      <c r="D1077" s="97">
        <f t="shared" si="34"/>
        <v>0</v>
      </c>
      <c r="E1077" s="98" t="str">
        <f t="shared" si="35"/>
        <v>Error</v>
      </c>
    </row>
    <row r="1078" spans="1:5" x14ac:dyDescent="0.25">
      <c r="A1078" s="95">
        <f>'Site Data'!B1080</f>
        <v>0</v>
      </c>
      <c r="B1078">
        <f>'Site Data'!D1080</f>
        <v>0</v>
      </c>
      <c r="C1078">
        <f>'Site Data'!E1080</f>
        <v>0</v>
      </c>
      <c r="D1078" s="97">
        <f t="shared" si="34"/>
        <v>0</v>
      </c>
      <c r="E1078" s="98" t="str">
        <f t="shared" si="35"/>
        <v>Error</v>
      </c>
    </row>
    <row r="1079" spans="1:5" x14ac:dyDescent="0.25">
      <c r="A1079" s="95">
        <f>'Site Data'!B1081</f>
        <v>0</v>
      </c>
      <c r="B1079">
        <f>'Site Data'!D1081</f>
        <v>0</v>
      </c>
      <c r="C1079">
        <f>'Site Data'!E1081</f>
        <v>0</v>
      </c>
      <c r="D1079" s="97">
        <f t="shared" si="34"/>
        <v>0</v>
      </c>
      <c r="E1079" s="98" t="str">
        <f t="shared" si="35"/>
        <v>Error</v>
      </c>
    </row>
    <row r="1080" spans="1:5" x14ac:dyDescent="0.25">
      <c r="A1080" s="95">
        <f>'Site Data'!B1082</f>
        <v>0</v>
      </c>
      <c r="B1080">
        <f>'Site Data'!D1082</f>
        <v>0</v>
      </c>
      <c r="C1080">
        <f>'Site Data'!E1082</f>
        <v>0</v>
      </c>
      <c r="D1080" s="97">
        <f t="shared" si="34"/>
        <v>0</v>
      </c>
      <c r="E1080" s="98" t="str">
        <f t="shared" si="35"/>
        <v>Error</v>
      </c>
    </row>
    <row r="1081" spans="1:5" x14ac:dyDescent="0.25">
      <c r="A1081" s="95">
        <f>'Site Data'!B1083</f>
        <v>0</v>
      </c>
      <c r="B1081">
        <f>'Site Data'!D1083</f>
        <v>0</v>
      </c>
      <c r="C1081">
        <f>'Site Data'!E1083</f>
        <v>0</v>
      </c>
      <c r="D1081" s="97">
        <f t="shared" si="34"/>
        <v>0</v>
      </c>
      <c r="E1081" s="98" t="str">
        <f t="shared" si="35"/>
        <v>Error</v>
      </c>
    </row>
    <row r="1082" spans="1:5" x14ac:dyDescent="0.25">
      <c r="A1082" s="95">
        <f>'Site Data'!B1084</f>
        <v>0</v>
      </c>
      <c r="B1082">
        <f>'Site Data'!D1084</f>
        <v>0</v>
      </c>
      <c r="C1082">
        <f>'Site Data'!E1084</f>
        <v>0</v>
      </c>
      <c r="D1082" s="97">
        <f t="shared" si="34"/>
        <v>0</v>
      </c>
      <c r="E1082" s="98" t="str">
        <f t="shared" si="35"/>
        <v>Error</v>
      </c>
    </row>
    <row r="1083" spans="1:5" x14ac:dyDescent="0.25">
      <c r="A1083" s="95">
        <f>'Site Data'!B1085</f>
        <v>0</v>
      </c>
      <c r="B1083">
        <f>'Site Data'!D1085</f>
        <v>0</v>
      </c>
      <c r="C1083">
        <f>'Site Data'!E1085</f>
        <v>0</v>
      </c>
      <c r="D1083" s="97">
        <f t="shared" si="34"/>
        <v>0</v>
      </c>
      <c r="E1083" s="98" t="str">
        <f t="shared" si="35"/>
        <v>Error</v>
      </c>
    </row>
    <row r="1084" spans="1:5" x14ac:dyDescent="0.25">
      <c r="A1084" s="95">
        <f>'Site Data'!B1086</f>
        <v>0</v>
      </c>
      <c r="B1084">
        <f>'Site Data'!D1086</f>
        <v>0</v>
      </c>
      <c r="C1084">
        <f>'Site Data'!E1086</f>
        <v>0</v>
      </c>
      <c r="D1084" s="97">
        <f t="shared" si="34"/>
        <v>0</v>
      </c>
      <c r="E1084" s="98" t="str">
        <f t="shared" si="35"/>
        <v>Error</v>
      </c>
    </row>
    <row r="1085" spans="1:5" x14ac:dyDescent="0.25">
      <c r="A1085" s="95">
        <f>'Site Data'!B1087</f>
        <v>0</v>
      </c>
      <c r="B1085">
        <f>'Site Data'!D1087</f>
        <v>0</v>
      </c>
      <c r="C1085">
        <f>'Site Data'!E1087</f>
        <v>0</v>
      </c>
      <c r="D1085" s="97">
        <f t="shared" si="34"/>
        <v>0</v>
      </c>
      <c r="E1085" s="98" t="str">
        <f t="shared" si="35"/>
        <v>Error</v>
      </c>
    </row>
    <row r="1086" spans="1:5" x14ac:dyDescent="0.25">
      <c r="A1086" s="95">
        <f>'Site Data'!B1088</f>
        <v>0</v>
      </c>
      <c r="B1086">
        <f>'Site Data'!D1088</f>
        <v>0</v>
      </c>
      <c r="C1086">
        <f>'Site Data'!E1088</f>
        <v>0</v>
      </c>
      <c r="D1086" s="97">
        <f t="shared" si="34"/>
        <v>0</v>
      </c>
      <c r="E1086" s="98" t="str">
        <f t="shared" si="35"/>
        <v>Error</v>
      </c>
    </row>
    <row r="1087" spans="1:5" x14ac:dyDescent="0.25">
      <c r="A1087" s="95">
        <f>'Site Data'!B1089</f>
        <v>0</v>
      </c>
      <c r="B1087">
        <f>'Site Data'!D1089</f>
        <v>0</v>
      </c>
      <c r="C1087">
        <f>'Site Data'!E1089</f>
        <v>0</v>
      </c>
      <c r="D1087" s="97">
        <f t="shared" si="34"/>
        <v>0</v>
      </c>
      <c r="E1087" s="98" t="str">
        <f t="shared" si="35"/>
        <v>Error</v>
      </c>
    </row>
    <row r="1088" spans="1:5" x14ac:dyDescent="0.25">
      <c r="A1088" s="95">
        <f>'Site Data'!B1090</f>
        <v>0</v>
      </c>
      <c r="B1088">
        <f>'Site Data'!D1090</f>
        <v>0</v>
      </c>
      <c r="C1088">
        <f>'Site Data'!E1090</f>
        <v>0</v>
      </c>
      <c r="D1088" s="97">
        <f t="shared" si="34"/>
        <v>0</v>
      </c>
      <c r="E1088" s="98" t="str">
        <f t="shared" si="35"/>
        <v>Error</v>
      </c>
    </row>
    <row r="1089" spans="1:5" x14ac:dyDescent="0.25">
      <c r="A1089" s="95">
        <f>'Site Data'!B1091</f>
        <v>0</v>
      </c>
      <c r="B1089">
        <f>'Site Data'!D1091</f>
        <v>0</v>
      </c>
      <c r="C1089">
        <f>'Site Data'!E1091</f>
        <v>0</v>
      </c>
      <c r="D1089" s="97">
        <f t="shared" si="34"/>
        <v>0</v>
      </c>
      <c r="E1089" s="98" t="str">
        <f t="shared" si="35"/>
        <v>Error</v>
      </c>
    </row>
    <row r="1090" spans="1:5" x14ac:dyDescent="0.25">
      <c r="A1090" s="95">
        <f>'Site Data'!B1092</f>
        <v>0</v>
      </c>
      <c r="B1090">
        <f>'Site Data'!D1092</f>
        <v>0</v>
      </c>
      <c r="C1090">
        <f>'Site Data'!E1092</f>
        <v>0</v>
      </c>
      <c r="D1090" s="97">
        <f t="shared" ref="D1090:D1153" si="36">B1090-C1090</f>
        <v>0</v>
      </c>
      <c r="E1090" s="98" t="str">
        <f t="shared" ref="E1090:E1153" si="37">IF(AND(D1090 &gt;= 50, D1090 &lt;= 60), "Valid", "Error")</f>
        <v>Error</v>
      </c>
    </row>
    <row r="1091" spans="1:5" x14ac:dyDescent="0.25">
      <c r="A1091" s="95">
        <f>'Site Data'!B1093</f>
        <v>0</v>
      </c>
      <c r="B1091">
        <f>'Site Data'!D1093</f>
        <v>0</v>
      </c>
      <c r="C1091">
        <f>'Site Data'!E1093</f>
        <v>0</v>
      </c>
      <c r="D1091" s="97">
        <f t="shared" si="36"/>
        <v>0</v>
      </c>
      <c r="E1091" s="98" t="str">
        <f t="shared" si="37"/>
        <v>Error</v>
      </c>
    </row>
    <row r="1092" spans="1:5" x14ac:dyDescent="0.25">
      <c r="A1092" s="95">
        <f>'Site Data'!B1094</f>
        <v>0</v>
      </c>
      <c r="B1092">
        <f>'Site Data'!D1094</f>
        <v>0</v>
      </c>
      <c r="C1092">
        <f>'Site Data'!E1094</f>
        <v>0</v>
      </c>
      <c r="D1092" s="97">
        <f t="shared" si="36"/>
        <v>0</v>
      </c>
      <c r="E1092" s="98" t="str">
        <f t="shared" si="37"/>
        <v>Error</v>
      </c>
    </row>
    <row r="1093" spans="1:5" x14ac:dyDescent="0.25">
      <c r="A1093" s="95">
        <f>'Site Data'!B1095</f>
        <v>0</v>
      </c>
      <c r="B1093">
        <f>'Site Data'!D1095</f>
        <v>0</v>
      </c>
      <c r="C1093">
        <f>'Site Data'!E1095</f>
        <v>0</v>
      </c>
      <c r="D1093" s="97">
        <f t="shared" si="36"/>
        <v>0</v>
      </c>
      <c r="E1093" s="98" t="str">
        <f t="shared" si="37"/>
        <v>Error</v>
      </c>
    </row>
    <row r="1094" spans="1:5" x14ac:dyDescent="0.25">
      <c r="A1094" s="95">
        <f>'Site Data'!B1096</f>
        <v>0</v>
      </c>
      <c r="B1094">
        <f>'Site Data'!D1096</f>
        <v>0</v>
      </c>
      <c r="C1094">
        <f>'Site Data'!E1096</f>
        <v>0</v>
      </c>
      <c r="D1094" s="97">
        <f t="shared" si="36"/>
        <v>0</v>
      </c>
      <c r="E1094" s="98" t="str">
        <f t="shared" si="37"/>
        <v>Error</v>
      </c>
    </row>
    <row r="1095" spans="1:5" x14ac:dyDescent="0.25">
      <c r="A1095" s="95">
        <f>'Site Data'!B1097</f>
        <v>0</v>
      </c>
      <c r="B1095">
        <f>'Site Data'!D1097</f>
        <v>0</v>
      </c>
      <c r="C1095">
        <f>'Site Data'!E1097</f>
        <v>0</v>
      </c>
      <c r="D1095" s="97">
        <f t="shared" si="36"/>
        <v>0</v>
      </c>
      <c r="E1095" s="98" t="str">
        <f t="shared" si="37"/>
        <v>Error</v>
      </c>
    </row>
    <row r="1096" spans="1:5" x14ac:dyDescent="0.25">
      <c r="A1096" s="95">
        <f>'Site Data'!B1098</f>
        <v>0</v>
      </c>
      <c r="B1096">
        <f>'Site Data'!D1098</f>
        <v>0</v>
      </c>
      <c r="C1096">
        <f>'Site Data'!E1098</f>
        <v>0</v>
      </c>
      <c r="D1096" s="97">
        <f t="shared" si="36"/>
        <v>0</v>
      </c>
      <c r="E1096" s="98" t="str">
        <f t="shared" si="37"/>
        <v>Error</v>
      </c>
    </row>
    <row r="1097" spans="1:5" x14ac:dyDescent="0.25">
      <c r="A1097" s="95">
        <f>'Site Data'!B1099</f>
        <v>0</v>
      </c>
      <c r="B1097">
        <f>'Site Data'!D1099</f>
        <v>0</v>
      </c>
      <c r="C1097">
        <f>'Site Data'!E1099</f>
        <v>0</v>
      </c>
      <c r="D1097" s="97">
        <f t="shared" si="36"/>
        <v>0</v>
      </c>
      <c r="E1097" s="98" t="str">
        <f t="shared" si="37"/>
        <v>Error</v>
      </c>
    </row>
    <row r="1098" spans="1:5" x14ac:dyDescent="0.25">
      <c r="A1098" s="95">
        <f>'Site Data'!B1100</f>
        <v>0</v>
      </c>
      <c r="B1098">
        <f>'Site Data'!D1100</f>
        <v>0</v>
      </c>
      <c r="C1098">
        <f>'Site Data'!E1100</f>
        <v>0</v>
      </c>
      <c r="D1098" s="97">
        <f t="shared" si="36"/>
        <v>0</v>
      </c>
      <c r="E1098" s="98" t="str">
        <f t="shared" si="37"/>
        <v>Error</v>
      </c>
    </row>
    <row r="1099" spans="1:5" x14ac:dyDescent="0.25">
      <c r="A1099" s="95">
        <f>'Site Data'!B1101</f>
        <v>0</v>
      </c>
      <c r="B1099">
        <f>'Site Data'!D1101</f>
        <v>0</v>
      </c>
      <c r="C1099">
        <f>'Site Data'!E1101</f>
        <v>0</v>
      </c>
      <c r="D1099" s="97">
        <f t="shared" si="36"/>
        <v>0</v>
      </c>
      <c r="E1099" s="98" t="str">
        <f t="shared" si="37"/>
        <v>Error</v>
      </c>
    </row>
    <row r="1100" spans="1:5" x14ac:dyDescent="0.25">
      <c r="A1100" s="95">
        <f>'Site Data'!B1102</f>
        <v>0</v>
      </c>
      <c r="B1100">
        <f>'Site Data'!D1102</f>
        <v>0</v>
      </c>
      <c r="C1100">
        <f>'Site Data'!E1102</f>
        <v>0</v>
      </c>
      <c r="D1100" s="97">
        <f t="shared" si="36"/>
        <v>0</v>
      </c>
      <c r="E1100" s="98" t="str">
        <f t="shared" si="37"/>
        <v>Error</v>
      </c>
    </row>
    <row r="1101" spans="1:5" x14ac:dyDescent="0.25">
      <c r="A1101" s="95">
        <f>'Site Data'!B1103</f>
        <v>0</v>
      </c>
      <c r="B1101">
        <f>'Site Data'!D1103</f>
        <v>0</v>
      </c>
      <c r="C1101">
        <f>'Site Data'!E1103</f>
        <v>0</v>
      </c>
      <c r="D1101" s="97">
        <f t="shared" si="36"/>
        <v>0</v>
      </c>
      <c r="E1101" s="98" t="str">
        <f t="shared" si="37"/>
        <v>Error</v>
      </c>
    </row>
    <row r="1102" spans="1:5" x14ac:dyDescent="0.25">
      <c r="A1102" s="95">
        <f>'Site Data'!B1104</f>
        <v>0</v>
      </c>
      <c r="B1102">
        <f>'Site Data'!D1104</f>
        <v>0</v>
      </c>
      <c r="C1102">
        <f>'Site Data'!E1104</f>
        <v>0</v>
      </c>
      <c r="D1102" s="97">
        <f t="shared" si="36"/>
        <v>0</v>
      </c>
      <c r="E1102" s="98" t="str">
        <f t="shared" si="37"/>
        <v>Error</v>
      </c>
    </row>
    <row r="1103" spans="1:5" x14ac:dyDescent="0.25">
      <c r="A1103" s="95">
        <f>'Site Data'!B1105</f>
        <v>0</v>
      </c>
      <c r="B1103">
        <f>'Site Data'!D1105</f>
        <v>0</v>
      </c>
      <c r="C1103">
        <f>'Site Data'!E1105</f>
        <v>0</v>
      </c>
      <c r="D1103" s="97">
        <f t="shared" si="36"/>
        <v>0</v>
      </c>
      <c r="E1103" s="98" t="str">
        <f t="shared" si="37"/>
        <v>Error</v>
      </c>
    </row>
    <row r="1104" spans="1:5" x14ac:dyDescent="0.25">
      <c r="A1104" s="95">
        <f>'Site Data'!B1106</f>
        <v>0</v>
      </c>
      <c r="B1104">
        <f>'Site Data'!D1106</f>
        <v>0</v>
      </c>
      <c r="C1104">
        <f>'Site Data'!E1106</f>
        <v>0</v>
      </c>
      <c r="D1104" s="97">
        <f t="shared" si="36"/>
        <v>0</v>
      </c>
      <c r="E1104" s="98" t="str">
        <f t="shared" si="37"/>
        <v>Error</v>
      </c>
    </row>
    <row r="1105" spans="1:5" x14ac:dyDescent="0.25">
      <c r="A1105" s="95">
        <f>'Site Data'!B1107</f>
        <v>0</v>
      </c>
      <c r="B1105">
        <f>'Site Data'!D1107</f>
        <v>0</v>
      </c>
      <c r="C1105">
        <f>'Site Data'!E1107</f>
        <v>0</v>
      </c>
      <c r="D1105" s="97">
        <f t="shared" si="36"/>
        <v>0</v>
      </c>
      <c r="E1105" s="98" t="str">
        <f t="shared" si="37"/>
        <v>Error</v>
      </c>
    </row>
    <row r="1106" spans="1:5" x14ac:dyDescent="0.25">
      <c r="A1106" s="95">
        <f>'Site Data'!B1108</f>
        <v>0</v>
      </c>
      <c r="B1106">
        <f>'Site Data'!D1108</f>
        <v>0</v>
      </c>
      <c r="C1106">
        <f>'Site Data'!E1108</f>
        <v>0</v>
      </c>
      <c r="D1106" s="97">
        <f t="shared" si="36"/>
        <v>0</v>
      </c>
      <c r="E1106" s="98" t="str">
        <f t="shared" si="37"/>
        <v>Error</v>
      </c>
    </row>
    <row r="1107" spans="1:5" x14ac:dyDescent="0.25">
      <c r="A1107" s="95">
        <f>'Site Data'!B1109</f>
        <v>0</v>
      </c>
      <c r="B1107">
        <f>'Site Data'!D1109</f>
        <v>0</v>
      </c>
      <c r="C1107">
        <f>'Site Data'!E1109</f>
        <v>0</v>
      </c>
      <c r="D1107" s="97">
        <f t="shared" si="36"/>
        <v>0</v>
      </c>
      <c r="E1107" s="98" t="str">
        <f t="shared" si="37"/>
        <v>Error</v>
      </c>
    </row>
    <row r="1108" spans="1:5" x14ac:dyDescent="0.25">
      <c r="A1108" s="95">
        <f>'Site Data'!B1110</f>
        <v>0</v>
      </c>
      <c r="B1108">
        <f>'Site Data'!D1110</f>
        <v>0</v>
      </c>
      <c r="C1108">
        <f>'Site Data'!E1110</f>
        <v>0</v>
      </c>
      <c r="D1108" s="97">
        <f t="shared" si="36"/>
        <v>0</v>
      </c>
      <c r="E1108" s="98" t="str">
        <f t="shared" si="37"/>
        <v>Error</v>
      </c>
    </row>
    <row r="1109" spans="1:5" x14ac:dyDescent="0.25">
      <c r="A1109" s="95">
        <f>'Site Data'!B1111</f>
        <v>0</v>
      </c>
      <c r="B1109">
        <f>'Site Data'!D1111</f>
        <v>0</v>
      </c>
      <c r="C1109">
        <f>'Site Data'!E1111</f>
        <v>0</v>
      </c>
      <c r="D1109" s="97">
        <f t="shared" si="36"/>
        <v>0</v>
      </c>
      <c r="E1109" s="98" t="str">
        <f t="shared" si="37"/>
        <v>Error</v>
      </c>
    </row>
    <row r="1110" spans="1:5" x14ac:dyDescent="0.25">
      <c r="A1110" s="95">
        <f>'Site Data'!B1112</f>
        <v>0</v>
      </c>
      <c r="B1110">
        <f>'Site Data'!D1112</f>
        <v>0</v>
      </c>
      <c r="C1110">
        <f>'Site Data'!E1112</f>
        <v>0</v>
      </c>
      <c r="D1110" s="97">
        <f t="shared" si="36"/>
        <v>0</v>
      </c>
      <c r="E1110" s="98" t="str">
        <f t="shared" si="37"/>
        <v>Error</v>
      </c>
    </row>
    <row r="1111" spans="1:5" x14ac:dyDescent="0.25">
      <c r="A1111" s="95">
        <f>'Site Data'!B1113</f>
        <v>0</v>
      </c>
      <c r="B1111">
        <f>'Site Data'!D1113</f>
        <v>0</v>
      </c>
      <c r="C1111">
        <f>'Site Data'!E1113</f>
        <v>0</v>
      </c>
      <c r="D1111" s="97">
        <f t="shared" si="36"/>
        <v>0</v>
      </c>
      <c r="E1111" s="98" t="str">
        <f t="shared" si="37"/>
        <v>Error</v>
      </c>
    </row>
    <row r="1112" spans="1:5" x14ac:dyDescent="0.25">
      <c r="A1112" s="95">
        <f>'Site Data'!B1114</f>
        <v>0</v>
      </c>
      <c r="B1112">
        <f>'Site Data'!D1114</f>
        <v>0</v>
      </c>
      <c r="C1112">
        <f>'Site Data'!E1114</f>
        <v>0</v>
      </c>
      <c r="D1112" s="97">
        <f t="shared" si="36"/>
        <v>0</v>
      </c>
      <c r="E1112" s="98" t="str">
        <f t="shared" si="37"/>
        <v>Error</v>
      </c>
    </row>
    <row r="1113" spans="1:5" x14ac:dyDescent="0.25">
      <c r="A1113" s="95">
        <f>'Site Data'!B1115</f>
        <v>0</v>
      </c>
      <c r="B1113">
        <f>'Site Data'!D1115</f>
        <v>0</v>
      </c>
      <c r="C1113">
        <f>'Site Data'!E1115</f>
        <v>0</v>
      </c>
      <c r="D1113" s="97">
        <f t="shared" si="36"/>
        <v>0</v>
      </c>
      <c r="E1113" s="98" t="str">
        <f t="shared" si="37"/>
        <v>Error</v>
      </c>
    </row>
    <row r="1114" spans="1:5" x14ac:dyDescent="0.25">
      <c r="A1114" s="95">
        <f>'Site Data'!B1116</f>
        <v>0</v>
      </c>
      <c r="B1114">
        <f>'Site Data'!D1116</f>
        <v>0</v>
      </c>
      <c r="C1114">
        <f>'Site Data'!E1116</f>
        <v>0</v>
      </c>
      <c r="D1114" s="97">
        <f t="shared" si="36"/>
        <v>0</v>
      </c>
      <c r="E1114" s="98" t="str">
        <f t="shared" si="37"/>
        <v>Error</v>
      </c>
    </row>
    <row r="1115" spans="1:5" x14ac:dyDescent="0.25">
      <c r="A1115" s="95">
        <f>'Site Data'!B1117</f>
        <v>0</v>
      </c>
      <c r="B1115">
        <f>'Site Data'!D1117</f>
        <v>0</v>
      </c>
      <c r="C1115">
        <f>'Site Data'!E1117</f>
        <v>0</v>
      </c>
      <c r="D1115" s="97">
        <f t="shared" si="36"/>
        <v>0</v>
      </c>
      <c r="E1115" s="98" t="str">
        <f t="shared" si="37"/>
        <v>Error</v>
      </c>
    </row>
    <row r="1116" spans="1:5" x14ac:dyDescent="0.25">
      <c r="A1116" s="95">
        <f>'Site Data'!B1118</f>
        <v>0</v>
      </c>
      <c r="B1116">
        <f>'Site Data'!D1118</f>
        <v>0</v>
      </c>
      <c r="C1116">
        <f>'Site Data'!E1118</f>
        <v>0</v>
      </c>
      <c r="D1116" s="97">
        <f t="shared" si="36"/>
        <v>0</v>
      </c>
      <c r="E1116" s="98" t="str">
        <f t="shared" si="37"/>
        <v>Error</v>
      </c>
    </row>
    <row r="1117" spans="1:5" x14ac:dyDescent="0.25">
      <c r="A1117" s="95">
        <f>'Site Data'!B1119</f>
        <v>0</v>
      </c>
      <c r="B1117">
        <f>'Site Data'!D1119</f>
        <v>0</v>
      </c>
      <c r="C1117">
        <f>'Site Data'!E1119</f>
        <v>0</v>
      </c>
      <c r="D1117" s="97">
        <f t="shared" si="36"/>
        <v>0</v>
      </c>
      <c r="E1117" s="98" t="str">
        <f t="shared" si="37"/>
        <v>Error</v>
      </c>
    </row>
    <row r="1118" spans="1:5" x14ac:dyDescent="0.25">
      <c r="A1118" s="95">
        <f>'Site Data'!B1120</f>
        <v>0</v>
      </c>
      <c r="B1118">
        <f>'Site Data'!D1120</f>
        <v>0</v>
      </c>
      <c r="C1118">
        <f>'Site Data'!E1120</f>
        <v>0</v>
      </c>
      <c r="D1118" s="97">
        <f t="shared" si="36"/>
        <v>0</v>
      </c>
      <c r="E1118" s="98" t="str">
        <f t="shared" si="37"/>
        <v>Error</v>
      </c>
    </row>
    <row r="1119" spans="1:5" x14ac:dyDescent="0.25">
      <c r="A1119" s="95">
        <f>'Site Data'!B1121</f>
        <v>0</v>
      </c>
      <c r="B1119">
        <f>'Site Data'!D1121</f>
        <v>0</v>
      </c>
      <c r="C1119">
        <f>'Site Data'!E1121</f>
        <v>0</v>
      </c>
      <c r="D1119" s="97">
        <f t="shared" si="36"/>
        <v>0</v>
      </c>
      <c r="E1119" s="98" t="str">
        <f t="shared" si="37"/>
        <v>Error</v>
      </c>
    </row>
    <row r="1120" spans="1:5" x14ac:dyDescent="0.25">
      <c r="A1120" s="95">
        <f>'Site Data'!B1122</f>
        <v>0</v>
      </c>
      <c r="B1120">
        <f>'Site Data'!D1122</f>
        <v>0</v>
      </c>
      <c r="C1120">
        <f>'Site Data'!E1122</f>
        <v>0</v>
      </c>
      <c r="D1120" s="97">
        <f t="shared" si="36"/>
        <v>0</v>
      </c>
      <c r="E1120" s="98" t="str">
        <f t="shared" si="37"/>
        <v>Error</v>
      </c>
    </row>
    <row r="1121" spans="1:5" x14ac:dyDescent="0.25">
      <c r="A1121" s="95">
        <f>'Site Data'!B1123</f>
        <v>0</v>
      </c>
      <c r="B1121">
        <f>'Site Data'!D1123</f>
        <v>0</v>
      </c>
      <c r="C1121">
        <f>'Site Data'!E1123</f>
        <v>0</v>
      </c>
      <c r="D1121" s="97">
        <f t="shared" si="36"/>
        <v>0</v>
      </c>
      <c r="E1121" s="98" t="str">
        <f t="shared" si="37"/>
        <v>Error</v>
      </c>
    </row>
    <row r="1122" spans="1:5" x14ac:dyDescent="0.25">
      <c r="A1122" s="95">
        <f>'Site Data'!B1124</f>
        <v>0</v>
      </c>
      <c r="B1122">
        <f>'Site Data'!D1124</f>
        <v>0</v>
      </c>
      <c r="C1122">
        <f>'Site Data'!E1124</f>
        <v>0</v>
      </c>
      <c r="D1122" s="97">
        <f t="shared" si="36"/>
        <v>0</v>
      </c>
      <c r="E1122" s="98" t="str">
        <f t="shared" si="37"/>
        <v>Error</v>
      </c>
    </row>
    <row r="1123" spans="1:5" x14ac:dyDescent="0.25">
      <c r="A1123" s="95">
        <f>'Site Data'!B1125</f>
        <v>0</v>
      </c>
      <c r="B1123">
        <f>'Site Data'!D1125</f>
        <v>0</v>
      </c>
      <c r="C1123">
        <f>'Site Data'!E1125</f>
        <v>0</v>
      </c>
      <c r="D1123" s="97">
        <f t="shared" si="36"/>
        <v>0</v>
      </c>
      <c r="E1123" s="98" t="str">
        <f t="shared" si="37"/>
        <v>Error</v>
      </c>
    </row>
    <row r="1124" spans="1:5" x14ac:dyDescent="0.25">
      <c r="A1124" s="95">
        <f>'Site Data'!B1126</f>
        <v>0</v>
      </c>
      <c r="B1124">
        <f>'Site Data'!D1126</f>
        <v>0</v>
      </c>
      <c r="C1124">
        <f>'Site Data'!E1126</f>
        <v>0</v>
      </c>
      <c r="D1124" s="97">
        <f t="shared" si="36"/>
        <v>0</v>
      </c>
      <c r="E1124" s="98" t="str">
        <f t="shared" si="37"/>
        <v>Error</v>
      </c>
    </row>
    <row r="1125" spans="1:5" x14ac:dyDescent="0.25">
      <c r="A1125" s="95">
        <f>'Site Data'!B1127</f>
        <v>0</v>
      </c>
      <c r="B1125">
        <f>'Site Data'!D1127</f>
        <v>0</v>
      </c>
      <c r="C1125">
        <f>'Site Data'!E1127</f>
        <v>0</v>
      </c>
      <c r="D1125" s="97">
        <f t="shared" si="36"/>
        <v>0</v>
      </c>
      <c r="E1125" s="98" t="str">
        <f t="shared" si="37"/>
        <v>Error</v>
      </c>
    </row>
    <row r="1126" spans="1:5" x14ac:dyDescent="0.25">
      <c r="A1126" s="95">
        <f>'Site Data'!B1128</f>
        <v>0</v>
      </c>
      <c r="B1126">
        <f>'Site Data'!D1128</f>
        <v>0</v>
      </c>
      <c r="C1126">
        <f>'Site Data'!E1128</f>
        <v>0</v>
      </c>
      <c r="D1126" s="97">
        <f t="shared" si="36"/>
        <v>0</v>
      </c>
      <c r="E1126" s="98" t="str">
        <f t="shared" si="37"/>
        <v>Error</v>
      </c>
    </row>
    <row r="1127" spans="1:5" x14ac:dyDescent="0.25">
      <c r="A1127" s="95">
        <f>'Site Data'!B1129</f>
        <v>0</v>
      </c>
      <c r="B1127">
        <f>'Site Data'!D1129</f>
        <v>0</v>
      </c>
      <c r="C1127">
        <f>'Site Data'!E1129</f>
        <v>0</v>
      </c>
      <c r="D1127" s="97">
        <f t="shared" si="36"/>
        <v>0</v>
      </c>
      <c r="E1127" s="98" t="str">
        <f t="shared" si="37"/>
        <v>Error</v>
      </c>
    </row>
    <row r="1128" spans="1:5" x14ac:dyDescent="0.25">
      <c r="A1128" s="95">
        <f>'Site Data'!B1130</f>
        <v>0</v>
      </c>
      <c r="B1128">
        <f>'Site Data'!D1130</f>
        <v>0</v>
      </c>
      <c r="C1128">
        <f>'Site Data'!E1130</f>
        <v>0</v>
      </c>
      <c r="D1128" s="97">
        <f t="shared" si="36"/>
        <v>0</v>
      </c>
      <c r="E1128" s="98" t="str">
        <f t="shared" si="37"/>
        <v>Error</v>
      </c>
    </row>
    <row r="1129" spans="1:5" x14ac:dyDescent="0.25">
      <c r="A1129" s="95">
        <f>'Site Data'!B1131</f>
        <v>0</v>
      </c>
      <c r="B1129">
        <f>'Site Data'!D1131</f>
        <v>0</v>
      </c>
      <c r="C1129">
        <f>'Site Data'!E1131</f>
        <v>0</v>
      </c>
      <c r="D1129" s="97">
        <f t="shared" si="36"/>
        <v>0</v>
      </c>
      <c r="E1129" s="98" t="str">
        <f t="shared" si="37"/>
        <v>Error</v>
      </c>
    </row>
    <row r="1130" spans="1:5" x14ac:dyDescent="0.25">
      <c r="A1130" s="95">
        <f>'Site Data'!B1132</f>
        <v>0</v>
      </c>
      <c r="B1130">
        <f>'Site Data'!D1132</f>
        <v>0</v>
      </c>
      <c r="C1130">
        <f>'Site Data'!E1132</f>
        <v>0</v>
      </c>
      <c r="D1130" s="97">
        <f t="shared" si="36"/>
        <v>0</v>
      </c>
      <c r="E1130" s="98" t="str">
        <f t="shared" si="37"/>
        <v>Error</v>
      </c>
    </row>
    <row r="1131" spans="1:5" x14ac:dyDescent="0.25">
      <c r="A1131" s="95">
        <f>'Site Data'!B1133</f>
        <v>0</v>
      </c>
      <c r="B1131">
        <f>'Site Data'!D1133</f>
        <v>0</v>
      </c>
      <c r="C1131">
        <f>'Site Data'!E1133</f>
        <v>0</v>
      </c>
      <c r="D1131" s="97">
        <f t="shared" si="36"/>
        <v>0</v>
      </c>
      <c r="E1131" s="98" t="str">
        <f t="shared" si="37"/>
        <v>Error</v>
      </c>
    </row>
    <row r="1132" spans="1:5" x14ac:dyDescent="0.25">
      <c r="A1132" s="95">
        <f>'Site Data'!B1134</f>
        <v>0</v>
      </c>
      <c r="B1132">
        <f>'Site Data'!D1134</f>
        <v>0</v>
      </c>
      <c r="C1132">
        <f>'Site Data'!E1134</f>
        <v>0</v>
      </c>
      <c r="D1132" s="97">
        <f t="shared" si="36"/>
        <v>0</v>
      </c>
      <c r="E1132" s="98" t="str">
        <f t="shared" si="37"/>
        <v>Error</v>
      </c>
    </row>
    <row r="1133" spans="1:5" x14ac:dyDescent="0.25">
      <c r="A1133" s="95">
        <f>'Site Data'!B1135</f>
        <v>0</v>
      </c>
      <c r="B1133">
        <f>'Site Data'!D1135</f>
        <v>0</v>
      </c>
      <c r="C1133">
        <f>'Site Data'!E1135</f>
        <v>0</v>
      </c>
      <c r="D1133" s="97">
        <f t="shared" si="36"/>
        <v>0</v>
      </c>
      <c r="E1133" s="98" t="str">
        <f t="shared" si="37"/>
        <v>Error</v>
      </c>
    </row>
    <row r="1134" spans="1:5" x14ac:dyDescent="0.25">
      <c r="A1134" s="95">
        <f>'Site Data'!B1136</f>
        <v>0</v>
      </c>
      <c r="B1134">
        <f>'Site Data'!D1136</f>
        <v>0</v>
      </c>
      <c r="C1134">
        <f>'Site Data'!E1136</f>
        <v>0</v>
      </c>
      <c r="D1134" s="97">
        <f t="shared" si="36"/>
        <v>0</v>
      </c>
      <c r="E1134" s="98" t="str">
        <f t="shared" si="37"/>
        <v>Error</v>
      </c>
    </row>
    <row r="1135" spans="1:5" x14ac:dyDescent="0.25">
      <c r="A1135" s="95">
        <f>'Site Data'!B1137</f>
        <v>0</v>
      </c>
      <c r="B1135">
        <f>'Site Data'!D1137</f>
        <v>0</v>
      </c>
      <c r="C1135">
        <f>'Site Data'!E1137</f>
        <v>0</v>
      </c>
      <c r="D1135" s="97">
        <f t="shared" si="36"/>
        <v>0</v>
      </c>
      <c r="E1135" s="98" t="str">
        <f t="shared" si="37"/>
        <v>Error</v>
      </c>
    </row>
    <row r="1136" spans="1:5" x14ac:dyDescent="0.25">
      <c r="A1136" s="95">
        <f>'Site Data'!B1138</f>
        <v>0</v>
      </c>
      <c r="B1136">
        <f>'Site Data'!D1138</f>
        <v>0</v>
      </c>
      <c r="C1136">
        <f>'Site Data'!E1138</f>
        <v>0</v>
      </c>
      <c r="D1136" s="97">
        <f t="shared" si="36"/>
        <v>0</v>
      </c>
      <c r="E1136" s="98" t="str">
        <f t="shared" si="37"/>
        <v>Error</v>
      </c>
    </row>
    <row r="1137" spans="1:5" x14ac:dyDescent="0.25">
      <c r="A1137" s="95">
        <f>'Site Data'!B1139</f>
        <v>0</v>
      </c>
      <c r="B1137">
        <f>'Site Data'!D1139</f>
        <v>0</v>
      </c>
      <c r="C1137">
        <f>'Site Data'!E1139</f>
        <v>0</v>
      </c>
      <c r="D1137" s="97">
        <f t="shared" si="36"/>
        <v>0</v>
      </c>
      <c r="E1137" s="98" t="str">
        <f t="shared" si="37"/>
        <v>Error</v>
      </c>
    </row>
    <row r="1138" spans="1:5" x14ac:dyDescent="0.25">
      <c r="A1138" s="95">
        <f>'Site Data'!B1140</f>
        <v>0</v>
      </c>
      <c r="B1138">
        <f>'Site Data'!D1140</f>
        <v>0</v>
      </c>
      <c r="C1138">
        <f>'Site Data'!E1140</f>
        <v>0</v>
      </c>
      <c r="D1138" s="97">
        <f t="shared" si="36"/>
        <v>0</v>
      </c>
      <c r="E1138" s="98" t="str">
        <f t="shared" si="37"/>
        <v>Error</v>
      </c>
    </row>
    <row r="1139" spans="1:5" x14ac:dyDescent="0.25">
      <c r="A1139" s="95">
        <f>'Site Data'!B1141</f>
        <v>0</v>
      </c>
      <c r="B1139">
        <f>'Site Data'!D1141</f>
        <v>0</v>
      </c>
      <c r="C1139">
        <f>'Site Data'!E1141</f>
        <v>0</v>
      </c>
      <c r="D1139" s="97">
        <f t="shared" si="36"/>
        <v>0</v>
      </c>
      <c r="E1139" s="98" t="str">
        <f t="shared" si="37"/>
        <v>Error</v>
      </c>
    </row>
    <row r="1140" spans="1:5" x14ac:dyDescent="0.25">
      <c r="A1140" s="95">
        <f>'Site Data'!B1142</f>
        <v>0</v>
      </c>
      <c r="B1140">
        <f>'Site Data'!D1142</f>
        <v>0</v>
      </c>
      <c r="C1140">
        <f>'Site Data'!E1142</f>
        <v>0</v>
      </c>
      <c r="D1140" s="97">
        <f t="shared" si="36"/>
        <v>0</v>
      </c>
      <c r="E1140" s="98" t="str">
        <f t="shared" si="37"/>
        <v>Error</v>
      </c>
    </row>
    <row r="1141" spans="1:5" x14ac:dyDescent="0.25">
      <c r="A1141" s="95">
        <f>'Site Data'!B1143</f>
        <v>0</v>
      </c>
      <c r="B1141">
        <f>'Site Data'!D1143</f>
        <v>0</v>
      </c>
      <c r="C1141">
        <f>'Site Data'!E1143</f>
        <v>0</v>
      </c>
      <c r="D1141" s="97">
        <f t="shared" si="36"/>
        <v>0</v>
      </c>
      <c r="E1141" s="98" t="str">
        <f t="shared" si="37"/>
        <v>Error</v>
      </c>
    </row>
    <row r="1142" spans="1:5" x14ac:dyDescent="0.25">
      <c r="A1142" s="95">
        <f>'Site Data'!B1144</f>
        <v>0</v>
      </c>
      <c r="B1142">
        <f>'Site Data'!D1144</f>
        <v>0</v>
      </c>
      <c r="C1142">
        <f>'Site Data'!E1144</f>
        <v>0</v>
      </c>
      <c r="D1142" s="97">
        <f t="shared" si="36"/>
        <v>0</v>
      </c>
      <c r="E1142" s="98" t="str">
        <f t="shared" si="37"/>
        <v>Error</v>
      </c>
    </row>
    <row r="1143" spans="1:5" x14ac:dyDescent="0.25">
      <c r="A1143" s="95">
        <f>'Site Data'!B1145</f>
        <v>0</v>
      </c>
      <c r="B1143">
        <f>'Site Data'!D1145</f>
        <v>0</v>
      </c>
      <c r="C1143">
        <f>'Site Data'!E1145</f>
        <v>0</v>
      </c>
      <c r="D1143" s="97">
        <f t="shared" si="36"/>
        <v>0</v>
      </c>
      <c r="E1143" s="98" t="str">
        <f t="shared" si="37"/>
        <v>Error</v>
      </c>
    </row>
    <row r="1144" spans="1:5" x14ac:dyDescent="0.25">
      <c r="A1144" s="95">
        <f>'Site Data'!B1146</f>
        <v>0</v>
      </c>
      <c r="B1144">
        <f>'Site Data'!D1146</f>
        <v>0</v>
      </c>
      <c r="C1144">
        <f>'Site Data'!E1146</f>
        <v>0</v>
      </c>
      <c r="D1144" s="97">
        <f t="shared" si="36"/>
        <v>0</v>
      </c>
      <c r="E1144" s="98" t="str">
        <f t="shared" si="37"/>
        <v>Error</v>
      </c>
    </row>
    <row r="1145" spans="1:5" x14ac:dyDescent="0.25">
      <c r="A1145" s="95">
        <f>'Site Data'!B1147</f>
        <v>0</v>
      </c>
      <c r="B1145">
        <f>'Site Data'!D1147</f>
        <v>0</v>
      </c>
      <c r="C1145">
        <f>'Site Data'!E1147</f>
        <v>0</v>
      </c>
      <c r="D1145" s="97">
        <f t="shared" si="36"/>
        <v>0</v>
      </c>
      <c r="E1145" s="98" t="str">
        <f t="shared" si="37"/>
        <v>Error</v>
      </c>
    </row>
    <row r="1146" spans="1:5" x14ac:dyDescent="0.25">
      <c r="A1146" s="95">
        <f>'Site Data'!B1148</f>
        <v>0</v>
      </c>
      <c r="B1146">
        <f>'Site Data'!D1148</f>
        <v>0</v>
      </c>
      <c r="C1146">
        <f>'Site Data'!E1148</f>
        <v>0</v>
      </c>
      <c r="D1146" s="97">
        <f t="shared" si="36"/>
        <v>0</v>
      </c>
      <c r="E1146" s="98" t="str">
        <f t="shared" si="37"/>
        <v>Error</v>
      </c>
    </row>
    <row r="1147" spans="1:5" x14ac:dyDescent="0.25">
      <c r="A1147" s="95">
        <f>'Site Data'!B1149</f>
        <v>0</v>
      </c>
      <c r="B1147">
        <f>'Site Data'!D1149</f>
        <v>0</v>
      </c>
      <c r="C1147">
        <f>'Site Data'!E1149</f>
        <v>0</v>
      </c>
      <c r="D1147" s="97">
        <f t="shared" si="36"/>
        <v>0</v>
      </c>
      <c r="E1147" s="98" t="str">
        <f t="shared" si="37"/>
        <v>Error</v>
      </c>
    </row>
    <row r="1148" spans="1:5" x14ac:dyDescent="0.25">
      <c r="A1148" s="95">
        <f>'Site Data'!B1150</f>
        <v>0</v>
      </c>
      <c r="B1148">
        <f>'Site Data'!D1150</f>
        <v>0</v>
      </c>
      <c r="C1148">
        <f>'Site Data'!E1150</f>
        <v>0</v>
      </c>
      <c r="D1148" s="97">
        <f t="shared" si="36"/>
        <v>0</v>
      </c>
      <c r="E1148" s="98" t="str">
        <f t="shared" si="37"/>
        <v>Error</v>
      </c>
    </row>
    <row r="1149" spans="1:5" x14ac:dyDescent="0.25">
      <c r="A1149" s="95">
        <f>'Site Data'!B1151</f>
        <v>0</v>
      </c>
      <c r="B1149">
        <f>'Site Data'!D1151</f>
        <v>0</v>
      </c>
      <c r="C1149">
        <f>'Site Data'!E1151</f>
        <v>0</v>
      </c>
      <c r="D1149" s="97">
        <f t="shared" si="36"/>
        <v>0</v>
      </c>
      <c r="E1149" s="98" t="str">
        <f t="shared" si="37"/>
        <v>Error</v>
      </c>
    </row>
    <row r="1150" spans="1:5" x14ac:dyDescent="0.25">
      <c r="A1150" s="95">
        <f>'Site Data'!B1152</f>
        <v>0</v>
      </c>
      <c r="B1150">
        <f>'Site Data'!D1152</f>
        <v>0</v>
      </c>
      <c r="C1150">
        <f>'Site Data'!E1152</f>
        <v>0</v>
      </c>
      <c r="D1150" s="97">
        <f t="shared" si="36"/>
        <v>0</v>
      </c>
      <c r="E1150" s="98" t="str">
        <f t="shared" si="37"/>
        <v>Error</v>
      </c>
    </row>
    <row r="1151" spans="1:5" x14ac:dyDescent="0.25">
      <c r="A1151" s="95">
        <f>'Site Data'!B1153</f>
        <v>0</v>
      </c>
      <c r="B1151">
        <f>'Site Data'!D1153</f>
        <v>0</v>
      </c>
      <c r="C1151">
        <f>'Site Data'!E1153</f>
        <v>0</v>
      </c>
      <c r="D1151" s="97">
        <f t="shared" si="36"/>
        <v>0</v>
      </c>
      <c r="E1151" s="98" t="str">
        <f t="shared" si="37"/>
        <v>Error</v>
      </c>
    </row>
    <row r="1152" spans="1:5" x14ac:dyDescent="0.25">
      <c r="A1152" s="95">
        <f>'Site Data'!B1154</f>
        <v>0</v>
      </c>
      <c r="B1152">
        <f>'Site Data'!D1154</f>
        <v>0</v>
      </c>
      <c r="C1152">
        <f>'Site Data'!E1154</f>
        <v>0</v>
      </c>
      <c r="D1152" s="97">
        <f t="shared" si="36"/>
        <v>0</v>
      </c>
      <c r="E1152" s="98" t="str">
        <f t="shared" si="37"/>
        <v>Error</v>
      </c>
    </row>
    <row r="1153" spans="1:5" x14ac:dyDescent="0.25">
      <c r="A1153" s="95">
        <f>'Site Data'!B1155</f>
        <v>0</v>
      </c>
      <c r="B1153">
        <f>'Site Data'!D1155</f>
        <v>0</v>
      </c>
      <c r="C1153">
        <f>'Site Data'!E1155</f>
        <v>0</v>
      </c>
      <c r="D1153" s="97">
        <f t="shared" si="36"/>
        <v>0</v>
      </c>
      <c r="E1153" s="98" t="str">
        <f t="shared" si="37"/>
        <v>Error</v>
      </c>
    </row>
    <row r="1154" spans="1:5" x14ac:dyDescent="0.25">
      <c r="A1154" s="95">
        <f>'Site Data'!B1156</f>
        <v>0</v>
      </c>
      <c r="B1154">
        <f>'Site Data'!D1156</f>
        <v>0</v>
      </c>
      <c r="C1154">
        <f>'Site Data'!E1156</f>
        <v>0</v>
      </c>
      <c r="D1154" s="97">
        <f t="shared" ref="D1154:D1217" si="38">B1154-C1154</f>
        <v>0</v>
      </c>
      <c r="E1154" s="98" t="str">
        <f t="shared" ref="E1154:E1217" si="39">IF(AND(D1154 &gt;= 50, D1154 &lt;= 60), "Valid", "Error")</f>
        <v>Error</v>
      </c>
    </row>
    <row r="1155" spans="1:5" x14ac:dyDescent="0.25">
      <c r="A1155" s="95">
        <f>'Site Data'!B1157</f>
        <v>0</v>
      </c>
      <c r="B1155">
        <f>'Site Data'!D1157</f>
        <v>0</v>
      </c>
      <c r="C1155">
        <f>'Site Data'!E1157</f>
        <v>0</v>
      </c>
      <c r="D1155" s="97">
        <f t="shared" si="38"/>
        <v>0</v>
      </c>
      <c r="E1155" s="98" t="str">
        <f t="shared" si="39"/>
        <v>Error</v>
      </c>
    </row>
    <row r="1156" spans="1:5" x14ac:dyDescent="0.25">
      <c r="A1156" s="95">
        <f>'Site Data'!B1158</f>
        <v>0</v>
      </c>
      <c r="B1156">
        <f>'Site Data'!D1158</f>
        <v>0</v>
      </c>
      <c r="C1156">
        <f>'Site Data'!E1158</f>
        <v>0</v>
      </c>
      <c r="D1156" s="97">
        <f t="shared" si="38"/>
        <v>0</v>
      </c>
      <c r="E1156" s="98" t="str">
        <f t="shared" si="39"/>
        <v>Error</v>
      </c>
    </row>
    <row r="1157" spans="1:5" x14ac:dyDescent="0.25">
      <c r="A1157" s="95">
        <f>'Site Data'!B1159</f>
        <v>0</v>
      </c>
      <c r="B1157">
        <f>'Site Data'!D1159</f>
        <v>0</v>
      </c>
      <c r="C1157">
        <f>'Site Data'!E1159</f>
        <v>0</v>
      </c>
      <c r="D1157" s="97">
        <f t="shared" si="38"/>
        <v>0</v>
      </c>
      <c r="E1157" s="98" t="str">
        <f t="shared" si="39"/>
        <v>Error</v>
      </c>
    </row>
    <row r="1158" spans="1:5" x14ac:dyDescent="0.25">
      <c r="A1158" s="95">
        <f>'Site Data'!B1160</f>
        <v>0</v>
      </c>
      <c r="B1158">
        <f>'Site Data'!D1160</f>
        <v>0</v>
      </c>
      <c r="C1158">
        <f>'Site Data'!E1160</f>
        <v>0</v>
      </c>
      <c r="D1158" s="97">
        <f t="shared" si="38"/>
        <v>0</v>
      </c>
      <c r="E1158" s="98" t="str">
        <f t="shared" si="39"/>
        <v>Error</v>
      </c>
    </row>
    <row r="1159" spans="1:5" x14ac:dyDescent="0.25">
      <c r="A1159" s="95">
        <f>'Site Data'!B1161</f>
        <v>0</v>
      </c>
      <c r="B1159">
        <f>'Site Data'!D1161</f>
        <v>0</v>
      </c>
      <c r="C1159">
        <f>'Site Data'!E1161</f>
        <v>0</v>
      </c>
      <c r="D1159" s="97">
        <f t="shared" si="38"/>
        <v>0</v>
      </c>
      <c r="E1159" s="98" t="str">
        <f t="shared" si="39"/>
        <v>Error</v>
      </c>
    </row>
    <row r="1160" spans="1:5" x14ac:dyDescent="0.25">
      <c r="A1160" s="95">
        <f>'Site Data'!B1162</f>
        <v>0</v>
      </c>
      <c r="B1160">
        <f>'Site Data'!D1162</f>
        <v>0</v>
      </c>
      <c r="C1160">
        <f>'Site Data'!E1162</f>
        <v>0</v>
      </c>
      <c r="D1160" s="97">
        <f t="shared" si="38"/>
        <v>0</v>
      </c>
      <c r="E1160" s="98" t="str">
        <f t="shared" si="39"/>
        <v>Error</v>
      </c>
    </row>
    <row r="1161" spans="1:5" x14ac:dyDescent="0.25">
      <c r="A1161" s="95">
        <f>'Site Data'!B1163</f>
        <v>0</v>
      </c>
      <c r="B1161">
        <f>'Site Data'!D1163</f>
        <v>0</v>
      </c>
      <c r="C1161">
        <f>'Site Data'!E1163</f>
        <v>0</v>
      </c>
      <c r="D1161" s="97">
        <f t="shared" si="38"/>
        <v>0</v>
      </c>
      <c r="E1161" s="98" t="str">
        <f t="shared" si="39"/>
        <v>Error</v>
      </c>
    </row>
    <row r="1162" spans="1:5" x14ac:dyDescent="0.25">
      <c r="A1162" s="95">
        <f>'Site Data'!B1164</f>
        <v>0</v>
      </c>
      <c r="B1162">
        <f>'Site Data'!D1164</f>
        <v>0</v>
      </c>
      <c r="C1162">
        <f>'Site Data'!E1164</f>
        <v>0</v>
      </c>
      <c r="D1162" s="97">
        <f t="shared" si="38"/>
        <v>0</v>
      </c>
      <c r="E1162" s="98" t="str">
        <f t="shared" si="39"/>
        <v>Error</v>
      </c>
    </row>
    <row r="1163" spans="1:5" x14ac:dyDescent="0.25">
      <c r="A1163" s="95">
        <f>'Site Data'!B1165</f>
        <v>0</v>
      </c>
      <c r="B1163">
        <f>'Site Data'!D1165</f>
        <v>0</v>
      </c>
      <c r="C1163">
        <f>'Site Data'!E1165</f>
        <v>0</v>
      </c>
      <c r="D1163" s="97">
        <f t="shared" si="38"/>
        <v>0</v>
      </c>
      <c r="E1163" s="98" t="str">
        <f t="shared" si="39"/>
        <v>Error</v>
      </c>
    </row>
    <row r="1164" spans="1:5" x14ac:dyDescent="0.25">
      <c r="A1164" s="95">
        <f>'Site Data'!B1166</f>
        <v>0</v>
      </c>
      <c r="B1164">
        <f>'Site Data'!D1166</f>
        <v>0</v>
      </c>
      <c r="C1164">
        <f>'Site Data'!E1166</f>
        <v>0</v>
      </c>
      <c r="D1164" s="97">
        <f t="shared" si="38"/>
        <v>0</v>
      </c>
      <c r="E1164" s="98" t="str">
        <f t="shared" si="39"/>
        <v>Error</v>
      </c>
    </row>
    <row r="1165" spans="1:5" x14ac:dyDescent="0.25">
      <c r="A1165" s="95">
        <f>'Site Data'!B1167</f>
        <v>0</v>
      </c>
      <c r="B1165">
        <f>'Site Data'!D1167</f>
        <v>0</v>
      </c>
      <c r="C1165">
        <f>'Site Data'!E1167</f>
        <v>0</v>
      </c>
      <c r="D1165" s="97">
        <f t="shared" si="38"/>
        <v>0</v>
      </c>
      <c r="E1165" s="98" t="str">
        <f t="shared" si="39"/>
        <v>Error</v>
      </c>
    </row>
    <row r="1166" spans="1:5" x14ac:dyDescent="0.25">
      <c r="A1166" s="95">
        <f>'Site Data'!B1168</f>
        <v>0</v>
      </c>
      <c r="B1166">
        <f>'Site Data'!D1168</f>
        <v>0</v>
      </c>
      <c r="C1166">
        <f>'Site Data'!E1168</f>
        <v>0</v>
      </c>
      <c r="D1166" s="97">
        <f t="shared" si="38"/>
        <v>0</v>
      </c>
      <c r="E1166" s="98" t="str">
        <f t="shared" si="39"/>
        <v>Error</v>
      </c>
    </row>
    <row r="1167" spans="1:5" x14ac:dyDescent="0.25">
      <c r="A1167" s="95">
        <f>'Site Data'!B1169</f>
        <v>0</v>
      </c>
      <c r="B1167">
        <f>'Site Data'!D1169</f>
        <v>0</v>
      </c>
      <c r="C1167">
        <f>'Site Data'!E1169</f>
        <v>0</v>
      </c>
      <c r="D1167" s="97">
        <f t="shared" si="38"/>
        <v>0</v>
      </c>
      <c r="E1167" s="98" t="str">
        <f t="shared" si="39"/>
        <v>Error</v>
      </c>
    </row>
    <row r="1168" spans="1:5" x14ac:dyDescent="0.25">
      <c r="A1168" s="95">
        <f>'Site Data'!B1170</f>
        <v>0</v>
      </c>
      <c r="B1168">
        <f>'Site Data'!D1170</f>
        <v>0</v>
      </c>
      <c r="C1168">
        <f>'Site Data'!E1170</f>
        <v>0</v>
      </c>
      <c r="D1168" s="97">
        <f t="shared" si="38"/>
        <v>0</v>
      </c>
      <c r="E1168" s="98" t="str">
        <f t="shared" si="39"/>
        <v>Error</v>
      </c>
    </row>
    <row r="1169" spans="1:5" x14ac:dyDescent="0.25">
      <c r="A1169" s="95">
        <f>'Site Data'!B1171</f>
        <v>0</v>
      </c>
      <c r="B1169">
        <f>'Site Data'!D1171</f>
        <v>0</v>
      </c>
      <c r="C1169">
        <f>'Site Data'!E1171</f>
        <v>0</v>
      </c>
      <c r="D1169" s="97">
        <f t="shared" si="38"/>
        <v>0</v>
      </c>
      <c r="E1169" s="98" t="str">
        <f t="shared" si="39"/>
        <v>Error</v>
      </c>
    </row>
    <row r="1170" spans="1:5" x14ac:dyDescent="0.25">
      <c r="A1170" s="95">
        <f>'Site Data'!B1172</f>
        <v>0</v>
      </c>
      <c r="B1170">
        <f>'Site Data'!D1172</f>
        <v>0</v>
      </c>
      <c r="C1170">
        <f>'Site Data'!E1172</f>
        <v>0</v>
      </c>
      <c r="D1170" s="97">
        <f t="shared" si="38"/>
        <v>0</v>
      </c>
      <c r="E1170" s="98" t="str">
        <f t="shared" si="39"/>
        <v>Error</v>
      </c>
    </row>
    <row r="1171" spans="1:5" x14ac:dyDescent="0.25">
      <c r="A1171" s="95">
        <f>'Site Data'!B1173</f>
        <v>0</v>
      </c>
      <c r="B1171">
        <f>'Site Data'!D1173</f>
        <v>0</v>
      </c>
      <c r="C1171">
        <f>'Site Data'!E1173</f>
        <v>0</v>
      </c>
      <c r="D1171" s="97">
        <f t="shared" si="38"/>
        <v>0</v>
      </c>
      <c r="E1171" s="98" t="str">
        <f t="shared" si="39"/>
        <v>Error</v>
      </c>
    </row>
    <row r="1172" spans="1:5" x14ac:dyDescent="0.25">
      <c r="A1172" s="95">
        <f>'Site Data'!B1174</f>
        <v>0</v>
      </c>
      <c r="B1172">
        <f>'Site Data'!D1174</f>
        <v>0</v>
      </c>
      <c r="C1172">
        <f>'Site Data'!E1174</f>
        <v>0</v>
      </c>
      <c r="D1172" s="97">
        <f t="shared" si="38"/>
        <v>0</v>
      </c>
      <c r="E1172" s="98" t="str">
        <f t="shared" si="39"/>
        <v>Error</v>
      </c>
    </row>
    <row r="1173" spans="1:5" x14ac:dyDescent="0.25">
      <c r="A1173" s="95">
        <f>'Site Data'!B1175</f>
        <v>0</v>
      </c>
      <c r="B1173">
        <f>'Site Data'!D1175</f>
        <v>0</v>
      </c>
      <c r="C1173">
        <f>'Site Data'!E1175</f>
        <v>0</v>
      </c>
      <c r="D1173" s="97">
        <f t="shared" si="38"/>
        <v>0</v>
      </c>
      <c r="E1173" s="98" t="str">
        <f t="shared" si="39"/>
        <v>Error</v>
      </c>
    </row>
    <row r="1174" spans="1:5" x14ac:dyDescent="0.25">
      <c r="A1174" s="95">
        <f>'Site Data'!B1176</f>
        <v>0</v>
      </c>
      <c r="B1174">
        <f>'Site Data'!D1176</f>
        <v>0</v>
      </c>
      <c r="C1174">
        <f>'Site Data'!E1176</f>
        <v>0</v>
      </c>
      <c r="D1174" s="97">
        <f t="shared" si="38"/>
        <v>0</v>
      </c>
      <c r="E1174" s="98" t="str">
        <f t="shared" si="39"/>
        <v>Error</v>
      </c>
    </row>
    <row r="1175" spans="1:5" x14ac:dyDescent="0.25">
      <c r="A1175" s="95">
        <f>'Site Data'!B1177</f>
        <v>0</v>
      </c>
      <c r="B1175">
        <f>'Site Data'!D1177</f>
        <v>0</v>
      </c>
      <c r="C1175">
        <f>'Site Data'!E1177</f>
        <v>0</v>
      </c>
      <c r="D1175" s="97">
        <f t="shared" si="38"/>
        <v>0</v>
      </c>
      <c r="E1175" s="98" t="str">
        <f t="shared" si="39"/>
        <v>Error</v>
      </c>
    </row>
    <row r="1176" spans="1:5" x14ac:dyDescent="0.25">
      <c r="A1176" s="95">
        <f>'Site Data'!B1178</f>
        <v>0</v>
      </c>
      <c r="B1176">
        <f>'Site Data'!D1178</f>
        <v>0</v>
      </c>
      <c r="C1176">
        <f>'Site Data'!E1178</f>
        <v>0</v>
      </c>
      <c r="D1176" s="97">
        <f t="shared" si="38"/>
        <v>0</v>
      </c>
      <c r="E1176" s="98" t="str">
        <f t="shared" si="39"/>
        <v>Error</v>
      </c>
    </row>
    <row r="1177" spans="1:5" x14ac:dyDescent="0.25">
      <c r="A1177" s="95">
        <f>'Site Data'!B1179</f>
        <v>0</v>
      </c>
      <c r="B1177">
        <f>'Site Data'!D1179</f>
        <v>0</v>
      </c>
      <c r="C1177">
        <f>'Site Data'!E1179</f>
        <v>0</v>
      </c>
      <c r="D1177" s="97">
        <f t="shared" si="38"/>
        <v>0</v>
      </c>
      <c r="E1177" s="98" t="str">
        <f t="shared" si="39"/>
        <v>Error</v>
      </c>
    </row>
    <row r="1178" spans="1:5" x14ac:dyDescent="0.25">
      <c r="A1178" s="95">
        <f>'Site Data'!B1180</f>
        <v>0</v>
      </c>
      <c r="B1178">
        <f>'Site Data'!D1180</f>
        <v>0</v>
      </c>
      <c r="C1178">
        <f>'Site Data'!E1180</f>
        <v>0</v>
      </c>
      <c r="D1178" s="97">
        <f t="shared" si="38"/>
        <v>0</v>
      </c>
      <c r="E1178" s="98" t="str">
        <f t="shared" si="39"/>
        <v>Error</v>
      </c>
    </row>
    <row r="1179" spans="1:5" x14ac:dyDescent="0.25">
      <c r="A1179" s="95">
        <f>'Site Data'!B1181</f>
        <v>0</v>
      </c>
      <c r="B1179">
        <f>'Site Data'!D1181</f>
        <v>0</v>
      </c>
      <c r="C1179">
        <f>'Site Data'!E1181</f>
        <v>0</v>
      </c>
      <c r="D1179" s="97">
        <f t="shared" si="38"/>
        <v>0</v>
      </c>
      <c r="E1179" s="98" t="str">
        <f t="shared" si="39"/>
        <v>Error</v>
      </c>
    </row>
    <row r="1180" spans="1:5" x14ac:dyDescent="0.25">
      <c r="A1180" s="95">
        <f>'Site Data'!B1182</f>
        <v>0</v>
      </c>
      <c r="B1180">
        <f>'Site Data'!D1182</f>
        <v>0</v>
      </c>
      <c r="C1180">
        <f>'Site Data'!E1182</f>
        <v>0</v>
      </c>
      <c r="D1180" s="97">
        <f t="shared" si="38"/>
        <v>0</v>
      </c>
      <c r="E1180" s="98" t="str">
        <f t="shared" si="39"/>
        <v>Error</v>
      </c>
    </row>
    <row r="1181" spans="1:5" x14ac:dyDescent="0.25">
      <c r="A1181" s="95">
        <f>'Site Data'!B1183</f>
        <v>0</v>
      </c>
      <c r="B1181">
        <f>'Site Data'!D1183</f>
        <v>0</v>
      </c>
      <c r="C1181">
        <f>'Site Data'!E1183</f>
        <v>0</v>
      </c>
      <c r="D1181" s="97">
        <f t="shared" si="38"/>
        <v>0</v>
      </c>
      <c r="E1181" s="98" t="str">
        <f t="shared" si="39"/>
        <v>Error</v>
      </c>
    </row>
    <row r="1182" spans="1:5" x14ac:dyDescent="0.25">
      <c r="A1182" s="95">
        <f>'Site Data'!B1184</f>
        <v>0</v>
      </c>
      <c r="B1182">
        <f>'Site Data'!D1184</f>
        <v>0</v>
      </c>
      <c r="C1182">
        <f>'Site Data'!E1184</f>
        <v>0</v>
      </c>
      <c r="D1182" s="97">
        <f t="shared" si="38"/>
        <v>0</v>
      </c>
      <c r="E1182" s="98" t="str">
        <f t="shared" si="39"/>
        <v>Error</v>
      </c>
    </row>
    <row r="1183" spans="1:5" x14ac:dyDescent="0.25">
      <c r="A1183" s="95">
        <f>'Site Data'!B1185</f>
        <v>0</v>
      </c>
      <c r="B1183">
        <f>'Site Data'!D1185</f>
        <v>0</v>
      </c>
      <c r="C1183">
        <f>'Site Data'!E1185</f>
        <v>0</v>
      </c>
      <c r="D1183" s="97">
        <f t="shared" si="38"/>
        <v>0</v>
      </c>
      <c r="E1183" s="98" t="str">
        <f t="shared" si="39"/>
        <v>Error</v>
      </c>
    </row>
    <row r="1184" spans="1:5" x14ac:dyDescent="0.25">
      <c r="A1184" s="95">
        <f>'Site Data'!B1186</f>
        <v>0</v>
      </c>
      <c r="B1184">
        <f>'Site Data'!D1186</f>
        <v>0</v>
      </c>
      <c r="C1184">
        <f>'Site Data'!E1186</f>
        <v>0</v>
      </c>
      <c r="D1184" s="97">
        <f t="shared" si="38"/>
        <v>0</v>
      </c>
      <c r="E1184" s="98" t="str">
        <f t="shared" si="39"/>
        <v>Error</v>
      </c>
    </row>
    <row r="1185" spans="1:5" x14ac:dyDescent="0.25">
      <c r="A1185" s="95">
        <f>'Site Data'!B1187</f>
        <v>0</v>
      </c>
      <c r="B1185">
        <f>'Site Data'!D1187</f>
        <v>0</v>
      </c>
      <c r="C1185">
        <f>'Site Data'!E1187</f>
        <v>0</v>
      </c>
      <c r="D1185" s="97">
        <f t="shared" si="38"/>
        <v>0</v>
      </c>
      <c r="E1185" s="98" t="str">
        <f t="shared" si="39"/>
        <v>Error</v>
      </c>
    </row>
    <row r="1186" spans="1:5" x14ac:dyDescent="0.25">
      <c r="A1186" s="95">
        <f>'Site Data'!B1188</f>
        <v>0</v>
      </c>
      <c r="B1186">
        <f>'Site Data'!D1188</f>
        <v>0</v>
      </c>
      <c r="C1186">
        <f>'Site Data'!E1188</f>
        <v>0</v>
      </c>
      <c r="D1186" s="97">
        <f t="shared" si="38"/>
        <v>0</v>
      </c>
      <c r="E1186" s="98" t="str">
        <f t="shared" si="39"/>
        <v>Error</v>
      </c>
    </row>
    <row r="1187" spans="1:5" x14ac:dyDescent="0.25">
      <c r="A1187" s="95">
        <f>'Site Data'!B1189</f>
        <v>0</v>
      </c>
      <c r="B1187">
        <f>'Site Data'!D1189</f>
        <v>0</v>
      </c>
      <c r="C1187">
        <f>'Site Data'!E1189</f>
        <v>0</v>
      </c>
      <c r="D1187" s="97">
        <f t="shared" si="38"/>
        <v>0</v>
      </c>
      <c r="E1187" s="98" t="str">
        <f t="shared" si="39"/>
        <v>Error</v>
      </c>
    </row>
    <row r="1188" spans="1:5" x14ac:dyDescent="0.25">
      <c r="A1188" s="95">
        <f>'Site Data'!B1190</f>
        <v>0</v>
      </c>
      <c r="B1188">
        <f>'Site Data'!D1190</f>
        <v>0</v>
      </c>
      <c r="C1188">
        <f>'Site Data'!E1190</f>
        <v>0</v>
      </c>
      <c r="D1188" s="97">
        <f t="shared" si="38"/>
        <v>0</v>
      </c>
      <c r="E1188" s="98" t="str">
        <f t="shared" si="39"/>
        <v>Error</v>
      </c>
    </row>
    <row r="1189" spans="1:5" x14ac:dyDescent="0.25">
      <c r="A1189" s="95">
        <f>'Site Data'!B1191</f>
        <v>0</v>
      </c>
      <c r="B1189">
        <f>'Site Data'!D1191</f>
        <v>0</v>
      </c>
      <c r="C1189">
        <f>'Site Data'!E1191</f>
        <v>0</v>
      </c>
      <c r="D1189" s="97">
        <f t="shared" si="38"/>
        <v>0</v>
      </c>
      <c r="E1189" s="98" t="str">
        <f t="shared" si="39"/>
        <v>Error</v>
      </c>
    </row>
    <row r="1190" spans="1:5" x14ac:dyDescent="0.25">
      <c r="A1190" s="95">
        <f>'Site Data'!B1192</f>
        <v>0</v>
      </c>
      <c r="B1190">
        <f>'Site Data'!D1192</f>
        <v>0</v>
      </c>
      <c r="C1190">
        <f>'Site Data'!E1192</f>
        <v>0</v>
      </c>
      <c r="D1190" s="97">
        <f t="shared" si="38"/>
        <v>0</v>
      </c>
      <c r="E1190" s="98" t="str">
        <f t="shared" si="39"/>
        <v>Error</v>
      </c>
    </row>
    <row r="1191" spans="1:5" x14ac:dyDescent="0.25">
      <c r="A1191" s="95">
        <f>'Site Data'!B1193</f>
        <v>0</v>
      </c>
      <c r="B1191">
        <f>'Site Data'!D1193</f>
        <v>0</v>
      </c>
      <c r="C1191">
        <f>'Site Data'!E1193</f>
        <v>0</v>
      </c>
      <c r="D1191" s="97">
        <f t="shared" si="38"/>
        <v>0</v>
      </c>
      <c r="E1191" s="98" t="str">
        <f t="shared" si="39"/>
        <v>Error</v>
      </c>
    </row>
    <row r="1192" spans="1:5" x14ac:dyDescent="0.25">
      <c r="A1192" s="95">
        <f>'Site Data'!B1194</f>
        <v>0</v>
      </c>
      <c r="B1192">
        <f>'Site Data'!D1194</f>
        <v>0</v>
      </c>
      <c r="C1192">
        <f>'Site Data'!E1194</f>
        <v>0</v>
      </c>
      <c r="D1192" s="97">
        <f t="shared" si="38"/>
        <v>0</v>
      </c>
      <c r="E1192" s="98" t="str">
        <f t="shared" si="39"/>
        <v>Error</v>
      </c>
    </row>
    <row r="1193" spans="1:5" x14ac:dyDescent="0.25">
      <c r="A1193" s="95">
        <f>'Site Data'!B1195</f>
        <v>0</v>
      </c>
      <c r="B1193">
        <f>'Site Data'!D1195</f>
        <v>0</v>
      </c>
      <c r="C1193">
        <f>'Site Data'!E1195</f>
        <v>0</v>
      </c>
      <c r="D1193" s="97">
        <f t="shared" si="38"/>
        <v>0</v>
      </c>
      <c r="E1193" s="98" t="str">
        <f t="shared" si="39"/>
        <v>Error</v>
      </c>
    </row>
    <row r="1194" spans="1:5" x14ac:dyDescent="0.25">
      <c r="A1194" s="95">
        <f>'Site Data'!B1196</f>
        <v>0</v>
      </c>
      <c r="B1194">
        <f>'Site Data'!D1196</f>
        <v>0</v>
      </c>
      <c r="C1194">
        <f>'Site Data'!E1196</f>
        <v>0</v>
      </c>
      <c r="D1194" s="97">
        <f t="shared" si="38"/>
        <v>0</v>
      </c>
      <c r="E1194" s="98" t="str">
        <f t="shared" si="39"/>
        <v>Error</v>
      </c>
    </row>
    <row r="1195" spans="1:5" x14ac:dyDescent="0.25">
      <c r="A1195" s="95">
        <f>'Site Data'!B1197</f>
        <v>0</v>
      </c>
      <c r="B1195">
        <f>'Site Data'!D1197</f>
        <v>0</v>
      </c>
      <c r="C1195">
        <f>'Site Data'!E1197</f>
        <v>0</v>
      </c>
      <c r="D1195" s="97">
        <f t="shared" si="38"/>
        <v>0</v>
      </c>
      <c r="E1195" s="98" t="str">
        <f t="shared" si="39"/>
        <v>Error</v>
      </c>
    </row>
    <row r="1196" spans="1:5" x14ac:dyDescent="0.25">
      <c r="A1196" s="95">
        <f>'Site Data'!B1198</f>
        <v>0</v>
      </c>
      <c r="B1196">
        <f>'Site Data'!D1198</f>
        <v>0</v>
      </c>
      <c r="C1196">
        <f>'Site Data'!E1198</f>
        <v>0</v>
      </c>
      <c r="D1196" s="97">
        <f t="shared" si="38"/>
        <v>0</v>
      </c>
      <c r="E1196" s="98" t="str">
        <f t="shared" si="39"/>
        <v>Error</v>
      </c>
    </row>
    <row r="1197" spans="1:5" x14ac:dyDescent="0.25">
      <c r="A1197" s="95">
        <f>'Site Data'!B1199</f>
        <v>0</v>
      </c>
      <c r="B1197">
        <f>'Site Data'!D1199</f>
        <v>0</v>
      </c>
      <c r="C1197">
        <f>'Site Data'!E1199</f>
        <v>0</v>
      </c>
      <c r="D1197" s="97">
        <f t="shared" si="38"/>
        <v>0</v>
      </c>
      <c r="E1197" s="98" t="str">
        <f t="shared" si="39"/>
        <v>Error</v>
      </c>
    </row>
    <row r="1198" spans="1:5" x14ac:dyDescent="0.25">
      <c r="A1198" s="95">
        <f>'Site Data'!B1200</f>
        <v>0</v>
      </c>
      <c r="B1198">
        <f>'Site Data'!D1200</f>
        <v>0</v>
      </c>
      <c r="C1198">
        <f>'Site Data'!E1200</f>
        <v>0</v>
      </c>
      <c r="D1198" s="97">
        <f t="shared" si="38"/>
        <v>0</v>
      </c>
      <c r="E1198" s="98" t="str">
        <f t="shared" si="39"/>
        <v>Error</v>
      </c>
    </row>
    <row r="1199" spans="1:5" x14ac:dyDescent="0.25">
      <c r="A1199" s="95">
        <f>'Site Data'!B1201</f>
        <v>0</v>
      </c>
      <c r="B1199">
        <f>'Site Data'!D1201</f>
        <v>0</v>
      </c>
      <c r="C1199">
        <f>'Site Data'!E1201</f>
        <v>0</v>
      </c>
      <c r="D1199" s="97">
        <f t="shared" si="38"/>
        <v>0</v>
      </c>
      <c r="E1199" s="98" t="str">
        <f t="shared" si="39"/>
        <v>Error</v>
      </c>
    </row>
    <row r="1200" spans="1:5" x14ac:dyDescent="0.25">
      <c r="A1200" s="95">
        <f>'Site Data'!B1202</f>
        <v>0</v>
      </c>
      <c r="B1200">
        <f>'Site Data'!D1202</f>
        <v>0</v>
      </c>
      <c r="C1200">
        <f>'Site Data'!E1202</f>
        <v>0</v>
      </c>
      <c r="D1200" s="97">
        <f t="shared" si="38"/>
        <v>0</v>
      </c>
      <c r="E1200" s="98" t="str">
        <f t="shared" si="39"/>
        <v>Error</v>
      </c>
    </row>
    <row r="1201" spans="1:5" x14ac:dyDescent="0.25">
      <c r="A1201" s="95">
        <f>'Site Data'!B1203</f>
        <v>0</v>
      </c>
      <c r="B1201">
        <f>'Site Data'!D1203</f>
        <v>0</v>
      </c>
      <c r="C1201">
        <f>'Site Data'!E1203</f>
        <v>0</v>
      </c>
      <c r="D1201" s="97">
        <f t="shared" si="38"/>
        <v>0</v>
      </c>
      <c r="E1201" s="98" t="str">
        <f t="shared" si="39"/>
        <v>Error</v>
      </c>
    </row>
    <row r="1202" spans="1:5" x14ac:dyDescent="0.25">
      <c r="A1202" s="95">
        <f>'Site Data'!B1204</f>
        <v>0</v>
      </c>
      <c r="B1202">
        <f>'Site Data'!D1204</f>
        <v>0</v>
      </c>
      <c r="C1202">
        <f>'Site Data'!E1204</f>
        <v>0</v>
      </c>
      <c r="D1202" s="97">
        <f t="shared" si="38"/>
        <v>0</v>
      </c>
      <c r="E1202" s="98" t="str">
        <f t="shared" si="39"/>
        <v>Error</v>
      </c>
    </row>
    <row r="1203" spans="1:5" x14ac:dyDescent="0.25">
      <c r="A1203" s="95">
        <f>'Site Data'!B1205</f>
        <v>0</v>
      </c>
      <c r="B1203">
        <f>'Site Data'!D1205</f>
        <v>0</v>
      </c>
      <c r="C1203">
        <f>'Site Data'!E1205</f>
        <v>0</v>
      </c>
      <c r="D1203" s="97">
        <f t="shared" si="38"/>
        <v>0</v>
      </c>
      <c r="E1203" s="98" t="str">
        <f t="shared" si="39"/>
        <v>Error</v>
      </c>
    </row>
    <row r="1204" spans="1:5" x14ac:dyDescent="0.25">
      <c r="A1204" s="95">
        <f>'Site Data'!B1206</f>
        <v>0</v>
      </c>
      <c r="B1204">
        <f>'Site Data'!D1206</f>
        <v>0</v>
      </c>
      <c r="C1204">
        <f>'Site Data'!E1206</f>
        <v>0</v>
      </c>
      <c r="D1204" s="97">
        <f t="shared" si="38"/>
        <v>0</v>
      </c>
      <c r="E1204" s="98" t="str">
        <f t="shared" si="39"/>
        <v>Error</v>
      </c>
    </row>
    <row r="1205" spans="1:5" x14ac:dyDescent="0.25">
      <c r="A1205" s="95">
        <f>'Site Data'!B1207</f>
        <v>0</v>
      </c>
      <c r="B1205">
        <f>'Site Data'!D1207</f>
        <v>0</v>
      </c>
      <c r="C1205">
        <f>'Site Data'!E1207</f>
        <v>0</v>
      </c>
      <c r="D1205" s="97">
        <f t="shared" si="38"/>
        <v>0</v>
      </c>
      <c r="E1205" s="98" t="str">
        <f t="shared" si="39"/>
        <v>Error</v>
      </c>
    </row>
    <row r="1206" spans="1:5" x14ac:dyDescent="0.25">
      <c r="A1206" s="95">
        <f>'Site Data'!B1208</f>
        <v>0</v>
      </c>
      <c r="B1206">
        <f>'Site Data'!D1208</f>
        <v>0</v>
      </c>
      <c r="C1206">
        <f>'Site Data'!E1208</f>
        <v>0</v>
      </c>
      <c r="D1206" s="97">
        <f t="shared" si="38"/>
        <v>0</v>
      </c>
      <c r="E1206" s="98" t="str">
        <f t="shared" si="39"/>
        <v>Error</v>
      </c>
    </row>
    <row r="1207" spans="1:5" x14ac:dyDescent="0.25">
      <c r="A1207" s="95">
        <f>'Site Data'!B1209</f>
        <v>0</v>
      </c>
      <c r="B1207">
        <f>'Site Data'!D1209</f>
        <v>0</v>
      </c>
      <c r="C1207">
        <f>'Site Data'!E1209</f>
        <v>0</v>
      </c>
      <c r="D1207" s="97">
        <f t="shared" si="38"/>
        <v>0</v>
      </c>
      <c r="E1207" s="98" t="str">
        <f t="shared" si="39"/>
        <v>Error</v>
      </c>
    </row>
    <row r="1208" spans="1:5" x14ac:dyDescent="0.25">
      <c r="A1208" s="95">
        <f>'Site Data'!B1210</f>
        <v>0</v>
      </c>
      <c r="B1208">
        <f>'Site Data'!D1210</f>
        <v>0</v>
      </c>
      <c r="C1208">
        <f>'Site Data'!E1210</f>
        <v>0</v>
      </c>
      <c r="D1208" s="97">
        <f t="shared" si="38"/>
        <v>0</v>
      </c>
      <c r="E1208" s="98" t="str">
        <f t="shared" si="39"/>
        <v>Error</v>
      </c>
    </row>
    <row r="1209" spans="1:5" x14ac:dyDescent="0.25">
      <c r="A1209" s="95">
        <f>'Site Data'!B1211</f>
        <v>0</v>
      </c>
      <c r="B1209">
        <f>'Site Data'!D1211</f>
        <v>0</v>
      </c>
      <c r="C1209">
        <f>'Site Data'!E1211</f>
        <v>0</v>
      </c>
      <c r="D1209" s="97">
        <f t="shared" si="38"/>
        <v>0</v>
      </c>
      <c r="E1209" s="98" t="str">
        <f t="shared" si="39"/>
        <v>Error</v>
      </c>
    </row>
    <row r="1210" spans="1:5" x14ac:dyDescent="0.25">
      <c r="A1210" s="95">
        <f>'Site Data'!B1212</f>
        <v>0</v>
      </c>
      <c r="B1210">
        <f>'Site Data'!D1212</f>
        <v>0</v>
      </c>
      <c r="C1210">
        <f>'Site Data'!E1212</f>
        <v>0</v>
      </c>
      <c r="D1210" s="97">
        <f t="shared" si="38"/>
        <v>0</v>
      </c>
      <c r="E1210" s="98" t="str">
        <f t="shared" si="39"/>
        <v>Error</v>
      </c>
    </row>
    <row r="1211" spans="1:5" x14ac:dyDescent="0.25">
      <c r="A1211" s="95">
        <f>'Site Data'!B1213</f>
        <v>0</v>
      </c>
      <c r="B1211">
        <f>'Site Data'!D1213</f>
        <v>0</v>
      </c>
      <c r="C1211">
        <f>'Site Data'!E1213</f>
        <v>0</v>
      </c>
      <c r="D1211" s="97">
        <f t="shared" si="38"/>
        <v>0</v>
      </c>
      <c r="E1211" s="98" t="str">
        <f t="shared" si="39"/>
        <v>Error</v>
      </c>
    </row>
    <row r="1212" spans="1:5" x14ac:dyDescent="0.25">
      <c r="A1212" s="95">
        <f>'Site Data'!B1214</f>
        <v>0</v>
      </c>
      <c r="B1212">
        <f>'Site Data'!D1214</f>
        <v>0</v>
      </c>
      <c r="C1212">
        <f>'Site Data'!E1214</f>
        <v>0</v>
      </c>
      <c r="D1212" s="97">
        <f t="shared" si="38"/>
        <v>0</v>
      </c>
      <c r="E1212" s="98" t="str">
        <f t="shared" si="39"/>
        <v>Error</v>
      </c>
    </row>
    <row r="1213" spans="1:5" x14ac:dyDescent="0.25">
      <c r="A1213" s="95">
        <f>'Site Data'!B1215</f>
        <v>0</v>
      </c>
      <c r="B1213">
        <f>'Site Data'!D1215</f>
        <v>0</v>
      </c>
      <c r="C1213">
        <f>'Site Data'!E1215</f>
        <v>0</v>
      </c>
      <c r="D1213" s="97">
        <f t="shared" si="38"/>
        <v>0</v>
      </c>
      <c r="E1213" s="98" t="str">
        <f t="shared" si="39"/>
        <v>Error</v>
      </c>
    </row>
    <row r="1214" spans="1:5" x14ac:dyDescent="0.25">
      <c r="A1214" s="95">
        <f>'Site Data'!B1216</f>
        <v>0</v>
      </c>
      <c r="B1214">
        <f>'Site Data'!D1216</f>
        <v>0</v>
      </c>
      <c r="C1214">
        <f>'Site Data'!E1216</f>
        <v>0</v>
      </c>
      <c r="D1214" s="97">
        <f t="shared" si="38"/>
        <v>0</v>
      </c>
      <c r="E1214" s="98" t="str">
        <f t="shared" si="39"/>
        <v>Error</v>
      </c>
    </row>
    <row r="1215" spans="1:5" x14ac:dyDescent="0.25">
      <c r="A1215" s="95">
        <f>'Site Data'!B1217</f>
        <v>0</v>
      </c>
      <c r="B1215">
        <f>'Site Data'!D1217</f>
        <v>0</v>
      </c>
      <c r="C1215">
        <f>'Site Data'!E1217</f>
        <v>0</v>
      </c>
      <c r="D1215" s="97">
        <f t="shared" si="38"/>
        <v>0</v>
      </c>
      <c r="E1215" s="98" t="str">
        <f t="shared" si="39"/>
        <v>Error</v>
      </c>
    </row>
    <row r="1216" spans="1:5" x14ac:dyDescent="0.25">
      <c r="A1216" s="95">
        <f>'Site Data'!B1218</f>
        <v>0</v>
      </c>
      <c r="B1216">
        <f>'Raw Data'!B1218</f>
        <v>361.35</v>
      </c>
      <c r="C1216">
        <f>'Site Data'!E1218</f>
        <v>0</v>
      </c>
      <c r="D1216" s="97">
        <f t="shared" si="38"/>
        <v>361.35</v>
      </c>
      <c r="E1216" s="98" t="str">
        <f t="shared" si="39"/>
        <v>Error</v>
      </c>
    </row>
    <row r="1217" spans="1:5" x14ac:dyDescent="0.25">
      <c r="A1217" s="95">
        <f>'Site Data'!B1219</f>
        <v>0</v>
      </c>
      <c r="B1217">
        <f>'Raw Data'!B1219</f>
        <v>361.31019049153764</v>
      </c>
      <c r="C1217">
        <f>'Site Data'!E1219</f>
        <v>0</v>
      </c>
      <c r="D1217" s="97">
        <f t="shared" si="38"/>
        <v>361.31019049153764</v>
      </c>
      <c r="E1217" s="98" t="str">
        <f t="shared" si="39"/>
        <v>Error</v>
      </c>
    </row>
    <row r="1218" spans="1:5" x14ac:dyDescent="0.25">
      <c r="A1218" s="95">
        <f>'Site Data'!B1220</f>
        <v>0</v>
      </c>
      <c r="B1218">
        <f>'Raw Data'!B1220</f>
        <v>361.29</v>
      </c>
      <c r="C1218">
        <f>'Site Data'!E1220</f>
        <v>0</v>
      </c>
      <c r="D1218" s="97">
        <f t="shared" ref="D1218:D1281" si="40">B1218-C1218</f>
        <v>361.29</v>
      </c>
      <c r="E1218" s="98" t="str">
        <f t="shared" ref="E1218:E1281" si="41">IF(AND(D1218 &gt;= 50, D1218 &lt;= 60), "Valid", "Error")</f>
        <v>Error</v>
      </c>
    </row>
    <row r="1219" spans="1:5" x14ac:dyDescent="0.25">
      <c r="A1219" s="95">
        <f>'Site Data'!B1221</f>
        <v>0</v>
      </c>
      <c r="B1219">
        <f>'Raw Data'!B1221</f>
        <v>361.29</v>
      </c>
      <c r="C1219">
        <f>'Site Data'!E1221</f>
        <v>0</v>
      </c>
      <c r="D1219" s="97">
        <f t="shared" si="40"/>
        <v>361.29</v>
      </c>
      <c r="E1219" s="98" t="str">
        <f t="shared" si="41"/>
        <v>Error</v>
      </c>
    </row>
    <row r="1220" spans="1:5" x14ac:dyDescent="0.25">
      <c r="A1220" s="95">
        <f>'Site Data'!B1222</f>
        <v>0</v>
      </c>
      <c r="B1220">
        <f>'Raw Data'!B1222</f>
        <v>361.29</v>
      </c>
      <c r="C1220">
        <f>'Site Data'!E1222</f>
        <v>0</v>
      </c>
      <c r="D1220" s="97">
        <f t="shared" si="40"/>
        <v>361.29</v>
      </c>
      <c r="E1220" s="98" t="str">
        <f t="shared" si="41"/>
        <v>Error</v>
      </c>
    </row>
    <row r="1221" spans="1:5" x14ac:dyDescent="0.25">
      <c r="A1221" s="95">
        <f>'Site Data'!B1223</f>
        <v>0</v>
      </c>
      <c r="B1221">
        <f>'Raw Data'!B1223</f>
        <v>361.29</v>
      </c>
      <c r="C1221">
        <f>'Site Data'!E1223</f>
        <v>0</v>
      </c>
      <c r="D1221" s="97">
        <f t="shared" si="40"/>
        <v>361.29</v>
      </c>
      <c r="E1221" s="98" t="str">
        <f t="shared" si="41"/>
        <v>Error</v>
      </c>
    </row>
    <row r="1222" spans="1:5" x14ac:dyDescent="0.25">
      <c r="A1222" s="95">
        <f>'Site Data'!B1224</f>
        <v>0</v>
      </c>
      <c r="B1222">
        <f>'Raw Data'!B1224</f>
        <v>361.29</v>
      </c>
      <c r="C1222">
        <f>'Site Data'!E1224</f>
        <v>0</v>
      </c>
      <c r="D1222" s="97">
        <f t="shared" si="40"/>
        <v>361.29</v>
      </c>
      <c r="E1222" s="98" t="str">
        <f t="shared" si="41"/>
        <v>Error</v>
      </c>
    </row>
    <row r="1223" spans="1:5" x14ac:dyDescent="0.25">
      <c r="A1223" s="95">
        <f>'Site Data'!B1225</f>
        <v>0</v>
      </c>
      <c r="B1223">
        <f>'Raw Data'!B1225</f>
        <v>361.20029092722825</v>
      </c>
      <c r="C1223">
        <f>'Site Data'!E1225</f>
        <v>0</v>
      </c>
      <c r="D1223" s="97">
        <f t="shared" si="40"/>
        <v>361.20029092722825</v>
      </c>
      <c r="E1223" s="98" t="str">
        <f t="shared" si="41"/>
        <v>Error</v>
      </c>
    </row>
    <row r="1224" spans="1:5" x14ac:dyDescent="0.25">
      <c r="A1224" s="95">
        <f>'Site Data'!B1226</f>
        <v>0</v>
      </c>
      <c r="B1224">
        <f>'Raw Data'!B1226</f>
        <v>361.16</v>
      </c>
      <c r="C1224">
        <f>'Site Data'!E1226</f>
        <v>0</v>
      </c>
      <c r="D1224" s="97">
        <f t="shared" si="40"/>
        <v>361.16</v>
      </c>
      <c r="E1224" s="98" t="str">
        <f t="shared" si="41"/>
        <v>Error</v>
      </c>
    </row>
    <row r="1225" spans="1:5" x14ac:dyDescent="0.25">
      <c r="A1225" s="95">
        <f>'Site Data'!B1227</f>
        <v>0</v>
      </c>
      <c r="B1225">
        <f>'Raw Data'!B1227</f>
        <v>361.13168773518578</v>
      </c>
      <c r="C1225">
        <f>'Site Data'!E1227</f>
        <v>0</v>
      </c>
      <c r="D1225" s="97">
        <f t="shared" si="40"/>
        <v>361.13168773518578</v>
      </c>
      <c r="E1225" s="98" t="str">
        <f t="shared" si="41"/>
        <v>Error</v>
      </c>
    </row>
    <row r="1226" spans="1:5" x14ac:dyDescent="0.25">
      <c r="A1226" s="95">
        <f>'Site Data'!B1228</f>
        <v>0</v>
      </c>
      <c r="B1226">
        <f>'Raw Data'!B1228</f>
        <v>361.12</v>
      </c>
      <c r="C1226">
        <f>'Site Data'!E1228</f>
        <v>0</v>
      </c>
      <c r="D1226" s="97">
        <f t="shared" si="40"/>
        <v>361.12</v>
      </c>
      <c r="E1226" s="98" t="str">
        <f t="shared" si="41"/>
        <v>Error</v>
      </c>
    </row>
    <row r="1227" spans="1:5" x14ac:dyDescent="0.25">
      <c r="A1227" s="95">
        <f>'Site Data'!B1229</f>
        <v>0</v>
      </c>
      <c r="B1227">
        <f>'Raw Data'!B1229</f>
        <v>361.08420985017295</v>
      </c>
      <c r="C1227">
        <f>'Site Data'!E1229</f>
        <v>0</v>
      </c>
      <c r="D1227" s="97">
        <f t="shared" si="40"/>
        <v>361.08420985017295</v>
      </c>
      <c r="E1227" s="98" t="str">
        <f t="shared" si="41"/>
        <v>Error</v>
      </c>
    </row>
    <row r="1228" spans="1:5" x14ac:dyDescent="0.25">
      <c r="A1228" s="95">
        <f>'Site Data'!B1230</f>
        <v>0</v>
      </c>
      <c r="B1228">
        <f>'Raw Data'!B1230</f>
        <v>361.07</v>
      </c>
      <c r="C1228">
        <f>'Site Data'!E1230</f>
        <v>0</v>
      </c>
      <c r="D1228" s="97">
        <f t="shared" si="40"/>
        <v>361.07</v>
      </c>
      <c r="E1228" s="98" t="str">
        <f t="shared" si="41"/>
        <v>Error</v>
      </c>
    </row>
    <row r="1229" spans="1:5" x14ac:dyDescent="0.25">
      <c r="A1229" s="95">
        <f>'Site Data'!B1231</f>
        <v>0</v>
      </c>
      <c r="B1229">
        <f>'Raw Data'!B1231</f>
        <v>361.04087158368952</v>
      </c>
      <c r="C1229">
        <f>'Site Data'!E1231</f>
        <v>0</v>
      </c>
      <c r="D1229" s="97">
        <f t="shared" si="40"/>
        <v>361.04087158368952</v>
      </c>
      <c r="E1229" s="98" t="str">
        <f t="shared" si="41"/>
        <v>Error</v>
      </c>
    </row>
    <row r="1230" spans="1:5" x14ac:dyDescent="0.25">
      <c r="A1230" s="95">
        <f>'Site Data'!B1232</f>
        <v>0</v>
      </c>
      <c r="B1230">
        <f>'Raw Data'!B1232</f>
        <v>361.03</v>
      </c>
      <c r="C1230">
        <f>'Site Data'!E1232</f>
        <v>0</v>
      </c>
      <c r="D1230" s="97">
        <f t="shared" si="40"/>
        <v>361.03</v>
      </c>
      <c r="E1230" s="98" t="str">
        <f t="shared" si="41"/>
        <v>Error</v>
      </c>
    </row>
    <row r="1231" spans="1:5" x14ac:dyDescent="0.25">
      <c r="A1231" s="95">
        <f>'Site Data'!B1233</f>
        <v>0</v>
      </c>
      <c r="B1231">
        <f>'Raw Data'!B1233</f>
        <v>361.00756736000636</v>
      </c>
      <c r="C1231">
        <f>'Site Data'!E1233</f>
        <v>0</v>
      </c>
      <c r="D1231" s="97">
        <f t="shared" si="40"/>
        <v>361.00756736000636</v>
      </c>
      <c r="E1231" s="98" t="str">
        <f t="shared" si="41"/>
        <v>Error</v>
      </c>
    </row>
    <row r="1232" spans="1:5" x14ac:dyDescent="0.25">
      <c r="A1232" s="95">
        <f>'Site Data'!B1234</f>
        <v>0</v>
      </c>
      <c r="B1232">
        <f>'Raw Data'!B1234</f>
        <v>361</v>
      </c>
      <c r="C1232">
        <f>'Site Data'!E1234</f>
        <v>0</v>
      </c>
      <c r="D1232" s="97">
        <f t="shared" si="40"/>
        <v>361</v>
      </c>
      <c r="E1232" s="98" t="str">
        <f t="shared" si="41"/>
        <v>Error</v>
      </c>
    </row>
    <row r="1233" spans="1:5" x14ac:dyDescent="0.25">
      <c r="A1233" s="95">
        <f>'Site Data'!B1235</f>
        <v>0</v>
      </c>
      <c r="B1233">
        <f>'Raw Data'!B1235</f>
        <v>361</v>
      </c>
      <c r="C1233">
        <f>'Site Data'!E1235</f>
        <v>0</v>
      </c>
      <c r="D1233" s="97">
        <f t="shared" si="40"/>
        <v>361</v>
      </c>
      <c r="E1233" s="98" t="str">
        <f t="shared" si="41"/>
        <v>Error</v>
      </c>
    </row>
    <row r="1234" spans="1:5" x14ac:dyDescent="0.25">
      <c r="A1234" s="95">
        <f>'Site Data'!B1236</f>
        <v>0</v>
      </c>
      <c r="B1234">
        <f>'Raw Data'!B1236</f>
        <v>361</v>
      </c>
      <c r="C1234">
        <f>'Site Data'!E1236</f>
        <v>0</v>
      </c>
      <c r="D1234" s="97">
        <f t="shared" si="40"/>
        <v>361</v>
      </c>
      <c r="E1234" s="98" t="str">
        <f t="shared" si="41"/>
        <v>Error</v>
      </c>
    </row>
    <row r="1235" spans="1:5" x14ac:dyDescent="0.25">
      <c r="A1235" s="95">
        <f>'Site Data'!B1237</f>
        <v>0</v>
      </c>
      <c r="B1235">
        <f>'Raw Data'!B1237</f>
        <v>361</v>
      </c>
      <c r="C1235">
        <f>'Site Data'!E1237</f>
        <v>0</v>
      </c>
      <c r="D1235" s="97">
        <f t="shared" si="40"/>
        <v>361</v>
      </c>
      <c r="E1235" s="98" t="str">
        <f t="shared" si="41"/>
        <v>Error</v>
      </c>
    </row>
    <row r="1236" spans="1:5" x14ac:dyDescent="0.25">
      <c r="A1236" s="95">
        <f>'Site Data'!B1238</f>
        <v>0</v>
      </c>
      <c r="B1236">
        <f>'Raw Data'!B1238</f>
        <v>361</v>
      </c>
      <c r="C1236">
        <f>'Site Data'!E1238</f>
        <v>0</v>
      </c>
      <c r="D1236" s="97">
        <f t="shared" si="40"/>
        <v>361</v>
      </c>
      <c r="E1236" s="98" t="str">
        <f t="shared" si="41"/>
        <v>Error</v>
      </c>
    </row>
    <row r="1237" spans="1:5" x14ac:dyDescent="0.25">
      <c r="A1237" s="95">
        <f>'Site Data'!B1239</f>
        <v>0</v>
      </c>
      <c r="B1237">
        <f>'Raw Data'!B1239</f>
        <v>360.84729828990493</v>
      </c>
      <c r="C1237">
        <f>'Site Data'!E1239</f>
        <v>0</v>
      </c>
      <c r="D1237" s="97">
        <f t="shared" si="40"/>
        <v>360.84729828990493</v>
      </c>
      <c r="E1237" s="98" t="str">
        <f t="shared" si="41"/>
        <v>Error</v>
      </c>
    </row>
    <row r="1238" spans="1:5" x14ac:dyDescent="0.25">
      <c r="A1238" s="95">
        <f>'Site Data'!B1240</f>
        <v>0</v>
      </c>
      <c r="B1238">
        <f>'Raw Data'!B1240</f>
        <v>360.8</v>
      </c>
      <c r="C1238">
        <f>'Site Data'!E1240</f>
        <v>0</v>
      </c>
      <c r="D1238" s="97">
        <f t="shared" si="40"/>
        <v>360.8</v>
      </c>
      <c r="E1238" s="98" t="str">
        <f t="shared" si="41"/>
        <v>Error</v>
      </c>
    </row>
    <row r="1239" spans="1:5" x14ac:dyDescent="0.25">
      <c r="A1239" s="95">
        <f>'Site Data'!B1241</f>
        <v>0</v>
      </c>
      <c r="B1239">
        <f>'Raw Data'!B1241</f>
        <v>360.79221989210657</v>
      </c>
      <c r="C1239">
        <f>'Site Data'!E1241</f>
        <v>0</v>
      </c>
      <c r="D1239" s="97">
        <f t="shared" si="40"/>
        <v>360.79221989210657</v>
      </c>
      <c r="E1239" s="98" t="str">
        <f t="shared" si="41"/>
        <v>Error</v>
      </c>
    </row>
    <row r="1240" spans="1:5" x14ac:dyDescent="0.25">
      <c r="A1240" s="95">
        <f>'Site Data'!B1242</f>
        <v>0</v>
      </c>
      <c r="B1240">
        <f>'Raw Data'!B1242</f>
        <v>360.79</v>
      </c>
      <c r="C1240">
        <f>'Site Data'!E1242</f>
        <v>0</v>
      </c>
      <c r="D1240" s="97">
        <f t="shared" si="40"/>
        <v>360.79</v>
      </c>
      <c r="E1240" s="98" t="str">
        <f t="shared" si="41"/>
        <v>Error</v>
      </c>
    </row>
    <row r="1241" spans="1:5" x14ac:dyDescent="0.25">
      <c r="A1241" s="95">
        <f>'Site Data'!B1243</f>
        <v>0</v>
      </c>
      <c r="B1241">
        <f>'Raw Data'!B1243</f>
        <v>360.71183393831836</v>
      </c>
      <c r="C1241">
        <f>'Site Data'!E1243</f>
        <v>0</v>
      </c>
      <c r="D1241" s="97">
        <f t="shared" si="40"/>
        <v>360.71183393831836</v>
      </c>
      <c r="E1241" s="98" t="str">
        <f t="shared" si="41"/>
        <v>Error</v>
      </c>
    </row>
    <row r="1242" spans="1:5" x14ac:dyDescent="0.25">
      <c r="A1242" s="95">
        <f>'Site Data'!B1244</f>
        <v>0</v>
      </c>
      <c r="B1242">
        <f>'Raw Data'!B1244</f>
        <v>360.69</v>
      </c>
      <c r="C1242">
        <f>'Site Data'!E1244</f>
        <v>0</v>
      </c>
      <c r="D1242" s="97">
        <f t="shared" si="40"/>
        <v>360.69</v>
      </c>
      <c r="E1242" s="98" t="str">
        <f t="shared" si="41"/>
        <v>Error</v>
      </c>
    </row>
    <row r="1243" spans="1:5" x14ac:dyDescent="0.25">
      <c r="A1243" s="95">
        <f>'Site Data'!B1245</f>
        <v>0</v>
      </c>
      <c r="B1243">
        <f>'Raw Data'!B1245</f>
        <v>360.69</v>
      </c>
      <c r="C1243">
        <f>'Site Data'!E1245</f>
        <v>0</v>
      </c>
      <c r="D1243" s="97">
        <f t="shared" si="40"/>
        <v>360.69</v>
      </c>
      <c r="E1243" s="98" t="str">
        <f t="shared" si="41"/>
        <v>Error</v>
      </c>
    </row>
    <row r="1244" spans="1:5" x14ac:dyDescent="0.25">
      <c r="A1244" s="95">
        <f>'Site Data'!B1246</f>
        <v>0</v>
      </c>
      <c r="B1244">
        <f>'Raw Data'!B1246</f>
        <v>360.69</v>
      </c>
      <c r="C1244">
        <f>'Site Data'!E1246</f>
        <v>0</v>
      </c>
      <c r="D1244" s="97">
        <f t="shared" si="40"/>
        <v>360.69</v>
      </c>
      <c r="E1244" s="98" t="str">
        <f t="shared" si="41"/>
        <v>Error</v>
      </c>
    </row>
    <row r="1245" spans="1:5" x14ac:dyDescent="0.25">
      <c r="A1245" s="95">
        <f>'Site Data'!B1247</f>
        <v>0</v>
      </c>
      <c r="B1245">
        <f>'Raw Data'!B1247</f>
        <v>360.69</v>
      </c>
      <c r="C1245">
        <f>'Site Data'!E1247</f>
        <v>0</v>
      </c>
      <c r="D1245" s="97">
        <f t="shared" si="40"/>
        <v>360.69</v>
      </c>
      <c r="E1245" s="98" t="str">
        <f t="shared" si="41"/>
        <v>Error</v>
      </c>
    </row>
    <row r="1246" spans="1:5" x14ac:dyDescent="0.25">
      <c r="A1246" s="95">
        <f>'Site Data'!B1248</f>
        <v>0</v>
      </c>
      <c r="B1246">
        <f>'Raw Data'!B1248</f>
        <v>360.69</v>
      </c>
      <c r="C1246">
        <f>'Site Data'!E1248</f>
        <v>0</v>
      </c>
      <c r="D1246" s="97">
        <f t="shared" si="40"/>
        <v>360.69</v>
      </c>
      <c r="E1246" s="98" t="str">
        <f t="shared" si="41"/>
        <v>Error</v>
      </c>
    </row>
    <row r="1247" spans="1:5" x14ac:dyDescent="0.25">
      <c r="A1247" s="95">
        <f>'Site Data'!B1249</f>
        <v>0</v>
      </c>
      <c r="B1247">
        <f>'Raw Data'!B1249</f>
        <v>360.69</v>
      </c>
      <c r="C1247">
        <f>'Site Data'!E1249</f>
        <v>0</v>
      </c>
      <c r="D1247" s="97">
        <f t="shared" si="40"/>
        <v>360.69</v>
      </c>
      <c r="E1247" s="98" t="str">
        <f t="shared" si="41"/>
        <v>Error</v>
      </c>
    </row>
    <row r="1248" spans="1:5" x14ac:dyDescent="0.25">
      <c r="A1248" s="95">
        <f>'Site Data'!B1250</f>
        <v>0</v>
      </c>
      <c r="B1248">
        <f>'Raw Data'!B1250</f>
        <v>360.69</v>
      </c>
      <c r="C1248">
        <f>'Site Data'!E1250</f>
        <v>0</v>
      </c>
      <c r="D1248" s="97">
        <f t="shared" si="40"/>
        <v>360.69</v>
      </c>
      <c r="E1248" s="98" t="str">
        <f t="shared" si="41"/>
        <v>Error</v>
      </c>
    </row>
    <row r="1249" spans="1:5" x14ac:dyDescent="0.25">
      <c r="A1249" s="95">
        <f>'Site Data'!B1251</f>
        <v>0</v>
      </c>
      <c r="B1249">
        <f>'Raw Data'!B1251</f>
        <v>360.69</v>
      </c>
      <c r="C1249">
        <f>'Site Data'!E1251</f>
        <v>0</v>
      </c>
      <c r="D1249" s="97">
        <f t="shared" si="40"/>
        <v>360.69</v>
      </c>
      <c r="E1249" s="98" t="str">
        <f t="shared" si="41"/>
        <v>Error</v>
      </c>
    </row>
    <row r="1250" spans="1:5" x14ac:dyDescent="0.25">
      <c r="A1250" s="95">
        <f>'Site Data'!B1252</f>
        <v>0</v>
      </c>
      <c r="B1250">
        <f>'Raw Data'!B1252</f>
        <v>360.69</v>
      </c>
      <c r="C1250">
        <f>'Site Data'!E1252</f>
        <v>0</v>
      </c>
      <c r="D1250" s="97">
        <f t="shared" si="40"/>
        <v>360.69</v>
      </c>
      <c r="E1250" s="98" t="str">
        <f t="shared" si="41"/>
        <v>Error</v>
      </c>
    </row>
    <row r="1251" spans="1:5" x14ac:dyDescent="0.25">
      <c r="A1251" s="95">
        <f>'Site Data'!B1253</f>
        <v>0</v>
      </c>
      <c r="B1251">
        <f>'Raw Data'!B1253</f>
        <v>360.32</v>
      </c>
      <c r="C1251">
        <f>'Site Data'!E1253</f>
        <v>0</v>
      </c>
      <c r="D1251" s="97">
        <f t="shared" si="40"/>
        <v>360.32</v>
      </c>
      <c r="E1251" s="98" t="str">
        <f t="shared" si="41"/>
        <v>Error</v>
      </c>
    </row>
    <row r="1252" spans="1:5" x14ac:dyDescent="0.25">
      <c r="A1252" s="95">
        <f>'Site Data'!B1254</f>
        <v>0</v>
      </c>
      <c r="B1252">
        <f>'Raw Data'!B1254</f>
        <v>360.32</v>
      </c>
      <c r="C1252">
        <f>'Site Data'!E1254</f>
        <v>0</v>
      </c>
      <c r="D1252" s="97">
        <f t="shared" si="40"/>
        <v>360.32</v>
      </c>
      <c r="E1252" s="98" t="str">
        <f t="shared" si="41"/>
        <v>Error</v>
      </c>
    </row>
    <row r="1253" spans="1:5" x14ac:dyDescent="0.25">
      <c r="A1253" s="95">
        <f>'Site Data'!B1255</f>
        <v>0</v>
      </c>
      <c r="B1253">
        <f>'Raw Data'!B1255</f>
        <v>360.32</v>
      </c>
      <c r="C1253">
        <f>'Site Data'!E1255</f>
        <v>0</v>
      </c>
      <c r="D1253" s="97">
        <f t="shared" si="40"/>
        <v>360.32</v>
      </c>
      <c r="E1253" s="98" t="str">
        <f t="shared" si="41"/>
        <v>Error</v>
      </c>
    </row>
    <row r="1254" spans="1:5" x14ac:dyDescent="0.25">
      <c r="A1254" s="95">
        <f>'Site Data'!B1256</f>
        <v>0</v>
      </c>
      <c r="B1254">
        <f>'Raw Data'!B1256</f>
        <v>360.32</v>
      </c>
      <c r="C1254">
        <f>'Site Data'!E1256</f>
        <v>0</v>
      </c>
      <c r="D1254" s="97">
        <f t="shared" si="40"/>
        <v>360.32</v>
      </c>
      <c r="E1254" s="98" t="str">
        <f t="shared" si="41"/>
        <v>Error</v>
      </c>
    </row>
    <row r="1255" spans="1:5" x14ac:dyDescent="0.25">
      <c r="A1255" s="95">
        <f>'Site Data'!B1257</f>
        <v>0</v>
      </c>
      <c r="B1255">
        <f>'Raw Data'!B1257</f>
        <v>360.33</v>
      </c>
      <c r="C1255">
        <f>'Site Data'!E1257</f>
        <v>0</v>
      </c>
      <c r="D1255" s="97">
        <f t="shared" si="40"/>
        <v>360.33</v>
      </c>
      <c r="E1255" s="98" t="str">
        <f t="shared" si="41"/>
        <v>Error</v>
      </c>
    </row>
    <row r="1256" spans="1:5" x14ac:dyDescent="0.25">
      <c r="A1256" s="95">
        <f>'Site Data'!B1258</f>
        <v>0</v>
      </c>
      <c r="B1256">
        <f>'Raw Data'!B1258</f>
        <v>360.33</v>
      </c>
      <c r="C1256">
        <f>'Site Data'!E1258</f>
        <v>0</v>
      </c>
      <c r="D1256" s="97">
        <f t="shared" si="40"/>
        <v>360.33</v>
      </c>
      <c r="E1256" s="98" t="str">
        <f t="shared" si="41"/>
        <v>Error</v>
      </c>
    </row>
    <row r="1257" spans="1:5" x14ac:dyDescent="0.25">
      <c r="A1257" s="95">
        <f>'Site Data'!B1259</f>
        <v>0</v>
      </c>
      <c r="B1257">
        <f>'Raw Data'!B1259</f>
        <v>360.33</v>
      </c>
      <c r="C1257">
        <f>'Site Data'!E1259</f>
        <v>0</v>
      </c>
      <c r="D1257" s="97">
        <f t="shared" si="40"/>
        <v>360.33</v>
      </c>
      <c r="E1257" s="98" t="str">
        <f t="shared" si="41"/>
        <v>Error</v>
      </c>
    </row>
    <row r="1258" spans="1:5" x14ac:dyDescent="0.25">
      <c r="A1258" s="95">
        <f>'Site Data'!B1260</f>
        <v>0</v>
      </c>
      <c r="B1258">
        <f>'Raw Data'!B1260</f>
        <v>360.33</v>
      </c>
      <c r="C1258">
        <f>'Site Data'!E1260</f>
        <v>0</v>
      </c>
      <c r="D1258" s="97">
        <f t="shared" si="40"/>
        <v>360.33</v>
      </c>
      <c r="E1258" s="98" t="str">
        <f t="shared" si="41"/>
        <v>Error</v>
      </c>
    </row>
    <row r="1259" spans="1:5" x14ac:dyDescent="0.25">
      <c r="A1259" s="95">
        <f>'Site Data'!B1261</f>
        <v>0</v>
      </c>
      <c r="B1259">
        <f>'Raw Data'!B1261</f>
        <v>360.33</v>
      </c>
      <c r="C1259">
        <f>'Site Data'!E1261</f>
        <v>0</v>
      </c>
      <c r="D1259" s="97">
        <f t="shared" si="40"/>
        <v>360.33</v>
      </c>
      <c r="E1259" s="98" t="str">
        <f t="shared" si="41"/>
        <v>Error</v>
      </c>
    </row>
    <row r="1260" spans="1:5" x14ac:dyDescent="0.25">
      <c r="A1260" s="95">
        <f>'Site Data'!B1262</f>
        <v>0</v>
      </c>
      <c r="B1260">
        <f>'Raw Data'!B1262</f>
        <v>360.33</v>
      </c>
      <c r="C1260">
        <f>'Site Data'!E1262</f>
        <v>0</v>
      </c>
      <c r="D1260" s="97">
        <f t="shared" si="40"/>
        <v>360.33</v>
      </c>
      <c r="E1260" s="98" t="str">
        <f t="shared" si="41"/>
        <v>Error</v>
      </c>
    </row>
    <row r="1261" spans="1:5" x14ac:dyDescent="0.25">
      <c r="A1261" s="95">
        <f>'Site Data'!B1263</f>
        <v>0</v>
      </c>
      <c r="B1261">
        <f>'Raw Data'!B1263</f>
        <v>360.33</v>
      </c>
      <c r="C1261">
        <f>'Site Data'!E1263</f>
        <v>0</v>
      </c>
      <c r="D1261" s="97">
        <f t="shared" si="40"/>
        <v>360.33</v>
      </c>
      <c r="E1261" s="98" t="str">
        <f t="shared" si="41"/>
        <v>Error</v>
      </c>
    </row>
    <row r="1262" spans="1:5" x14ac:dyDescent="0.25">
      <c r="A1262" s="95">
        <f>'Site Data'!B1264</f>
        <v>0</v>
      </c>
      <c r="B1262">
        <f>'Raw Data'!B1264</f>
        <v>360.33</v>
      </c>
      <c r="C1262">
        <f>'Site Data'!E1264</f>
        <v>0</v>
      </c>
      <c r="D1262" s="97">
        <f t="shared" si="40"/>
        <v>360.33</v>
      </c>
      <c r="E1262" s="98" t="str">
        <f t="shared" si="41"/>
        <v>Error</v>
      </c>
    </row>
    <row r="1263" spans="1:5" x14ac:dyDescent="0.25">
      <c r="A1263" s="95">
        <f>'Site Data'!B1265</f>
        <v>0</v>
      </c>
      <c r="B1263">
        <f>'Raw Data'!B1265</f>
        <v>360.33</v>
      </c>
      <c r="C1263">
        <f>'Site Data'!E1265</f>
        <v>0</v>
      </c>
      <c r="D1263" s="97">
        <f t="shared" si="40"/>
        <v>360.33</v>
      </c>
      <c r="E1263" s="98" t="str">
        <f t="shared" si="41"/>
        <v>Error</v>
      </c>
    </row>
    <row r="1264" spans="1:5" x14ac:dyDescent="0.25">
      <c r="A1264" s="95">
        <f>'Site Data'!B1266</f>
        <v>0</v>
      </c>
      <c r="B1264">
        <f>'Raw Data'!B1266</f>
        <v>360.33</v>
      </c>
      <c r="C1264">
        <f>'Site Data'!E1266</f>
        <v>0</v>
      </c>
      <c r="D1264" s="97">
        <f t="shared" si="40"/>
        <v>360.33</v>
      </c>
      <c r="E1264" s="98" t="str">
        <f t="shared" si="41"/>
        <v>Error</v>
      </c>
    </row>
    <row r="1265" spans="1:5" x14ac:dyDescent="0.25">
      <c r="A1265" s="95">
        <f>'Site Data'!B1267</f>
        <v>0</v>
      </c>
      <c r="B1265">
        <f>'Raw Data'!B1267</f>
        <v>360.32</v>
      </c>
      <c r="C1265">
        <f>'Site Data'!E1267</f>
        <v>0</v>
      </c>
      <c r="D1265" s="97">
        <f t="shared" si="40"/>
        <v>360.32</v>
      </c>
      <c r="E1265" s="98" t="str">
        <f t="shared" si="41"/>
        <v>Error</v>
      </c>
    </row>
    <row r="1266" spans="1:5" x14ac:dyDescent="0.25">
      <c r="A1266" s="95">
        <f>'Site Data'!B1268</f>
        <v>0</v>
      </c>
      <c r="B1266">
        <f>'Raw Data'!B1268</f>
        <v>360.32</v>
      </c>
      <c r="C1266">
        <f>'Site Data'!E1268</f>
        <v>0</v>
      </c>
      <c r="D1266" s="97">
        <f t="shared" si="40"/>
        <v>360.32</v>
      </c>
      <c r="E1266" s="98" t="str">
        <f t="shared" si="41"/>
        <v>Error</v>
      </c>
    </row>
    <row r="1267" spans="1:5" x14ac:dyDescent="0.25">
      <c r="A1267" s="95">
        <f>'Site Data'!B1269</f>
        <v>0</v>
      </c>
      <c r="B1267">
        <f>'Raw Data'!B1269</f>
        <v>360.32066037992951</v>
      </c>
      <c r="C1267">
        <f>'Site Data'!E1269</f>
        <v>0</v>
      </c>
      <c r="D1267" s="97">
        <f t="shared" si="40"/>
        <v>360.32066037992951</v>
      </c>
      <c r="E1267" s="98" t="str">
        <f t="shared" si="41"/>
        <v>Error</v>
      </c>
    </row>
    <row r="1268" spans="1:5" x14ac:dyDescent="0.25">
      <c r="A1268" s="95">
        <f>'Site Data'!B1270</f>
        <v>0</v>
      </c>
      <c r="B1268">
        <f>'Raw Data'!B1270</f>
        <v>360.33</v>
      </c>
      <c r="C1268">
        <f>'Site Data'!E1270</f>
        <v>0</v>
      </c>
      <c r="D1268" s="97">
        <f t="shared" si="40"/>
        <v>360.33</v>
      </c>
      <c r="E1268" s="98" t="str">
        <f t="shared" si="41"/>
        <v>Error</v>
      </c>
    </row>
    <row r="1269" spans="1:5" x14ac:dyDescent="0.25">
      <c r="A1269" s="95">
        <f>'Site Data'!B1271</f>
        <v>0</v>
      </c>
      <c r="B1269">
        <f>'Raw Data'!B1271</f>
        <v>360.33</v>
      </c>
      <c r="C1269">
        <f>'Site Data'!E1271</f>
        <v>0</v>
      </c>
      <c r="D1269" s="97">
        <f t="shared" si="40"/>
        <v>360.33</v>
      </c>
      <c r="E1269" s="98" t="str">
        <f t="shared" si="41"/>
        <v>Error</v>
      </c>
    </row>
    <row r="1270" spans="1:5" x14ac:dyDescent="0.25">
      <c r="A1270" s="95">
        <f>'Site Data'!B1272</f>
        <v>0</v>
      </c>
      <c r="B1270">
        <f>'Raw Data'!B1272</f>
        <v>360.33</v>
      </c>
      <c r="C1270">
        <f>'Site Data'!E1272</f>
        <v>0</v>
      </c>
      <c r="D1270" s="97">
        <f t="shared" si="40"/>
        <v>360.33</v>
      </c>
      <c r="E1270" s="98" t="str">
        <f t="shared" si="41"/>
        <v>Error</v>
      </c>
    </row>
    <row r="1271" spans="1:5" x14ac:dyDescent="0.25">
      <c r="A1271" s="95">
        <f>'Site Data'!B1273</f>
        <v>0</v>
      </c>
      <c r="B1271">
        <f>'Raw Data'!B1273</f>
        <v>360.33078209142855</v>
      </c>
      <c r="C1271">
        <f>'Site Data'!E1273</f>
        <v>0</v>
      </c>
      <c r="D1271" s="97">
        <f t="shared" si="40"/>
        <v>360.33078209142855</v>
      </c>
      <c r="E1271" s="98" t="str">
        <f t="shared" si="41"/>
        <v>Error</v>
      </c>
    </row>
    <row r="1272" spans="1:5" x14ac:dyDescent="0.25">
      <c r="A1272" s="95">
        <f>'Site Data'!B1274</f>
        <v>0</v>
      </c>
      <c r="B1272">
        <f>'Raw Data'!B1274</f>
        <v>360.34</v>
      </c>
      <c r="C1272">
        <f>'Site Data'!E1274</f>
        <v>0</v>
      </c>
      <c r="D1272" s="97">
        <f t="shared" si="40"/>
        <v>360.34</v>
      </c>
      <c r="E1272" s="98" t="str">
        <f t="shared" si="41"/>
        <v>Error</v>
      </c>
    </row>
    <row r="1273" spans="1:5" x14ac:dyDescent="0.25">
      <c r="A1273" s="95">
        <f>'Site Data'!B1275</f>
        <v>0</v>
      </c>
      <c r="B1273">
        <f>'Raw Data'!B1275</f>
        <v>360.34</v>
      </c>
      <c r="C1273">
        <f>'Site Data'!E1275</f>
        <v>0</v>
      </c>
      <c r="D1273" s="97">
        <f t="shared" si="40"/>
        <v>360.34</v>
      </c>
      <c r="E1273" s="98" t="str">
        <f t="shared" si="41"/>
        <v>Error</v>
      </c>
    </row>
    <row r="1274" spans="1:5" x14ac:dyDescent="0.25">
      <c r="A1274" s="95">
        <f>'Site Data'!B1276</f>
        <v>0</v>
      </c>
      <c r="B1274">
        <f>'Raw Data'!B1276</f>
        <v>360.34</v>
      </c>
      <c r="C1274">
        <f>'Site Data'!E1276</f>
        <v>0</v>
      </c>
      <c r="D1274" s="97">
        <f t="shared" si="40"/>
        <v>360.34</v>
      </c>
      <c r="E1274" s="98" t="str">
        <f t="shared" si="41"/>
        <v>Error</v>
      </c>
    </row>
    <row r="1275" spans="1:5" x14ac:dyDescent="0.25">
      <c r="A1275" s="95">
        <f>'Site Data'!B1277</f>
        <v>0</v>
      </c>
      <c r="B1275">
        <f>'Raw Data'!B1277</f>
        <v>360.34</v>
      </c>
      <c r="C1275">
        <f>'Site Data'!E1277</f>
        <v>0</v>
      </c>
      <c r="D1275" s="97">
        <f t="shared" si="40"/>
        <v>360.34</v>
      </c>
      <c r="E1275" s="98" t="str">
        <f t="shared" si="41"/>
        <v>Error</v>
      </c>
    </row>
    <row r="1276" spans="1:5" x14ac:dyDescent="0.25">
      <c r="A1276" s="95">
        <f>'Site Data'!B1278</f>
        <v>0</v>
      </c>
      <c r="B1276">
        <f>'Raw Data'!B1278</f>
        <v>360.34</v>
      </c>
      <c r="C1276">
        <f>'Site Data'!E1278</f>
        <v>0</v>
      </c>
      <c r="D1276" s="97">
        <f t="shared" si="40"/>
        <v>360.34</v>
      </c>
      <c r="E1276" s="98" t="str">
        <f t="shared" si="41"/>
        <v>Error</v>
      </c>
    </row>
    <row r="1277" spans="1:5" x14ac:dyDescent="0.25">
      <c r="A1277" s="95">
        <f>'Site Data'!B1279</f>
        <v>0</v>
      </c>
      <c r="B1277">
        <f>'Raw Data'!B1279</f>
        <v>360.34</v>
      </c>
      <c r="C1277">
        <f>'Site Data'!E1279</f>
        <v>0</v>
      </c>
      <c r="D1277" s="97">
        <f t="shared" si="40"/>
        <v>360.34</v>
      </c>
      <c r="E1277" s="98" t="str">
        <f t="shared" si="41"/>
        <v>Error</v>
      </c>
    </row>
    <row r="1278" spans="1:5" x14ac:dyDescent="0.25">
      <c r="A1278" s="95">
        <f>'Site Data'!B1280</f>
        <v>0</v>
      </c>
      <c r="B1278">
        <f>'Raw Data'!B1280</f>
        <v>360.34</v>
      </c>
      <c r="C1278">
        <f>'Site Data'!E1280</f>
        <v>0</v>
      </c>
      <c r="D1278" s="97">
        <f t="shared" si="40"/>
        <v>360.34</v>
      </c>
      <c r="E1278" s="98" t="str">
        <f t="shared" si="41"/>
        <v>Error</v>
      </c>
    </row>
    <row r="1279" spans="1:5" x14ac:dyDescent="0.25">
      <c r="A1279" s="95">
        <f>'Site Data'!B1281</f>
        <v>0</v>
      </c>
      <c r="B1279">
        <f>'Raw Data'!B1281</f>
        <v>360.34</v>
      </c>
      <c r="C1279">
        <f>'Site Data'!E1281</f>
        <v>0</v>
      </c>
      <c r="D1279" s="97">
        <f t="shared" si="40"/>
        <v>360.34</v>
      </c>
      <c r="E1279" s="98" t="str">
        <f t="shared" si="41"/>
        <v>Error</v>
      </c>
    </row>
    <row r="1280" spans="1:5" x14ac:dyDescent="0.25">
      <c r="A1280" s="95">
        <f>'Site Data'!B1282</f>
        <v>0</v>
      </c>
      <c r="B1280">
        <f>'Raw Data'!B1282</f>
        <v>360.34</v>
      </c>
      <c r="C1280">
        <f>'Site Data'!E1282</f>
        <v>0</v>
      </c>
      <c r="D1280" s="97">
        <f t="shared" si="40"/>
        <v>360.34</v>
      </c>
      <c r="E1280" s="98" t="str">
        <f t="shared" si="41"/>
        <v>Error</v>
      </c>
    </row>
    <row r="1281" spans="1:5" x14ac:dyDescent="0.25">
      <c r="A1281" s="95">
        <f>'Site Data'!B1283</f>
        <v>0</v>
      </c>
      <c r="B1281">
        <f>'Raw Data'!B1283</f>
        <v>360.34</v>
      </c>
      <c r="C1281">
        <f>'Site Data'!E1283</f>
        <v>0</v>
      </c>
      <c r="D1281" s="97">
        <f t="shared" si="40"/>
        <v>360.34</v>
      </c>
      <c r="E1281" s="98" t="str">
        <f t="shared" si="41"/>
        <v>Error</v>
      </c>
    </row>
    <row r="1282" spans="1:5" x14ac:dyDescent="0.25">
      <c r="A1282" s="95">
        <f>'Site Data'!B1284</f>
        <v>0</v>
      </c>
      <c r="B1282">
        <f>'Raw Data'!B1284</f>
        <v>360.34</v>
      </c>
      <c r="C1282">
        <f>'Site Data'!E1284</f>
        <v>0</v>
      </c>
      <c r="D1282" s="97">
        <f t="shared" ref="D1282:D1345" si="42">B1282-C1282</f>
        <v>360.34</v>
      </c>
      <c r="E1282" s="98" t="str">
        <f t="shared" ref="E1282:E1345" si="43">IF(AND(D1282 &gt;= 50, D1282 &lt;= 60), "Valid", "Error")</f>
        <v>Error</v>
      </c>
    </row>
    <row r="1283" spans="1:5" x14ac:dyDescent="0.25">
      <c r="A1283" s="95">
        <f>'Site Data'!B1285</f>
        <v>0</v>
      </c>
      <c r="B1283">
        <f>'Raw Data'!B1285</f>
        <v>360.34</v>
      </c>
      <c r="C1283">
        <f>'Site Data'!E1285</f>
        <v>0</v>
      </c>
      <c r="D1283" s="97">
        <f t="shared" si="42"/>
        <v>360.34</v>
      </c>
      <c r="E1283" s="98" t="str">
        <f t="shared" si="43"/>
        <v>Error</v>
      </c>
    </row>
    <row r="1284" spans="1:5" x14ac:dyDescent="0.25">
      <c r="A1284" s="95">
        <f>'Site Data'!B1286</f>
        <v>0</v>
      </c>
      <c r="B1284">
        <f>'Raw Data'!B1286</f>
        <v>360.34</v>
      </c>
      <c r="C1284">
        <f>'Site Data'!E1286</f>
        <v>0</v>
      </c>
      <c r="D1284" s="97">
        <f t="shared" si="42"/>
        <v>360.34</v>
      </c>
      <c r="E1284" s="98" t="str">
        <f t="shared" si="43"/>
        <v>Error</v>
      </c>
    </row>
    <row r="1285" spans="1:5" x14ac:dyDescent="0.25">
      <c r="A1285" s="95">
        <f>'Site Data'!B1287</f>
        <v>0</v>
      </c>
      <c r="B1285">
        <f>'Raw Data'!B1287</f>
        <v>360.34</v>
      </c>
      <c r="C1285">
        <f>'Site Data'!E1287</f>
        <v>0</v>
      </c>
      <c r="D1285" s="97">
        <f t="shared" si="42"/>
        <v>360.34</v>
      </c>
      <c r="E1285" s="98" t="str">
        <f t="shared" si="43"/>
        <v>Error</v>
      </c>
    </row>
    <row r="1286" spans="1:5" x14ac:dyDescent="0.25">
      <c r="A1286" s="95">
        <f>'Site Data'!B1288</f>
        <v>0</v>
      </c>
      <c r="B1286">
        <f>'Raw Data'!B1288</f>
        <v>360.34</v>
      </c>
      <c r="C1286">
        <f>'Site Data'!E1288</f>
        <v>0</v>
      </c>
      <c r="D1286" s="97">
        <f t="shared" si="42"/>
        <v>360.34</v>
      </c>
      <c r="E1286" s="98" t="str">
        <f t="shared" si="43"/>
        <v>Error</v>
      </c>
    </row>
    <row r="1287" spans="1:5" x14ac:dyDescent="0.25">
      <c r="A1287" s="95">
        <f>'Site Data'!B1289</f>
        <v>0</v>
      </c>
      <c r="B1287">
        <f>'Raw Data'!B1289</f>
        <v>360.34</v>
      </c>
      <c r="C1287">
        <f>'Site Data'!E1289</f>
        <v>0</v>
      </c>
      <c r="D1287" s="97">
        <f t="shared" si="42"/>
        <v>360.34</v>
      </c>
      <c r="E1287" s="98" t="str">
        <f t="shared" si="43"/>
        <v>Error</v>
      </c>
    </row>
    <row r="1288" spans="1:5" x14ac:dyDescent="0.25">
      <c r="A1288" s="95">
        <f>'Site Data'!B1290</f>
        <v>0</v>
      </c>
      <c r="B1288">
        <f>'Raw Data'!B1290</f>
        <v>360.34</v>
      </c>
      <c r="C1288">
        <f>'Site Data'!E1290</f>
        <v>0</v>
      </c>
      <c r="D1288" s="97">
        <f t="shared" si="42"/>
        <v>360.34</v>
      </c>
      <c r="E1288" s="98" t="str">
        <f t="shared" si="43"/>
        <v>Error</v>
      </c>
    </row>
    <row r="1289" spans="1:5" x14ac:dyDescent="0.25">
      <c r="A1289" s="95">
        <f>'Site Data'!B1291</f>
        <v>0</v>
      </c>
      <c r="B1289">
        <f>'Raw Data'!B1291</f>
        <v>360.34</v>
      </c>
      <c r="C1289">
        <f>'Site Data'!E1291</f>
        <v>0</v>
      </c>
      <c r="D1289" s="97">
        <f t="shared" si="42"/>
        <v>360.34</v>
      </c>
      <c r="E1289" s="98" t="str">
        <f t="shared" si="43"/>
        <v>Error</v>
      </c>
    </row>
    <row r="1290" spans="1:5" x14ac:dyDescent="0.25">
      <c r="A1290" s="95">
        <f>'Site Data'!B1292</f>
        <v>0</v>
      </c>
      <c r="B1290">
        <f>'Raw Data'!B1292</f>
        <v>360.34</v>
      </c>
      <c r="C1290">
        <f>'Site Data'!E1292</f>
        <v>0</v>
      </c>
      <c r="D1290" s="97">
        <f t="shared" si="42"/>
        <v>360.34</v>
      </c>
      <c r="E1290" s="98" t="str">
        <f t="shared" si="43"/>
        <v>Error</v>
      </c>
    </row>
    <row r="1291" spans="1:5" x14ac:dyDescent="0.25">
      <c r="A1291" s="95">
        <f>'Site Data'!B1293</f>
        <v>0</v>
      </c>
      <c r="B1291">
        <f>'Raw Data'!B1293</f>
        <v>360.34</v>
      </c>
      <c r="C1291">
        <f>'Site Data'!E1293</f>
        <v>0</v>
      </c>
      <c r="D1291" s="97">
        <f t="shared" si="42"/>
        <v>360.34</v>
      </c>
      <c r="E1291" s="98" t="str">
        <f t="shared" si="43"/>
        <v>Error</v>
      </c>
    </row>
    <row r="1292" spans="1:5" x14ac:dyDescent="0.25">
      <c r="A1292" s="95">
        <f>'Site Data'!B1294</f>
        <v>0</v>
      </c>
      <c r="B1292">
        <f>'Raw Data'!B1294</f>
        <v>360.34</v>
      </c>
      <c r="C1292">
        <f>'Site Data'!E1294</f>
        <v>0</v>
      </c>
      <c r="D1292" s="97">
        <f t="shared" si="42"/>
        <v>360.34</v>
      </c>
      <c r="E1292" s="98" t="str">
        <f t="shared" si="43"/>
        <v>Error</v>
      </c>
    </row>
    <row r="1293" spans="1:5" x14ac:dyDescent="0.25">
      <c r="A1293" s="95">
        <f>'Site Data'!B1295</f>
        <v>0</v>
      </c>
      <c r="B1293">
        <f>'Raw Data'!B1295</f>
        <v>360.56</v>
      </c>
      <c r="C1293">
        <f>'Site Data'!E1295</f>
        <v>0</v>
      </c>
      <c r="D1293" s="97">
        <f t="shared" si="42"/>
        <v>360.56</v>
      </c>
      <c r="E1293" s="98" t="str">
        <f t="shared" si="43"/>
        <v>Error</v>
      </c>
    </row>
    <row r="1294" spans="1:5" x14ac:dyDescent="0.25">
      <c r="A1294" s="95">
        <f>'Site Data'!B1296</f>
        <v>0</v>
      </c>
      <c r="B1294">
        <f>'Raw Data'!B1296</f>
        <v>360.56</v>
      </c>
      <c r="C1294">
        <f>'Site Data'!E1296</f>
        <v>0</v>
      </c>
      <c r="D1294" s="97">
        <f t="shared" si="42"/>
        <v>360.56</v>
      </c>
      <c r="E1294" s="98" t="str">
        <f t="shared" si="43"/>
        <v>Error</v>
      </c>
    </row>
    <row r="1295" spans="1:5" x14ac:dyDescent="0.25">
      <c r="A1295" s="95">
        <f>'Site Data'!B1297</f>
        <v>0</v>
      </c>
      <c r="B1295">
        <f>'Raw Data'!B1297</f>
        <v>360.56</v>
      </c>
      <c r="C1295">
        <f>'Site Data'!E1297</f>
        <v>0</v>
      </c>
      <c r="D1295" s="97">
        <f t="shared" si="42"/>
        <v>360.56</v>
      </c>
      <c r="E1295" s="98" t="str">
        <f t="shared" si="43"/>
        <v>Error</v>
      </c>
    </row>
    <row r="1296" spans="1:5" x14ac:dyDescent="0.25">
      <c r="A1296" s="95">
        <f>'Site Data'!B1298</f>
        <v>0</v>
      </c>
      <c r="B1296">
        <f>'Raw Data'!B1298</f>
        <v>360.56</v>
      </c>
      <c r="C1296">
        <f>'Site Data'!E1298</f>
        <v>0</v>
      </c>
      <c r="D1296" s="97">
        <f t="shared" si="42"/>
        <v>360.56</v>
      </c>
      <c r="E1296" s="98" t="str">
        <f t="shared" si="43"/>
        <v>Error</v>
      </c>
    </row>
    <row r="1297" spans="1:5" x14ac:dyDescent="0.25">
      <c r="A1297" s="95">
        <f>'Site Data'!B1299</f>
        <v>0</v>
      </c>
      <c r="B1297">
        <f>'Raw Data'!B1299</f>
        <v>360.56</v>
      </c>
      <c r="C1297">
        <f>'Site Data'!E1299</f>
        <v>0</v>
      </c>
      <c r="D1297" s="97">
        <f t="shared" si="42"/>
        <v>360.56</v>
      </c>
      <c r="E1297" s="98" t="str">
        <f t="shared" si="43"/>
        <v>Error</v>
      </c>
    </row>
    <row r="1298" spans="1:5" x14ac:dyDescent="0.25">
      <c r="A1298" s="95">
        <f>'Site Data'!B1300</f>
        <v>0</v>
      </c>
      <c r="B1298">
        <f>'Raw Data'!B1300</f>
        <v>360.56</v>
      </c>
      <c r="C1298">
        <f>'Site Data'!E1300</f>
        <v>0</v>
      </c>
      <c r="D1298" s="97">
        <f t="shared" si="42"/>
        <v>360.56</v>
      </c>
      <c r="E1298" s="98" t="str">
        <f t="shared" si="43"/>
        <v>Error</v>
      </c>
    </row>
    <row r="1299" spans="1:5" x14ac:dyDescent="0.25">
      <c r="A1299" s="95">
        <f>'Site Data'!B1301</f>
        <v>0</v>
      </c>
      <c r="B1299">
        <f>'Raw Data'!B1301</f>
        <v>360.56</v>
      </c>
      <c r="C1299">
        <f>'Site Data'!E1301</f>
        <v>0</v>
      </c>
      <c r="D1299" s="97">
        <f t="shared" si="42"/>
        <v>360.56</v>
      </c>
      <c r="E1299" s="98" t="str">
        <f t="shared" si="43"/>
        <v>Error</v>
      </c>
    </row>
    <row r="1300" spans="1:5" x14ac:dyDescent="0.25">
      <c r="A1300" s="95">
        <f>'Site Data'!B1302</f>
        <v>0</v>
      </c>
      <c r="B1300">
        <f>'Raw Data'!B1302</f>
        <v>360.56</v>
      </c>
      <c r="C1300">
        <f>'Site Data'!E1302</f>
        <v>0</v>
      </c>
      <c r="D1300" s="97">
        <f t="shared" si="42"/>
        <v>360.56</v>
      </c>
      <c r="E1300" s="98" t="str">
        <f t="shared" si="43"/>
        <v>Error</v>
      </c>
    </row>
    <row r="1301" spans="1:5" x14ac:dyDescent="0.25">
      <c r="A1301" s="95">
        <f>'Site Data'!B1303</f>
        <v>0</v>
      </c>
      <c r="B1301">
        <f>'Raw Data'!B1303</f>
        <v>360.56</v>
      </c>
      <c r="C1301">
        <f>'Site Data'!E1303</f>
        <v>0</v>
      </c>
      <c r="D1301" s="97">
        <f t="shared" si="42"/>
        <v>360.56</v>
      </c>
      <c r="E1301" s="98" t="str">
        <f t="shared" si="43"/>
        <v>Error</v>
      </c>
    </row>
    <row r="1302" spans="1:5" x14ac:dyDescent="0.25">
      <c r="A1302" s="95">
        <f>'Site Data'!B1304</f>
        <v>0</v>
      </c>
      <c r="B1302">
        <f>'Raw Data'!B1304</f>
        <v>360.56</v>
      </c>
      <c r="C1302">
        <f>'Site Data'!E1304</f>
        <v>0</v>
      </c>
      <c r="D1302" s="97">
        <f t="shared" si="42"/>
        <v>360.56</v>
      </c>
      <c r="E1302" s="98" t="str">
        <f t="shared" si="43"/>
        <v>Error</v>
      </c>
    </row>
    <row r="1303" spans="1:5" x14ac:dyDescent="0.25">
      <c r="A1303" s="95">
        <f>'Site Data'!B1305</f>
        <v>0</v>
      </c>
      <c r="B1303">
        <f>'Raw Data'!B1305</f>
        <v>360.56</v>
      </c>
      <c r="C1303">
        <f>'Site Data'!E1305</f>
        <v>0</v>
      </c>
      <c r="D1303" s="97">
        <f t="shared" si="42"/>
        <v>360.56</v>
      </c>
      <c r="E1303" s="98" t="str">
        <f t="shared" si="43"/>
        <v>Error</v>
      </c>
    </row>
    <row r="1304" spans="1:5" x14ac:dyDescent="0.25">
      <c r="A1304" s="95">
        <f>'Site Data'!B1306</f>
        <v>0</v>
      </c>
      <c r="B1304">
        <f>'Raw Data'!B1306</f>
        <v>360.56</v>
      </c>
      <c r="C1304">
        <f>'Site Data'!E1306</f>
        <v>0</v>
      </c>
      <c r="D1304" s="97">
        <f t="shared" si="42"/>
        <v>360.56</v>
      </c>
      <c r="E1304" s="98" t="str">
        <f t="shared" si="43"/>
        <v>Error</v>
      </c>
    </row>
    <row r="1305" spans="1:5" x14ac:dyDescent="0.25">
      <c r="A1305" s="95">
        <f>'Site Data'!B1307</f>
        <v>0</v>
      </c>
      <c r="B1305">
        <f>'Raw Data'!B1307</f>
        <v>360.56</v>
      </c>
      <c r="C1305">
        <f>'Site Data'!E1307</f>
        <v>0</v>
      </c>
      <c r="D1305" s="97">
        <f t="shared" si="42"/>
        <v>360.56</v>
      </c>
      <c r="E1305" s="98" t="str">
        <f t="shared" si="43"/>
        <v>Error</v>
      </c>
    </row>
    <row r="1306" spans="1:5" x14ac:dyDescent="0.25">
      <c r="A1306" s="95">
        <f>'Site Data'!B1308</f>
        <v>0</v>
      </c>
      <c r="B1306">
        <f>'Raw Data'!B1308</f>
        <v>360.56</v>
      </c>
      <c r="C1306">
        <f>'Site Data'!E1308</f>
        <v>0</v>
      </c>
      <c r="D1306" s="97">
        <f t="shared" si="42"/>
        <v>360.56</v>
      </c>
      <c r="E1306" s="98" t="str">
        <f t="shared" si="43"/>
        <v>Error</v>
      </c>
    </row>
    <row r="1307" spans="1:5" x14ac:dyDescent="0.25">
      <c r="A1307" s="95">
        <f>'Site Data'!B1309</f>
        <v>0</v>
      </c>
      <c r="B1307">
        <f>'Raw Data'!B1309</f>
        <v>360.46</v>
      </c>
      <c r="C1307">
        <f>'Site Data'!E1309</f>
        <v>0</v>
      </c>
      <c r="D1307" s="97">
        <f t="shared" si="42"/>
        <v>360.46</v>
      </c>
      <c r="E1307" s="98" t="str">
        <f t="shared" si="43"/>
        <v>Error</v>
      </c>
    </row>
    <row r="1308" spans="1:5" x14ac:dyDescent="0.25">
      <c r="A1308" s="95">
        <f>'Site Data'!B1310</f>
        <v>0</v>
      </c>
      <c r="B1308">
        <f>'Raw Data'!B1310</f>
        <v>360.46</v>
      </c>
      <c r="C1308">
        <f>'Site Data'!E1310</f>
        <v>0</v>
      </c>
      <c r="D1308" s="97">
        <f t="shared" si="42"/>
        <v>360.46</v>
      </c>
      <c r="E1308" s="98" t="str">
        <f t="shared" si="43"/>
        <v>Error</v>
      </c>
    </row>
    <row r="1309" spans="1:5" x14ac:dyDescent="0.25">
      <c r="A1309" s="95">
        <f>'Site Data'!B1311</f>
        <v>0</v>
      </c>
      <c r="B1309">
        <f>'Raw Data'!B1311</f>
        <v>360.44</v>
      </c>
      <c r="C1309">
        <f>'Site Data'!E1311</f>
        <v>0</v>
      </c>
      <c r="D1309" s="97">
        <f t="shared" si="42"/>
        <v>360.44</v>
      </c>
      <c r="E1309" s="98" t="str">
        <f t="shared" si="43"/>
        <v>Error</v>
      </c>
    </row>
    <row r="1310" spans="1:5" x14ac:dyDescent="0.25">
      <c r="A1310" s="95">
        <f>'Site Data'!B1312</f>
        <v>0</v>
      </c>
      <c r="B1310">
        <f>'Raw Data'!B1312</f>
        <v>360.44</v>
      </c>
      <c r="C1310">
        <f>'Site Data'!E1312</f>
        <v>0</v>
      </c>
      <c r="D1310" s="97">
        <f t="shared" si="42"/>
        <v>360.44</v>
      </c>
      <c r="E1310" s="98" t="str">
        <f t="shared" si="43"/>
        <v>Error</v>
      </c>
    </row>
    <row r="1311" spans="1:5" x14ac:dyDescent="0.25">
      <c r="A1311" s="95">
        <f>'Site Data'!B1313</f>
        <v>0</v>
      </c>
      <c r="B1311">
        <f>'Raw Data'!B1313</f>
        <v>360.4373818750995</v>
      </c>
      <c r="C1311">
        <f>'Site Data'!E1313</f>
        <v>0</v>
      </c>
      <c r="D1311" s="97">
        <f t="shared" si="42"/>
        <v>360.4373818750995</v>
      </c>
      <c r="E1311" s="98" t="str">
        <f t="shared" si="43"/>
        <v>Error</v>
      </c>
    </row>
    <row r="1312" spans="1:5" x14ac:dyDescent="0.25">
      <c r="A1312" s="95">
        <f>'Site Data'!B1314</f>
        <v>0</v>
      </c>
      <c r="B1312">
        <f>'Raw Data'!B1314</f>
        <v>360.42</v>
      </c>
      <c r="C1312">
        <f>'Site Data'!E1314</f>
        <v>0</v>
      </c>
      <c r="D1312" s="97">
        <f t="shared" si="42"/>
        <v>360.42</v>
      </c>
      <c r="E1312" s="98" t="str">
        <f t="shared" si="43"/>
        <v>Error</v>
      </c>
    </row>
    <row r="1313" spans="1:5" x14ac:dyDescent="0.25">
      <c r="A1313" s="95">
        <f>'Site Data'!B1315</f>
        <v>0</v>
      </c>
      <c r="B1313">
        <f>'Raw Data'!B1315</f>
        <v>360.4</v>
      </c>
      <c r="C1313">
        <f>'Site Data'!E1315</f>
        <v>0</v>
      </c>
      <c r="D1313" s="97">
        <f t="shared" si="42"/>
        <v>360.4</v>
      </c>
      <c r="E1313" s="98" t="str">
        <f t="shared" si="43"/>
        <v>Error</v>
      </c>
    </row>
    <row r="1314" spans="1:5" x14ac:dyDescent="0.25">
      <c r="A1314" s="95">
        <f>'Site Data'!B1316</f>
        <v>0</v>
      </c>
      <c r="B1314">
        <f>'Raw Data'!B1316</f>
        <v>360.39963849048917</v>
      </c>
      <c r="C1314">
        <f>'Site Data'!E1316</f>
        <v>0</v>
      </c>
      <c r="D1314" s="97">
        <f t="shared" si="42"/>
        <v>360.39963849048917</v>
      </c>
      <c r="E1314" s="98" t="str">
        <f t="shared" si="43"/>
        <v>Error</v>
      </c>
    </row>
    <row r="1315" spans="1:5" x14ac:dyDescent="0.25">
      <c r="A1315" s="95">
        <f>'Site Data'!B1317</f>
        <v>0</v>
      </c>
      <c r="B1315">
        <f>'Raw Data'!B1317</f>
        <v>360.39785340790723</v>
      </c>
      <c r="C1315">
        <f>'Site Data'!E1317</f>
        <v>0</v>
      </c>
      <c r="D1315" s="97">
        <f t="shared" si="42"/>
        <v>360.39785340790723</v>
      </c>
      <c r="E1315" s="98" t="str">
        <f t="shared" si="43"/>
        <v>Error</v>
      </c>
    </row>
    <row r="1316" spans="1:5" x14ac:dyDescent="0.25">
      <c r="A1316" s="95">
        <f>'Site Data'!B1318</f>
        <v>0</v>
      </c>
      <c r="B1316">
        <f>'Raw Data'!B1318</f>
        <v>360.39606832532536</v>
      </c>
      <c r="C1316">
        <f>'Site Data'!E1318</f>
        <v>0</v>
      </c>
      <c r="D1316" s="97">
        <f t="shared" si="42"/>
        <v>360.39606832532536</v>
      </c>
      <c r="E1316" s="98" t="str">
        <f t="shared" si="43"/>
        <v>Error</v>
      </c>
    </row>
    <row r="1317" spans="1:5" x14ac:dyDescent="0.25">
      <c r="A1317" s="95">
        <f>'Site Data'!B1319</f>
        <v>0</v>
      </c>
      <c r="B1317">
        <f>'Raw Data'!B1319</f>
        <v>360.39428324274348</v>
      </c>
      <c r="C1317">
        <f>'Site Data'!E1319</f>
        <v>0</v>
      </c>
      <c r="D1317" s="97">
        <f t="shared" si="42"/>
        <v>360.39428324274348</v>
      </c>
      <c r="E1317" s="98" t="str">
        <f t="shared" si="43"/>
        <v>Error</v>
      </c>
    </row>
    <row r="1318" spans="1:5" x14ac:dyDescent="0.25">
      <c r="A1318" s="95">
        <f>'Site Data'!B1320</f>
        <v>0</v>
      </c>
      <c r="B1318">
        <f>'Raw Data'!B1320</f>
        <v>360.39249816016155</v>
      </c>
      <c r="C1318">
        <f>'Site Data'!E1320</f>
        <v>0</v>
      </c>
      <c r="D1318" s="97">
        <f t="shared" si="42"/>
        <v>360.39249816016155</v>
      </c>
      <c r="E1318" s="98" t="str">
        <f t="shared" si="43"/>
        <v>Error</v>
      </c>
    </row>
    <row r="1319" spans="1:5" x14ac:dyDescent="0.25">
      <c r="A1319" s="95">
        <f>'Site Data'!B1321</f>
        <v>0</v>
      </c>
      <c r="B1319">
        <f>'Raw Data'!B1321</f>
        <v>360.39071307757968</v>
      </c>
      <c r="C1319">
        <f>'Site Data'!E1321</f>
        <v>0</v>
      </c>
      <c r="D1319" s="97">
        <f t="shared" si="42"/>
        <v>360.39071307757968</v>
      </c>
      <c r="E1319" s="98" t="str">
        <f t="shared" si="43"/>
        <v>Error</v>
      </c>
    </row>
    <row r="1320" spans="1:5" x14ac:dyDescent="0.25">
      <c r="A1320" s="95">
        <f>'Site Data'!B1322</f>
        <v>0</v>
      </c>
      <c r="B1320">
        <f>'Raw Data'!B1322</f>
        <v>360.3889279949978</v>
      </c>
      <c r="C1320">
        <f>'Site Data'!E1322</f>
        <v>0</v>
      </c>
      <c r="D1320" s="97">
        <f t="shared" si="42"/>
        <v>360.3889279949978</v>
      </c>
      <c r="E1320" s="98" t="str">
        <f t="shared" si="43"/>
        <v>Error</v>
      </c>
    </row>
    <row r="1321" spans="1:5" x14ac:dyDescent="0.25">
      <c r="A1321" s="95">
        <f>'Site Data'!B1323</f>
        <v>0</v>
      </c>
      <c r="B1321">
        <f>'Raw Data'!B1323</f>
        <v>360.38714291241587</v>
      </c>
      <c r="C1321">
        <f>'Site Data'!E1323</f>
        <v>0</v>
      </c>
      <c r="D1321" s="97">
        <f t="shared" si="42"/>
        <v>360.38714291241587</v>
      </c>
      <c r="E1321" s="98" t="str">
        <f t="shared" si="43"/>
        <v>Error</v>
      </c>
    </row>
    <row r="1322" spans="1:5" x14ac:dyDescent="0.25">
      <c r="A1322" s="95">
        <f>'Site Data'!B1324</f>
        <v>0</v>
      </c>
      <c r="B1322">
        <f>'Raw Data'!B1324</f>
        <v>360.38535782983399</v>
      </c>
      <c r="C1322">
        <f>'Site Data'!E1324</f>
        <v>0</v>
      </c>
      <c r="D1322" s="97">
        <f t="shared" si="42"/>
        <v>360.38535782983399</v>
      </c>
      <c r="E1322" s="98" t="str">
        <f t="shared" si="43"/>
        <v>Error</v>
      </c>
    </row>
    <row r="1323" spans="1:5" x14ac:dyDescent="0.25">
      <c r="A1323" s="95">
        <f>'Site Data'!B1325</f>
        <v>0</v>
      </c>
      <c r="B1323">
        <f>'Raw Data'!B1325</f>
        <v>360.38357274725212</v>
      </c>
      <c r="C1323">
        <f>'Site Data'!E1325</f>
        <v>0</v>
      </c>
      <c r="D1323" s="97">
        <f t="shared" si="42"/>
        <v>360.38357274725212</v>
      </c>
      <c r="E1323" s="98" t="str">
        <f t="shared" si="43"/>
        <v>Error</v>
      </c>
    </row>
    <row r="1324" spans="1:5" x14ac:dyDescent="0.25">
      <c r="A1324" s="95">
        <f>'Site Data'!B1326</f>
        <v>0</v>
      </c>
      <c r="B1324">
        <f>'Raw Data'!B1326</f>
        <v>360.38178766467018</v>
      </c>
      <c r="C1324">
        <f>'Site Data'!E1326</f>
        <v>0</v>
      </c>
      <c r="D1324" s="97">
        <f t="shared" si="42"/>
        <v>360.38178766467018</v>
      </c>
      <c r="E1324" s="98" t="str">
        <f t="shared" si="43"/>
        <v>Error</v>
      </c>
    </row>
    <row r="1325" spans="1:5" x14ac:dyDescent="0.25">
      <c r="A1325" s="95">
        <f>'Site Data'!B1327</f>
        <v>0</v>
      </c>
      <c r="B1325">
        <f>'Raw Data'!B1327</f>
        <v>360.38000258208831</v>
      </c>
      <c r="C1325">
        <f>'Site Data'!E1327</f>
        <v>0</v>
      </c>
      <c r="D1325" s="97">
        <f t="shared" si="42"/>
        <v>360.38000258208831</v>
      </c>
      <c r="E1325" s="98" t="str">
        <f t="shared" si="43"/>
        <v>Error</v>
      </c>
    </row>
    <row r="1326" spans="1:5" x14ac:dyDescent="0.25">
      <c r="A1326" s="95">
        <f>'Site Data'!B1328</f>
        <v>0</v>
      </c>
      <c r="B1326">
        <f>'Raw Data'!B1328</f>
        <v>360.37821749950643</v>
      </c>
      <c r="C1326">
        <f>'Site Data'!E1328</f>
        <v>0</v>
      </c>
      <c r="D1326" s="97">
        <f t="shared" si="42"/>
        <v>360.37821749950643</v>
      </c>
      <c r="E1326" s="98" t="str">
        <f t="shared" si="43"/>
        <v>Error</v>
      </c>
    </row>
    <row r="1327" spans="1:5" x14ac:dyDescent="0.25">
      <c r="A1327" s="95">
        <f>'Site Data'!B1329</f>
        <v>0</v>
      </c>
      <c r="B1327">
        <f>'Raw Data'!B1329</f>
        <v>360.3764324169245</v>
      </c>
      <c r="C1327">
        <f>'Site Data'!E1329</f>
        <v>0</v>
      </c>
      <c r="D1327" s="97">
        <f t="shared" si="42"/>
        <v>360.3764324169245</v>
      </c>
      <c r="E1327" s="98" t="str">
        <f t="shared" si="43"/>
        <v>Error</v>
      </c>
    </row>
    <row r="1328" spans="1:5" x14ac:dyDescent="0.25">
      <c r="A1328" s="95">
        <f>'Site Data'!B1330</f>
        <v>0</v>
      </c>
      <c r="B1328">
        <f>'Raw Data'!B1330</f>
        <v>360.37464733434263</v>
      </c>
      <c r="C1328">
        <f>'Site Data'!E1330</f>
        <v>0</v>
      </c>
      <c r="D1328" s="97">
        <f t="shared" si="42"/>
        <v>360.37464733434263</v>
      </c>
      <c r="E1328" s="98" t="str">
        <f t="shared" si="43"/>
        <v>Error</v>
      </c>
    </row>
    <row r="1329" spans="1:5" x14ac:dyDescent="0.25">
      <c r="A1329" s="95">
        <f>'Site Data'!B1331</f>
        <v>0</v>
      </c>
      <c r="B1329">
        <f>'Raw Data'!B1331</f>
        <v>360.37286225176075</v>
      </c>
      <c r="C1329">
        <f>'Site Data'!E1331</f>
        <v>0</v>
      </c>
      <c r="D1329" s="97">
        <f t="shared" si="42"/>
        <v>360.37286225176075</v>
      </c>
      <c r="E1329" s="98" t="str">
        <f t="shared" si="43"/>
        <v>Error</v>
      </c>
    </row>
    <row r="1330" spans="1:5" x14ac:dyDescent="0.25">
      <c r="A1330" s="95">
        <f>'Site Data'!B1332</f>
        <v>0</v>
      </c>
      <c r="B1330">
        <f>'Raw Data'!B1332</f>
        <v>360.37107716917882</v>
      </c>
      <c r="C1330">
        <f>'Site Data'!E1332</f>
        <v>0</v>
      </c>
      <c r="D1330" s="97">
        <f t="shared" si="42"/>
        <v>360.37107716917882</v>
      </c>
      <c r="E1330" s="98" t="str">
        <f t="shared" si="43"/>
        <v>Error</v>
      </c>
    </row>
    <row r="1331" spans="1:5" x14ac:dyDescent="0.25">
      <c r="A1331" s="95">
        <f>'Site Data'!B1333</f>
        <v>0</v>
      </c>
      <c r="B1331">
        <f>'Raw Data'!B1333</f>
        <v>360.36929208659694</v>
      </c>
      <c r="C1331">
        <f>'Site Data'!E1333</f>
        <v>0</v>
      </c>
      <c r="D1331" s="97">
        <f t="shared" si="42"/>
        <v>360.36929208659694</v>
      </c>
      <c r="E1331" s="98" t="str">
        <f t="shared" si="43"/>
        <v>Error</v>
      </c>
    </row>
    <row r="1332" spans="1:5" x14ac:dyDescent="0.25">
      <c r="A1332" s="95">
        <f>'Site Data'!B1334</f>
        <v>0</v>
      </c>
      <c r="B1332">
        <f>'Raw Data'!B1334</f>
        <v>360.36750700401507</v>
      </c>
      <c r="C1332">
        <f>'Site Data'!E1334</f>
        <v>0</v>
      </c>
      <c r="D1332" s="97">
        <f t="shared" si="42"/>
        <v>360.36750700401507</v>
      </c>
      <c r="E1332" s="98" t="str">
        <f t="shared" si="43"/>
        <v>Error</v>
      </c>
    </row>
    <row r="1333" spans="1:5" x14ac:dyDescent="0.25">
      <c r="A1333" s="95">
        <f>'Site Data'!B1335</f>
        <v>0</v>
      </c>
      <c r="B1333">
        <f>'Raw Data'!B1335</f>
        <v>360.36572192143313</v>
      </c>
      <c r="C1333">
        <f>'Site Data'!E1335</f>
        <v>0</v>
      </c>
      <c r="D1333" s="97">
        <f t="shared" si="42"/>
        <v>360.36572192143313</v>
      </c>
      <c r="E1333" s="98" t="str">
        <f t="shared" si="43"/>
        <v>Error</v>
      </c>
    </row>
    <row r="1334" spans="1:5" x14ac:dyDescent="0.25">
      <c r="A1334" s="95">
        <f>'Site Data'!B1336</f>
        <v>0</v>
      </c>
      <c r="B1334">
        <f>'Raw Data'!B1336</f>
        <v>360.36393683885126</v>
      </c>
      <c r="C1334">
        <f>'Site Data'!E1336</f>
        <v>0</v>
      </c>
      <c r="D1334" s="97">
        <f t="shared" si="42"/>
        <v>360.36393683885126</v>
      </c>
      <c r="E1334" s="98" t="str">
        <f t="shared" si="43"/>
        <v>Error</v>
      </c>
    </row>
    <row r="1335" spans="1:5" x14ac:dyDescent="0.25">
      <c r="A1335" s="95">
        <f>'Site Data'!B1337</f>
        <v>0</v>
      </c>
      <c r="B1335">
        <f>'Raw Data'!B1337</f>
        <v>360.36215175626938</v>
      </c>
      <c r="C1335">
        <f>'Site Data'!E1337</f>
        <v>0</v>
      </c>
      <c r="D1335" s="97">
        <f t="shared" si="42"/>
        <v>360.36215175626938</v>
      </c>
      <c r="E1335" s="98" t="str">
        <f t="shared" si="43"/>
        <v>Error</v>
      </c>
    </row>
    <row r="1336" spans="1:5" x14ac:dyDescent="0.25">
      <c r="A1336" s="95">
        <f>'Site Data'!B1338</f>
        <v>0</v>
      </c>
      <c r="B1336">
        <f>'Raw Data'!B1338</f>
        <v>360.36036667368745</v>
      </c>
      <c r="C1336">
        <f>'Site Data'!E1338</f>
        <v>0</v>
      </c>
      <c r="D1336" s="97">
        <f t="shared" si="42"/>
        <v>360.36036667368745</v>
      </c>
      <c r="E1336" s="98" t="str">
        <f t="shared" si="43"/>
        <v>Error</v>
      </c>
    </row>
    <row r="1337" spans="1:5" x14ac:dyDescent="0.25">
      <c r="A1337" s="95">
        <f>'Site Data'!B1339</f>
        <v>0</v>
      </c>
      <c r="B1337">
        <f>'Raw Data'!B1339</f>
        <v>360.35858159110558</v>
      </c>
      <c r="C1337">
        <f>'Site Data'!E1339</f>
        <v>0</v>
      </c>
      <c r="D1337" s="97">
        <f t="shared" si="42"/>
        <v>360.35858159110558</v>
      </c>
      <c r="E1337" s="98" t="str">
        <f t="shared" si="43"/>
        <v>Error</v>
      </c>
    </row>
    <row r="1338" spans="1:5" x14ac:dyDescent="0.25">
      <c r="A1338" s="95">
        <f>'Site Data'!B1340</f>
        <v>0</v>
      </c>
      <c r="B1338">
        <f>'Raw Data'!B1340</f>
        <v>360.3567965085237</v>
      </c>
      <c r="C1338">
        <f>'Site Data'!E1340</f>
        <v>0</v>
      </c>
      <c r="D1338" s="97">
        <f t="shared" si="42"/>
        <v>360.3567965085237</v>
      </c>
      <c r="E1338" s="98" t="str">
        <f t="shared" si="43"/>
        <v>Error</v>
      </c>
    </row>
    <row r="1339" spans="1:5" x14ac:dyDescent="0.25">
      <c r="A1339" s="95">
        <f>'Site Data'!B1341</f>
        <v>0</v>
      </c>
      <c r="B1339">
        <f>'Raw Data'!B1341</f>
        <v>360.35501142594177</v>
      </c>
      <c r="C1339">
        <f>'Site Data'!E1341</f>
        <v>0</v>
      </c>
      <c r="D1339" s="97">
        <f t="shared" si="42"/>
        <v>360.35501142594177</v>
      </c>
      <c r="E1339" s="98" t="str">
        <f t="shared" si="43"/>
        <v>Error</v>
      </c>
    </row>
    <row r="1340" spans="1:5" x14ac:dyDescent="0.25">
      <c r="A1340" s="95">
        <f>'Site Data'!B1342</f>
        <v>0</v>
      </c>
      <c r="B1340">
        <f>'Raw Data'!B1342</f>
        <v>360.35322634335989</v>
      </c>
      <c r="C1340">
        <f>'Site Data'!E1342</f>
        <v>0</v>
      </c>
      <c r="D1340" s="97">
        <f t="shared" si="42"/>
        <v>360.35322634335989</v>
      </c>
      <c r="E1340" s="98" t="str">
        <f t="shared" si="43"/>
        <v>Error</v>
      </c>
    </row>
    <row r="1341" spans="1:5" x14ac:dyDescent="0.25">
      <c r="A1341" s="95">
        <f>'Site Data'!B1343</f>
        <v>0</v>
      </c>
      <c r="B1341">
        <f>'Raw Data'!B1343</f>
        <v>360.35144126077802</v>
      </c>
      <c r="C1341">
        <f>'Site Data'!E1343</f>
        <v>0</v>
      </c>
      <c r="D1341" s="97">
        <f t="shared" si="42"/>
        <v>360.35144126077802</v>
      </c>
      <c r="E1341" s="98" t="str">
        <f t="shared" si="43"/>
        <v>Error</v>
      </c>
    </row>
    <row r="1342" spans="1:5" x14ac:dyDescent="0.25">
      <c r="A1342" s="95">
        <f>'Site Data'!B1344</f>
        <v>0</v>
      </c>
      <c r="B1342">
        <f>'Raw Data'!B1344</f>
        <v>360.34965617819608</v>
      </c>
      <c r="C1342">
        <f>'Site Data'!E1344</f>
        <v>0</v>
      </c>
      <c r="D1342" s="97">
        <f t="shared" si="42"/>
        <v>360.34965617819608</v>
      </c>
      <c r="E1342" s="98" t="str">
        <f t="shared" si="43"/>
        <v>Error</v>
      </c>
    </row>
    <row r="1343" spans="1:5" x14ac:dyDescent="0.25">
      <c r="A1343" s="95">
        <f>'Site Data'!B1345</f>
        <v>0</v>
      </c>
      <c r="B1343">
        <f>'Raw Data'!B1345</f>
        <v>360.34787109561421</v>
      </c>
      <c r="C1343">
        <f>'Site Data'!E1345</f>
        <v>0</v>
      </c>
      <c r="D1343" s="97">
        <f t="shared" si="42"/>
        <v>360.34787109561421</v>
      </c>
      <c r="E1343" s="98" t="str">
        <f t="shared" si="43"/>
        <v>Error</v>
      </c>
    </row>
    <row r="1344" spans="1:5" x14ac:dyDescent="0.25">
      <c r="A1344" s="95">
        <f>'Site Data'!B1346</f>
        <v>0</v>
      </c>
      <c r="B1344">
        <f>'Raw Data'!B1346</f>
        <v>360.34608601303233</v>
      </c>
      <c r="C1344">
        <f>'Site Data'!E1346</f>
        <v>0</v>
      </c>
      <c r="D1344" s="97">
        <f t="shared" si="42"/>
        <v>360.34608601303233</v>
      </c>
      <c r="E1344" s="98" t="str">
        <f t="shared" si="43"/>
        <v>Error</v>
      </c>
    </row>
    <row r="1345" spans="1:5" x14ac:dyDescent="0.25">
      <c r="A1345" s="95">
        <f>'Site Data'!B1347</f>
        <v>0</v>
      </c>
      <c r="B1345">
        <f>'Raw Data'!B1347</f>
        <v>360.3443009304504</v>
      </c>
      <c r="C1345">
        <f>'Site Data'!E1347</f>
        <v>0</v>
      </c>
      <c r="D1345" s="97">
        <f t="shared" si="42"/>
        <v>360.3443009304504</v>
      </c>
      <c r="E1345" s="98" t="str">
        <f t="shared" si="43"/>
        <v>Error</v>
      </c>
    </row>
    <row r="1346" spans="1:5" x14ac:dyDescent="0.25">
      <c r="A1346" s="95">
        <f>'Site Data'!B1348</f>
        <v>0</v>
      </c>
      <c r="B1346">
        <f>'Raw Data'!B1348</f>
        <v>360.34251584786853</v>
      </c>
      <c r="C1346">
        <f>'Site Data'!E1348</f>
        <v>0</v>
      </c>
      <c r="D1346" s="97">
        <f t="shared" ref="D1346:D1409" si="44">B1346-C1346</f>
        <v>360.34251584786853</v>
      </c>
      <c r="E1346" s="98" t="str">
        <f t="shared" ref="E1346:E1409" si="45">IF(AND(D1346 &gt;= 50, D1346 &lt;= 60), "Valid", "Error")</f>
        <v>Error</v>
      </c>
    </row>
    <row r="1347" spans="1:5" x14ac:dyDescent="0.25">
      <c r="A1347" s="95">
        <f>'Site Data'!B1349</f>
        <v>0</v>
      </c>
      <c r="B1347">
        <f>'Raw Data'!B1349</f>
        <v>360.34073076528665</v>
      </c>
      <c r="C1347">
        <f>'Site Data'!E1349</f>
        <v>0</v>
      </c>
      <c r="D1347" s="97">
        <f t="shared" si="44"/>
        <v>360.34073076528665</v>
      </c>
      <c r="E1347" s="98" t="str">
        <f t="shared" si="45"/>
        <v>Error</v>
      </c>
    </row>
    <row r="1348" spans="1:5" x14ac:dyDescent="0.25">
      <c r="A1348" s="95">
        <f>'Site Data'!B1350</f>
        <v>0</v>
      </c>
      <c r="B1348">
        <f>'Raw Data'!B1350</f>
        <v>360.33894568270472</v>
      </c>
      <c r="C1348">
        <f>'Site Data'!E1350</f>
        <v>0</v>
      </c>
      <c r="D1348" s="97">
        <f t="shared" si="44"/>
        <v>360.33894568270472</v>
      </c>
      <c r="E1348" s="98" t="str">
        <f t="shared" si="45"/>
        <v>Error</v>
      </c>
    </row>
    <row r="1349" spans="1:5" x14ac:dyDescent="0.25">
      <c r="A1349" s="95">
        <f>'Site Data'!B1351</f>
        <v>0</v>
      </c>
      <c r="B1349">
        <f>'Raw Data'!B1351</f>
        <v>360.33716060012284</v>
      </c>
      <c r="C1349">
        <f>'Site Data'!E1351</f>
        <v>0</v>
      </c>
      <c r="D1349" s="97">
        <f t="shared" si="44"/>
        <v>360.33716060012284</v>
      </c>
      <c r="E1349" s="98" t="str">
        <f t="shared" si="45"/>
        <v>Error</v>
      </c>
    </row>
    <row r="1350" spans="1:5" x14ac:dyDescent="0.25">
      <c r="A1350" s="95">
        <f>'Site Data'!B1352</f>
        <v>0</v>
      </c>
      <c r="B1350">
        <f>'Raw Data'!B1352</f>
        <v>360.33537551754097</v>
      </c>
      <c r="C1350">
        <f>'Site Data'!E1352</f>
        <v>0</v>
      </c>
      <c r="D1350" s="97">
        <f t="shared" si="44"/>
        <v>360.33537551754097</v>
      </c>
      <c r="E1350" s="98" t="str">
        <f t="shared" si="45"/>
        <v>Error</v>
      </c>
    </row>
    <row r="1351" spans="1:5" x14ac:dyDescent="0.25">
      <c r="A1351" s="95">
        <f>'Site Data'!B1353</f>
        <v>0</v>
      </c>
      <c r="B1351">
        <f>'Raw Data'!B1353</f>
        <v>360.33359043495904</v>
      </c>
      <c r="C1351">
        <f>'Site Data'!E1353</f>
        <v>0</v>
      </c>
      <c r="D1351" s="97">
        <f t="shared" si="44"/>
        <v>360.33359043495904</v>
      </c>
      <c r="E1351" s="98" t="str">
        <f t="shared" si="45"/>
        <v>Error</v>
      </c>
    </row>
    <row r="1352" spans="1:5" x14ac:dyDescent="0.25">
      <c r="A1352" s="95">
        <f>'Site Data'!B1354</f>
        <v>0</v>
      </c>
      <c r="B1352">
        <f>'Raw Data'!B1354</f>
        <v>360.33180535237716</v>
      </c>
      <c r="C1352">
        <f>'Site Data'!E1354</f>
        <v>0</v>
      </c>
      <c r="D1352" s="97">
        <f t="shared" si="44"/>
        <v>360.33180535237716</v>
      </c>
      <c r="E1352" s="98" t="str">
        <f t="shared" si="45"/>
        <v>Error</v>
      </c>
    </row>
    <row r="1353" spans="1:5" x14ac:dyDescent="0.25">
      <c r="A1353" s="95">
        <f>'Site Data'!B1355</f>
        <v>0</v>
      </c>
      <c r="B1353">
        <f>'Raw Data'!B1355</f>
        <v>360.33002026979528</v>
      </c>
      <c r="C1353">
        <f>'Site Data'!E1355</f>
        <v>0</v>
      </c>
      <c r="D1353" s="97">
        <f t="shared" si="44"/>
        <v>360.33002026979528</v>
      </c>
      <c r="E1353" s="98" t="str">
        <f t="shared" si="45"/>
        <v>Error</v>
      </c>
    </row>
    <row r="1354" spans="1:5" x14ac:dyDescent="0.25">
      <c r="A1354" s="95">
        <f>'Site Data'!B1356</f>
        <v>0</v>
      </c>
      <c r="B1354">
        <f>'Raw Data'!B1356</f>
        <v>360.32823518721335</v>
      </c>
      <c r="C1354">
        <f>'Site Data'!E1356</f>
        <v>0</v>
      </c>
      <c r="D1354" s="97">
        <f t="shared" si="44"/>
        <v>360.32823518721335</v>
      </c>
      <c r="E1354" s="98" t="str">
        <f t="shared" si="45"/>
        <v>Error</v>
      </c>
    </row>
    <row r="1355" spans="1:5" x14ac:dyDescent="0.25">
      <c r="A1355" s="95">
        <f>'Site Data'!B1357</f>
        <v>0</v>
      </c>
      <c r="B1355">
        <f>'Raw Data'!B1357</f>
        <v>360.32645010463148</v>
      </c>
      <c r="C1355">
        <f>'Site Data'!E1357</f>
        <v>0</v>
      </c>
      <c r="D1355" s="97">
        <f t="shared" si="44"/>
        <v>360.32645010463148</v>
      </c>
      <c r="E1355" s="98" t="str">
        <f t="shared" si="45"/>
        <v>Error</v>
      </c>
    </row>
    <row r="1356" spans="1:5" x14ac:dyDescent="0.25">
      <c r="A1356" s="95">
        <f>'Site Data'!B1358</f>
        <v>0</v>
      </c>
      <c r="B1356">
        <f>'Raw Data'!B1358</f>
        <v>360.3246650220496</v>
      </c>
      <c r="C1356">
        <f>'Site Data'!E1358</f>
        <v>0</v>
      </c>
      <c r="D1356" s="97">
        <f t="shared" si="44"/>
        <v>360.3246650220496</v>
      </c>
      <c r="E1356" s="98" t="str">
        <f t="shared" si="45"/>
        <v>Error</v>
      </c>
    </row>
    <row r="1357" spans="1:5" x14ac:dyDescent="0.25">
      <c r="A1357" s="95">
        <f>'Site Data'!B1359</f>
        <v>0</v>
      </c>
      <c r="B1357">
        <f>'Raw Data'!B1359</f>
        <v>360.32287993946767</v>
      </c>
      <c r="C1357">
        <f>'Site Data'!E1359</f>
        <v>0</v>
      </c>
      <c r="D1357" s="97">
        <f t="shared" si="44"/>
        <v>360.32287993946767</v>
      </c>
      <c r="E1357" s="98" t="str">
        <f t="shared" si="45"/>
        <v>Error</v>
      </c>
    </row>
    <row r="1358" spans="1:5" x14ac:dyDescent="0.25">
      <c r="A1358" s="95">
        <f>'Site Data'!B1360</f>
        <v>0</v>
      </c>
      <c r="B1358">
        <f>'Raw Data'!B1360</f>
        <v>360.32109485688579</v>
      </c>
      <c r="C1358">
        <f>'Site Data'!E1360</f>
        <v>0</v>
      </c>
      <c r="D1358" s="97">
        <f t="shared" si="44"/>
        <v>360.32109485688579</v>
      </c>
      <c r="E1358" s="98" t="str">
        <f t="shared" si="45"/>
        <v>Error</v>
      </c>
    </row>
    <row r="1359" spans="1:5" x14ac:dyDescent="0.25">
      <c r="A1359" s="95">
        <f>'Site Data'!B1361</f>
        <v>0</v>
      </c>
      <c r="B1359">
        <f>'Raw Data'!B1361</f>
        <v>360.31930977430392</v>
      </c>
      <c r="C1359">
        <f>'Site Data'!E1361</f>
        <v>0</v>
      </c>
      <c r="D1359" s="97">
        <f t="shared" si="44"/>
        <v>360.31930977430392</v>
      </c>
      <c r="E1359" s="98" t="str">
        <f t="shared" si="45"/>
        <v>Error</v>
      </c>
    </row>
    <row r="1360" spans="1:5" x14ac:dyDescent="0.25">
      <c r="A1360" s="95">
        <f>'Site Data'!B1362</f>
        <v>0</v>
      </c>
      <c r="B1360">
        <f>'Raw Data'!B1362</f>
        <v>360.31752469172199</v>
      </c>
      <c r="C1360">
        <f>'Site Data'!E1362</f>
        <v>0</v>
      </c>
      <c r="D1360" s="97">
        <f t="shared" si="44"/>
        <v>360.31752469172199</v>
      </c>
      <c r="E1360" s="98" t="str">
        <f t="shared" si="45"/>
        <v>Error</v>
      </c>
    </row>
    <row r="1361" spans="1:5" x14ac:dyDescent="0.25">
      <c r="A1361" s="95">
        <f>'Site Data'!B1363</f>
        <v>0</v>
      </c>
      <c r="B1361">
        <f>'Raw Data'!B1363</f>
        <v>360.31573960914011</v>
      </c>
      <c r="C1361">
        <f>'Site Data'!E1363</f>
        <v>0</v>
      </c>
      <c r="D1361" s="97">
        <f t="shared" si="44"/>
        <v>360.31573960914011</v>
      </c>
      <c r="E1361" s="98" t="str">
        <f t="shared" si="45"/>
        <v>Error</v>
      </c>
    </row>
    <row r="1362" spans="1:5" x14ac:dyDescent="0.25">
      <c r="A1362" s="95">
        <f>'Site Data'!B1364</f>
        <v>0</v>
      </c>
      <c r="B1362">
        <f>'Raw Data'!B1364</f>
        <v>360.31395452655823</v>
      </c>
      <c r="C1362">
        <f>'Site Data'!E1364</f>
        <v>0</v>
      </c>
      <c r="D1362" s="97">
        <f t="shared" si="44"/>
        <v>360.31395452655823</v>
      </c>
      <c r="E1362" s="98" t="str">
        <f t="shared" si="45"/>
        <v>Error</v>
      </c>
    </row>
    <row r="1363" spans="1:5" x14ac:dyDescent="0.25">
      <c r="A1363" s="95">
        <f>'Site Data'!B1365</f>
        <v>0</v>
      </c>
      <c r="B1363">
        <f>'Raw Data'!B1365</f>
        <v>360.3121694439763</v>
      </c>
      <c r="C1363">
        <f>'Site Data'!E1365</f>
        <v>0</v>
      </c>
      <c r="D1363" s="97">
        <f t="shared" si="44"/>
        <v>360.3121694439763</v>
      </c>
      <c r="E1363" s="98" t="str">
        <f t="shared" si="45"/>
        <v>Error</v>
      </c>
    </row>
    <row r="1364" spans="1:5" x14ac:dyDescent="0.25">
      <c r="A1364" s="95">
        <f>'Site Data'!B1366</f>
        <v>0</v>
      </c>
      <c r="B1364">
        <f>'Raw Data'!B1366</f>
        <v>360.31038436139443</v>
      </c>
      <c r="C1364">
        <f>'Site Data'!E1366</f>
        <v>0</v>
      </c>
      <c r="D1364" s="97">
        <f t="shared" si="44"/>
        <v>360.31038436139443</v>
      </c>
      <c r="E1364" s="98" t="str">
        <f t="shared" si="45"/>
        <v>Error</v>
      </c>
    </row>
    <row r="1365" spans="1:5" x14ac:dyDescent="0.25">
      <c r="A1365" s="95">
        <f>'Site Data'!B1367</f>
        <v>0</v>
      </c>
      <c r="B1365">
        <f>'Raw Data'!B1367</f>
        <v>360.30859927881255</v>
      </c>
      <c r="C1365">
        <f>'Site Data'!E1367</f>
        <v>0</v>
      </c>
      <c r="D1365" s="97">
        <f t="shared" si="44"/>
        <v>360.30859927881255</v>
      </c>
      <c r="E1365" s="98" t="str">
        <f t="shared" si="45"/>
        <v>Error</v>
      </c>
    </row>
    <row r="1366" spans="1:5" x14ac:dyDescent="0.25">
      <c r="A1366" s="95">
        <f>'Site Data'!B1368</f>
        <v>0</v>
      </c>
      <c r="B1366">
        <f>'Raw Data'!B1368</f>
        <v>360.30681419623062</v>
      </c>
      <c r="C1366">
        <f>'Site Data'!E1368</f>
        <v>0</v>
      </c>
      <c r="D1366" s="97">
        <f t="shared" si="44"/>
        <v>360.30681419623062</v>
      </c>
      <c r="E1366" s="98" t="str">
        <f t="shared" si="45"/>
        <v>Error</v>
      </c>
    </row>
    <row r="1367" spans="1:5" x14ac:dyDescent="0.25">
      <c r="A1367" s="95">
        <f>'Site Data'!B1369</f>
        <v>0</v>
      </c>
      <c r="B1367">
        <f>'Raw Data'!B1369</f>
        <v>360.30502911364874</v>
      </c>
      <c r="C1367">
        <f>'Site Data'!E1369</f>
        <v>0</v>
      </c>
      <c r="D1367" s="97">
        <f t="shared" si="44"/>
        <v>360.30502911364874</v>
      </c>
      <c r="E1367" s="98" t="str">
        <f t="shared" si="45"/>
        <v>Error</v>
      </c>
    </row>
    <row r="1368" spans="1:5" x14ac:dyDescent="0.25">
      <c r="A1368" s="95">
        <f>'Site Data'!B1370</f>
        <v>0</v>
      </c>
      <c r="B1368">
        <f>'Raw Data'!B1370</f>
        <v>360.30324403106687</v>
      </c>
      <c r="C1368">
        <f>'Site Data'!E1370</f>
        <v>0</v>
      </c>
      <c r="D1368" s="97">
        <f t="shared" si="44"/>
        <v>360.30324403106687</v>
      </c>
      <c r="E1368" s="98" t="str">
        <f t="shared" si="45"/>
        <v>Error</v>
      </c>
    </row>
    <row r="1369" spans="1:5" x14ac:dyDescent="0.25">
      <c r="A1369" s="95">
        <f>'Site Data'!B1371</f>
        <v>0</v>
      </c>
      <c r="B1369">
        <f>'Raw Data'!B1371</f>
        <v>360.30145894848494</v>
      </c>
      <c r="C1369">
        <f>'Site Data'!E1371</f>
        <v>0</v>
      </c>
      <c r="D1369" s="97">
        <f t="shared" si="44"/>
        <v>360.30145894848494</v>
      </c>
      <c r="E1369" s="98" t="str">
        <f t="shared" si="45"/>
        <v>Error</v>
      </c>
    </row>
    <row r="1370" spans="1:5" x14ac:dyDescent="0.25">
      <c r="A1370" s="95">
        <f>'Site Data'!B1372</f>
        <v>0</v>
      </c>
      <c r="B1370">
        <f>'Raw Data'!B1372</f>
        <v>360.29967386590306</v>
      </c>
      <c r="C1370">
        <f>'Site Data'!E1372</f>
        <v>0</v>
      </c>
      <c r="D1370" s="97">
        <f t="shared" si="44"/>
        <v>360.29967386590306</v>
      </c>
      <c r="E1370" s="98" t="str">
        <f t="shared" si="45"/>
        <v>Error</v>
      </c>
    </row>
    <row r="1371" spans="1:5" x14ac:dyDescent="0.25">
      <c r="A1371" s="95">
        <f>'Site Data'!B1373</f>
        <v>0</v>
      </c>
      <c r="B1371">
        <f>'Raw Data'!B1373</f>
        <v>360.29788878332118</v>
      </c>
      <c r="C1371">
        <f>'Site Data'!E1373</f>
        <v>0</v>
      </c>
      <c r="D1371" s="97">
        <f t="shared" si="44"/>
        <v>360.29788878332118</v>
      </c>
      <c r="E1371" s="98" t="str">
        <f t="shared" si="45"/>
        <v>Error</v>
      </c>
    </row>
    <row r="1372" spans="1:5" x14ac:dyDescent="0.25">
      <c r="A1372" s="95">
        <f>'Site Data'!B1374</f>
        <v>0</v>
      </c>
      <c r="B1372">
        <f>'Raw Data'!B1374</f>
        <v>360.29610370073925</v>
      </c>
      <c r="C1372">
        <f>'Site Data'!E1374</f>
        <v>0</v>
      </c>
      <c r="D1372" s="97">
        <f t="shared" si="44"/>
        <v>360.29610370073925</v>
      </c>
      <c r="E1372" s="98" t="str">
        <f t="shared" si="45"/>
        <v>Error</v>
      </c>
    </row>
    <row r="1373" spans="1:5" x14ac:dyDescent="0.25">
      <c r="A1373" s="95">
        <f>'Site Data'!B1375</f>
        <v>0</v>
      </c>
      <c r="B1373">
        <f>'Raw Data'!B1375</f>
        <v>360.29431861815738</v>
      </c>
      <c r="C1373">
        <f>'Site Data'!E1375</f>
        <v>0</v>
      </c>
      <c r="D1373" s="97">
        <f t="shared" si="44"/>
        <v>360.29431861815738</v>
      </c>
      <c r="E1373" s="98" t="str">
        <f t="shared" si="45"/>
        <v>Error</v>
      </c>
    </row>
    <row r="1374" spans="1:5" x14ac:dyDescent="0.25">
      <c r="A1374" s="95">
        <f>'Site Data'!B1376</f>
        <v>0</v>
      </c>
      <c r="B1374">
        <f>'Raw Data'!B1376</f>
        <v>360.2925335355755</v>
      </c>
      <c r="C1374">
        <f>'Site Data'!E1376</f>
        <v>0</v>
      </c>
      <c r="D1374" s="97">
        <f t="shared" si="44"/>
        <v>360.2925335355755</v>
      </c>
      <c r="E1374" s="98" t="str">
        <f t="shared" si="45"/>
        <v>Error</v>
      </c>
    </row>
    <row r="1375" spans="1:5" x14ac:dyDescent="0.25">
      <c r="A1375" s="95">
        <f>'Site Data'!B1377</f>
        <v>0</v>
      </c>
      <c r="B1375">
        <f>'Raw Data'!B1377</f>
        <v>360.29074845299357</v>
      </c>
      <c r="C1375">
        <f>'Site Data'!E1377</f>
        <v>0</v>
      </c>
      <c r="D1375" s="97">
        <f t="shared" si="44"/>
        <v>360.29074845299357</v>
      </c>
      <c r="E1375" s="98" t="str">
        <f t="shared" si="45"/>
        <v>Error</v>
      </c>
    </row>
    <row r="1376" spans="1:5" x14ac:dyDescent="0.25">
      <c r="A1376" s="95">
        <f>'Site Data'!B1378</f>
        <v>0</v>
      </c>
      <c r="B1376">
        <f>'Raw Data'!B1378</f>
        <v>360.28896337041169</v>
      </c>
      <c r="C1376">
        <f>'Site Data'!E1378</f>
        <v>0</v>
      </c>
      <c r="D1376" s="97">
        <f t="shared" si="44"/>
        <v>360.28896337041169</v>
      </c>
      <c r="E1376" s="98" t="str">
        <f t="shared" si="45"/>
        <v>Error</v>
      </c>
    </row>
    <row r="1377" spans="1:5" x14ac:dyDescent="0.25">
      <c r="A1377" s="95">
        <f>'Site Data'!B1379</f>
        <v>0</v>
      </c>
      <c r="B1377">
        <f>'Raw Data'!B1379</f>
        <v>360.28717828782982</v>
      </c>
      <c r="C1377">
        <f>'Site Data'!E1379</f>
        <v>0</v>
      </c>
      <c r="D1377" s="97">
        <f t="shared" si="44"/>
        <v>360.28717828782982</v>
      </c>
      <c r="E1377" s="98" t="str">
        <f t="shared" si="45"/>
        <v>Error</v>
      </c>
    </row>
    <row r="1378" spans="1:5" x14ac:dyDescent="0.25">
      <c r="A1378" s="95">
        <f>'Site Data'!B1380</f>
        <v>0</v>
      </c>
      <c r="B1378">
        <f>'Raw Data'!B1380</f>
        <v>360.28539320524789</v>
      </c>
      <c r="C1378">
        <f>'Site Data'!E1380</f>
        <v>0</v>
      </c>
      <c r="D1378" s="97">
        <f t="shared" si="44"/>
        <v>360.28539320524789</v>
      </c>
      <c r="E1378" s="98" t="str">
        <f t="shared" si="45"/>
        <v>Error</v>
      </c>
    </row>
    <row r="1379" spans="1:5" x14ac:dyDescent="0.25">
      <c r="A1379" s="95">
        <f>'Site Data'!B1381</f>
        <v>0</v>
      </c>
      <c r="B1379">
        <f>'Raw Data'!B1381</f>
        <v>360.28360812266601</v>
      </c>
      <c r="C1379">
        <f>'Site Data'!E1381</f>
        <v>0</v>
      </c>
      <c r="D1379" s="97">
        <f t="shared" si="44"/>
        <v>360.28360812266601</v>
      </c>
      <c r="E1379" s="98" t="str">
        <f t="shared" si="45"/>
        <v>Error</v>
      </c>
    </row>
    <row r="1380" spans="1:5" x14ac:dyDescent="0.25">
      <c r="A1380" s="95">
        <f>'Site Data'!B1382</f>
        <v>0</v>
      </c>
      <c r="B1380">
        <f>'Raw Data'!B1382</f>
        <v>360.28182304008413</v>
      </c>
      <c r="C1380">
        <f>'Site Data'!E1382</f>
        <v>0</v>
      </c>
      <c r="D1380" s="97">
        <f t="shared" si="44"/>
        <v>360.28182304008413</v>
      </c>
      <c r="E1380" s="98" t="str">
        <f t="shared" si="45"/>
        <v>Error</v>
      </c>
    </row>
    <row r="1381" spans="1:5" x14ac:dyDescent="0.25">
      <c r="A1381" s="95">
        <f>'Site Data'!B1383</f>
        <v>0</v>
      </c>
      <c r="B1381">
        <f>'Raw Data'!B1383</f>
        <v>360.2800379575022</v>
      </c>
      <c r="C1381">
        <f>'Site Data'!E1383</f>
        <v>0</v>
      </c>
      <c r="D1381" s="97">
        <f t="shared" si="44"/>
        <v>360.2800379575022</v>
      </c>
      <c r="E1381" s="98" t="str">
        <f t="shared" si="45"/>
        <v>Error</v>
      </c>
    </row>
    <row r="1382" spans="1:5" x14ac:dyDescent="0.25">
      <c r="A1382" s="95">
        <f>'Site Data'!B1384</f>
        <v>0</v>
      </c>
      <c r="B1382">
        <f>'Raw Data'!B1384</f>
        <v>360.27825287492033</v>
      </c>
      <c r="C1382">
        <f>'Site Data'!E1384</f>
        <v>0</v>
      </c>
      <c r="D1382" s="97">
        <f t="shared" si="44"/>
        <v>360.27825287492033</v>
      </c>
      <c r="E1382" s="98" t="str">
        <f t="shared" si="45"/>
        <v>Error</v>
      </c>
    </row>
    <row r="1383" spans="1:5" x14ac:dyDescent="0.25">
      <c r="A1383" s="95">
        <f>'Site Data'!B1385</f>
        <v>0</v>
      </c>
      <c r="B1383">
        <f>'Raw Data'!B1385</f>
        <v>360.27646779233845</v>
      </c>
      <c r="C1383">
        <f>'Site Data'!E1385</f>
        <v>0</v>
      </c>
      <c r="D1383" s="97">
        <f t="shared" si="44"/>
        <v>360.27646779233845</v>
      </c>
      <c r="E1383" s="98" t="str">
        <f t="shared" si="45"/>
        <v>Error</v>
      </c>
    </row>
    <row r="1384" spans="1:5" x14ac:dyDescent="0.25">
      <c r="A1384" s="95">
        <f>'Site Data'!B1386</f>
        <v>0</v>
      </c>
      <c r="B1384">
        <f>'Raw Data'!B1386</f>
        <v>360.27468270975652</v>
      </c>
      <c r="C1384">
        <f>'Site Data'!E1386</f>
        <v>0</v>
      </c>
      <c r="D1384" s="97">
        <f t="shared" si="44"/>
        <v>360.27468270975652</v>
      </c>
      <c r="E1384" s="98" t="str">
        <f t="shared" si="45"/>
        <v>Error</v>
      </c>
    </row>
    <row r="1385" spans="1:5" x14ac:dyDescent="0.25">
      <c r="A1385" s="95">
        <f>'Site Data'!B1387</f>
        <v>0</v>
      </c>
      <c r="B1385">
        <f>'Raw Data'!B1387</f>
        <v>360.27289762717464</v>
      </c>
      <c r="C1385">
        <f>'Site Data'!E1387</f>
        <v>0</v>
      </c>
      <c r="D1385" s="97">
        <f t="shared" si="44"/>
        <v>360.27289762717464</v>
      </c>
      <c r="E1385" s="98" t="str">
        <f t="shared" si="45"/>
        <v>Error</v>
      </c>
    </row>
    <row r="1386" spans="1:5" x14ac:dyDescent="0.25">
      <c r="A1386" s="95">
        <f>'Site Data'!B1388</f>
        <v>0</v>
      </c>
      <c r="B1386">
        <f>'Raw Data'!B1388</f>
        <v>360.27111254459277</v>
      </c>
      <c r="C1386">
        <f>'Site Data'!E1388</f>
        <v>0</v>
      </c>
      <c r="D1386" s="97">
        <f t="shared" si="44"/>
        <v>360.27111254459277</v>
      </c>
      <c r="E1386" s="98" t="str">
        <f t="shared" si="45"/>
        <v>Error</v>
      </c>
    </row>
    <row r="1387" spans="1:5" x14ac:dyDescent="0.25">
      <c r="A1387" s="95">
        <f>'Site Data'!B1389</f>
        <v>0</v>
      </c>
      <c r="B1387">
        <f>'Raw Data'!B1389</f>
        <v>360.26932746201089</v>
      </c>
      <c r="C1387">
        <f>'Site Data'!E1389</f>
        <v>0</v>
      </c>
      <c r="D1387" s="97">
        <f t="shared" si="44"/>
        <v>360.26932746201089</v>
      </c>
      <c r="E1387" s="98" t="str">
        <f t="shared" si="45"/>
        <v>Error</v>
      </c>
    </row>
    <row r="1388" spans="1:5" x14ac:dyDescent="0.25">
      <c r="A1388" s="95">
        <f>'Site Data'!B1390</f>
        <v>0</v>
      </c>
      <c r="B1388">
        <f>'Raw Data'!B1390</f>
        <v>360.26754237942896</v>
      </c>
      <c r="C1388">
        <f>'Site Data'!E1390</f>
        <v>0</v>
      </c>
      <c r="D1388" s="97">
        <f t="shared" si="44"/>
        <v>360.26754237942896</v>
      </c>
      <c r="E1388" s="98" t="str">
        <f t="shared" si="45"/>
        <v>Error</v>
      </c>
    </row>
    <row r="1389" spans="1:5" x14ac:dyDescent="0.25">
      <c r="A1389" s="95">
        <f>'Site Data'!B1391</f>
        <v>0</v>
      </c>
      <c r="B1389">
        <f>'Raw Data'!B1391</f>
        <v>360.26575729684708</v>
      </c>
      <c r="C1389">
        <f>'Site Data'!E1391</f>
        <v>0</v>
      </c>
      <c r="D1389" s="97">
        <f t="shared" si="44"/>
        <v>360.26575729684708</v>
      </c>
      <c r="E1389" s="98" t="str">
        <f t="shared" si="45"/>
        <v>Error</v>
      </c>
    </row>
    <row r="1390" spans="1:5" x14ac:dyDescent="0.25">
      <c r="A1390" s="95">
        <f>'Site Data'!B1392</f>
        <v>0</v>
      </c>
      <c r="B1390">
        <f>'Raw Data'!B1392</f>
        <v>360.26397221426521</v>
      </c>
      <c r="C1390">
        <f>'Site Data'!E1392</f>
        <v>0</v>
      </c>
      <c r="D1390" s="97">
        <f t="shared" si="44"/>
        <v>360.26397221426521</v>
      </c>
      <c r="E1390" s="98" t="str">
        <f t="shared" si="45"/>
        <v>Error</v>
      </c>
    </row>
    <row r="1391" spans="1:5" x14ac:dyDescent="0.25">
      <c r="A1391" s="95">
        <f>'Site Data'!B1393</f>
        <v>0</v>
      </c>
      <c r="B1391">
        <f>'Raw Data'!B1393</f>
        <v>360.26218713168328</v>
      </c>
      <c r="C1391">
        <f>'Site Data'!E1393</f>
        <v>0</v>
      </c>
      <c r="D1391" s="97">
        <f t="shared" si="44"/>
        <v>360.26218713168328</v>
      </c>
      <c r="E1391" s="98" t="str">
        <f t="shared" si="45"/>
        <v>Error</v>
      </c>
    </row>
    <row r="1392" spans="1:5" x14ac:dyDescent="0.25">
      <c r="A1392" s="95">
        <f>'Site Data'!B1394</f>
        <v>0</v>
      </c>
      <c r="B1392">
        <f>'Raw Data'!B1394</f>
        <v>360.2604020491014</v>
      </c>
      <c r="C1392">
        <f>'Site Data'!E1394</f>
        <v>0</v>
      </c>
      <c r="D1392" s="97">
        <f t="shared" si="44"/>
        <v>360.2604020491014</v>
      </c>
      <c r="E1392" s="98" t="str">
        <f t="shared" si="45"/>
        <v>Error</v>
      </c>
    </row>
    <row r="1393" spans="1:5" x14ac:dyDescent="0.25">
      <c r="A1393" s="95">
        <f>'Site Data'!B1395</f>
        <v>0</v>
      </c>
      <c r="B1393">
        <f>'Raw Data'!B1395</f>
        <v>360.25861696651953</v>
      </c>
      <c r="C1393">
        <f>'Site Data'!E1395</f>
        <v>0</v>
      </c>
      <c r="D1393" s="97">
        <f t="shared" si="44"/>
        <v>360.25861696651953</v>
      </c>
      <c r="E1393" s="98" t="str">
        <f t="shared" si="45"/>
        <v>Error</v>
      </c>
    </row>
    <row r="1394" spans="1:5" x14ac:dyDescent="0.25">
      <c r="A1394" s="95">
        <f>'Site Data'!B1396</f>
        <v>0</v>
      </c>
      <c r="B1394">
        <f>'Raw Data'!B1396</f>
        <v>360.25683188393759</v>
      </c>
      <c r="C1394">
        <f>'Site Data'!E1396</f>
        <v>0</v>
      </c>
      <c r="D1394" s="97">
        <f t="shared" si="44"/>
        <v>360.25683188393759</v>
      </c>
      <c r="E1394" s="98" t="str">
        <f t="shared" si="45"/>
        <v>Error</v>
      </c>
    </row>
    <row r="1395" spans="1:5" x14ac:dyDescent="0.25">
      <c r="A1395" s="95">
        <f>'Site Data'!B1397</f>
        <v>0</v>
      </c>
      <c r="B1395">
        <f>'Raw Data'!B1397</f>
        <v>360.25504680135572</v>
      </c>
      <c r="C1395">
        <f>'Site Data'!E1397</f>
        <v>0</v>
      </c>
      <c r="D1395" s="97">
        <f t="shared" si="44"/>
        <v>360.25504680135572</v>
      </c>
      <c r="E1395" s="98" t="str">
        <f t="shared" si="45"/>
        <v>Error</v>
      </c>
    </row>
    <row r="1396" spans="1:5" x14ac:dyDescent="0.25">
      <c r="A1396" s="95">
        <f>'Site Data'!B1398</f>
        <v>0</v>
      </c>
      <c r="B1396">
        <f>'Raw Data'!B1398</f>
        <v>360.25326171877384</v>
      </c>
      <c r="C1396">
        <f>'Site Data'!E1398</f>
        <v>0</v>
      </c>
      <c r="D1396" s="97">
        <f t="shared" si="44"/>
        <v>360.25326171877384</v>
      </c>
      <c r="E1396" s="98" t="str">
        <f t="shared" si="45"/>
        <v>Error</v>
      </c>
    </row>
    <row r="1397" spans="1:5" x14ac:dyDescent="0.25">
      <c r="A1397" s="95">
        <f>'Site Data'!B1399</f>
        <v>0</v>
      </c>
      <c r="B1397">
        <f>'Raw Data'!B1399</f>
        <v>360.25147663619191</v>
      </c>
      <c r="C1397">
        <f>'Site Data'!E1399</f>
        <v>0</v>
      </c>
      <c r="D1397" s="97">
        <f t="shared" si="44"/>
        <v>360.25147663619191</v>
      </c>
      <c r="E1397" s="98" t="str">
        <f t="shared" si="45"/>
        <v>Error</v>
      </c>
    </row>
    <row r="1398" spans="1:5" x14ac:dyDescent="0.25">
      <c r="A1398" s="95">
        <f>'Site Data'!B1400</f>
        <v>0</v>
      </c>
      <c r="B1398">
        <f>'Raw Data'!B1400</f>
        <v>360.24969155361003</v>
      </c>
      <c r="C1398">
        <f>'Site Data'!E1400</f>
        <v>0</v>
      </c>
      <c r="D1398" s="97">
        <f t="shared" si="44"/>
        <v>360.24969155361003</v>
      </c>
      <c r="E1398" s="98" t="str">
        <f t="shared" si="45"/>
        <v>Error</v>
      </c>
    </row>
    <row r="1399" spans="1:5" x14ac:dyDescent="0.25">
      <c r="A1399" s="95">
        <f>'Site Data'!B1401</f>
        <v>0</v>
      </c>
      <c r="B1399">
        <f>'Raw Data'!B1401</f>
        <v>360.24790647102816</v>
      </c>
      <c r="C1399">
        <f>'Site Data'!E1401</f>
        <v>0</v>
      </c>
      <c r="D1399" s="97">
        <f t="shared" si="44"/>
        <v>360.24790647102816</v>
      </c>
      <c r="E1399" s="98" t="str">
        <f t="shared" si="45"/>
        <v>Error</v>
      </c>
    </row>
    <row r="1400" spans="1:5" x14ac:dyDescent="0.25">
      <c r="A1400" s="95">
        <f>'Site Data'!B1402</f>
        <v>0</v>
      </c>
      <c r="B1400">
        <f>'Raw Data'!B1402</f>
        <v>360.24612138844623</v>
      </c>
      <c r="C1400">
        <f>'Site Data'!E1402</f>
        <v>0</v>
      </c>
      <c r="D1400" s="97">
        <f t="shared" si="44"/>
        <v>360.24612138844623</v>
      </c>
      <c r="E1400" s="98" t="str">
        <f t="shared" si="45"/>
        <v>Error</v>
      </c>
    </row>
    <row r="1401" spans="1:5" x14ac:dyDescent="0.25">
      <c r="A1401" s="95">
        <f>'Site Data'!B1403</f>
        <v>0</v>
      </c>
      <c r="B1401">
        <f>'Raw Data'!B1403</f>
        <v>360.24433630586435</v>
      </c>
      <c r="C1401">
        <f>'Site Data'!E1403</f>
        <v>0</v>
      </c>
      <c r="D1401" s="97">
        <f t="shared" si="44"/>
        <v>360.24433630586435</v>
      </c>
      <c r="E1401" s="98" t="str">
        <f t="shared" si="45"/>
        <v>Error</v>
      </c>
    </row>
    <row r="1402" spans="1:5" x14ac:dyDescent="0.25">
      <c r="A1402" s="95">
        <f>'Site Data'!B1404</f>
        <v>0</v>
      </c>
      <c r="B1402">
        <f>'Raw Data'!B1404</f>
        <v>360.24255122328248</v>
      </c>
      <c r="C1402">
        <f>'Site Data'!E1404</f>
        <v>0</v>
      </c>
      <c r="D1402" s="97">
        <f t="shared" si="44"/>
        <v>360.24255122328248</v>
      </c>
      <c r="E1402" s="98" t="str">
        <f t="shared" si="45"/>
        <v>Error</v>
      </c>
    </row>
    <row r="1403" spans="1:5" x14ac:dyDescent="0.25">
      <c r="A1403" s="95">
        <f>'Site Data'!B1405</f>
        <v>0</v>
      </c>
      <c r="B1403">
        <f>'Raw Data'!B1405</f>
        <v>360.24076614070054</v>
      </c>
      <c r="C1403">
        <f>'Site Data'!E1405</f>
        <v>0</v>
      </c>
      <c r="D1403" s="97">
        <f t="shared" si="44"/>
        <v>360.24076614070054</v>
      </c>
      <c r="E1403" s="98" t="str">
        <f t="shared" si="45"/>
        <v>Error</v>
      </c>
    </row>
    <row r="1404" spans="1:5" x14ac:dyDescent="0.25">
      <c r="A1404" s="95">
        <f>'Site Data'!B1406</f>
        <v>0</v>
      </c>
      <c r="B1404">
        <f>'Raw Data'!B1406</f>
        <v>360.23898105811867</v>
      </c>
      <c r="C1404">
        <f>'Site Data'!E1406</f>
        <v>0</v>
      </c>
      <c r="D1404" s="97">
        <f t="shared" si="44"/>
        <v>360.23898105811867</v>
      </c>
      <c r="E1404" s="98" t="str">
        <f t="shared" si="45"/>
        <v>Error</v>
      </c>
    </row>
    <row r="1405" spans="1:5" x14ac:dyDescent="0.25">
      <c r="A1405" s="95">
        <f>'Site Data'!B1407</f>
        <v>0</v>
      </c>
      <c r="B1405">
        <f>'Raw Data'!B1407</f>
        <v>360.23719597553679</v>
      </c>
      <c r="C1405">
        <f>'Site Data'!E1407</f>
        <v>0</v>
      </c>
      <c r="D1405" s="97">
        <f t="shared" si="44"/>
        <v>360.23719597553679</v>
      </c>
      <c r="E1405" s="98" t="str">
        <f t="shared" si="45"/>
        <v>Error</v>
      </c>
    </row>
    <row r="1406" spans="1:5" x14ac:dyDescent="0.25">
      <c r="A1406" s="95">
        <f>'Site Data'!B1408</f>
        <v>0</v>
      </c>
      <c r="B1406">
        <f>'Raw Data'!B1408</f>
        <v>360.23541089295486</v>
      </c>
      <c r="C1406">
        <f>'Site Data'!E1408</f>
        <v>0</v>
      </c>
      <c r="D1406" s="97">
        <f t="shared" si="44"/>
        <v>360.23541089295486</v>
      </c>
      <c r="E1406" s="98" t="str">
        <f t="shared" si="45"/>
        <v>Error</v>
      </c>
    </row>
    <row r="1407" spans="1:5" x14ac:dyDescent="0.25">
      <c r="A1407" s="95">
        <f>'Site Data'!B1409</f>
        <v>0</v>
      </c>
      <c r="B1407">
        <f>'Raw Data'!B1409</f>
        <v>360.23362581037298</v>
      </c>
      <c r="C1407">
        <f>'Site Data'!E1409</f>
        <v>0</v>
      </c>
      <c r="D1407" s="97">
        <f t="shared" si="44"/>
        <v>360.23362581037298</v>
      </c>
      <c r="E1407" s="98" t="str">
        <f t="shared" si="45"/>
        <v>Error</v>
      </c>
    </row>
    <row r="1408" spans="1:5" x14ac:dyDescent="0.25">
      <c r="A1408" s="95">
        <f>'Site Data'!B1410</f>
        <v>0</v>
      </c>
      <c r="B1408">
        <f>'Raw Data'!B1410</f>
        <v>360.23184072779111</v>
      </c>
      <c r="C1408">
        <f>'Site Data'!E1410</f>
        <v>0</v>
      </c>
      <c r="D1408" s="97">
        <f t="shared" si="44"/>
        <v>360.23184072779111</v>
      </c>
      <c r="E1408" s="98" t="str">
        <f t="shared" si="45"/>
        <v>Error</v>
      </c>
    </row>
    <row r="1409" spans="1:5" x14ac:dyDescent="0.25">
      <c r="A1409" s="95">
        <f>'Site Data'!B1411</f>
        <v>0</v>
      </c>
      <c r="B1409">
        <f>'Raw Data'!B1411</f>
        <v>360.23005564520918</v>
      </c>
      <c r="C1409">
        <f>'Site Data'!E1411</f>
        <v>0</v>
      </c>
      <c r="D1409" s="97">
        <f t="shared" si="44"/>
        <v>360.23005564520918</v>
      </c>
      <c r="E1409" s="98" t="str">
        <f t="shared" si="45"/>
        <v>Error</v>
      </c>
    </row>
    <row r="1410" spans="1:5" x14ac:dyDescent="0.25">
      <c r="A1410" s="95">
        <f>'Site Data'!B1412</f>
        <v>0</v>
      </c>
      <c r="B1410">
        <f>'Raw Data'!B1412</f>
        <v>360.2282705626273</v>
      </c>
      <c r="C1410">
        <f>'Site Data'!E1412</f>
        <v>0</v>
      </c>
      <c r="D1410" s="97">
        <f t="shared" ref="D1410:D1473" si="46">B1410-C1410</f>
        <v>360.2282705626273</v>
      </c>
      <c r="E1410" s="98" t="str">
        <f t="shared" ref="E1410:E1473" si="47">IF(AND(D1410 &gt;= 50, D1410 &lt;= 60), "Valid", "Error")</f>
        <v>Error</v>
      </c>
    </row>
    <row r="1411" spans="1:5" x14ac:dyDescent="0.25">
      <c r="A1411" s="95">
        <f>'Site Data'!B1413</f>
        <v>0</v>
      </c>
      <c r="B1411">
        <f>'Raw Data'!B1413</f>
        <v>360.22648548004543</v>
      </c>
      <c r="C1411">
        <f>'Site Data'!E1413</f>
        <v>0</v>
      </c>
      <c r="D1411" s="97">
        <f t="shared" si="46"/>
        <v>360.22648548004543</v>
      </c>
      <c r="E1411" s="98" t="str">
        <f t="shared" si="47"/>
        <v>Error</v>
      </c>
    </row>
    <row r="1412" spans="1:5" x14ac:dyDescent="0.25">
      <c r="A1412" s="95">
        <f>'Site Data'!B1414</f>
        <v>0</v>
      </c>
      <c r="B1412">
        <f>'Raw Data'!B1414</f>
        <v>360.22470039746349</v>
      </c>
      <c r="C1412">
        <f>'Site Data'!E1414</f>
        <v>0</v>
      </c>
      <c r="D1412" s="97">
        <f t="shared" si="46"/>
        <v>360.22470039746349</v>
      </c>
      <c r="E1412" s="98" t="str">
        <f t="shared" si="47"/>
        <v>Error</v>
      </c>
    </row>
    <row r="1413" spans="1:5" x14ac:dyDescent="0.25">
      <c r="A1413" s="95">
        <f>'Site Data'!B1415</f>
        <v>0</v>
      </c>
      <c r="B1413">
        <f>'Raw Data'!B1415</f>
        <v>360.22291531488162</v>
      </c>
      <c r="C1413">
        <f>'Site Data'!E1415</f>
        <v>0</v>
      </c>
      <c r="D1413" s="97">
        <f t="shared" si="46"/>
        <v>360.22291531488162</v>
      </c>
      <c r="E1413" s="98" t="str">
        <f t="shared" si="47"/>
        <v>Error</v>
      </c>
    </row>
    <row r="1414" spans="1:5" x14ac:dyDescent="0.25">
      <c r="A1414" s="95">
        <f>'Site Data'!B1416</f>
        <v>0</v>
      </c>
      <c r="B1414">
        <f>'Raw Data'!B1416</f>
        <v>360.22113023229974</v>
      </c>
      <c r="C1414">
        <f>'Site Data'!E1416</f>
        <v>0</v>
      </c>
      <c r="D1414" s="97">
        <f t="shared" si="46"/>
        <v>360.22113023229974</v>
      </c>
      <c r="E1414" s="98" t="str">
        <f t="shared" si="47"/>
        <v>Error</v>
      </c>
    </row>
    <row r="1415" spans="1:5" x14ac:dyDescent="0.25">
      <c r="A1415" s="95">
        <f>'Site Data'!B1417</f>
        <v>0</v>
      </c>
      <c r="B1415">
        <f>'Raw Data'!B1417</f>
        <v>360.21934514971781</v>
      </c>
      <c r="C1415">
        <f>'Site Data'!E1417</f>
        <v>0</v>
      </c>
      <c r="D1415" s="97">
        <f t="shared" si="46"/>
        <v>360.21934514971781</v>
      </c>
      <c r="E1415" s="98" t="str">
        <f t="shared" si="47"/>
        <v>Error</v>
      </c>
    </row>
    <row r="1416" spans="1:5" x14ac:dyDescent="0.25">
      <c r="A1416" s="95">
        <f>'Site Data'!B1418</f>
        <v>0</v>
      </c>
      <c r="B1416">
        <f>'Raw Data'!B1418</f>
        <v>360.21756006713593</v>
      </c>
      <c r="C1416">
        <f>'Site Data'!E1418</f>
        <v>0</v>
      </c>
      <c r="D1416" s="97">
        <f t="shared" si="46"/>
        <v>360.21756006713593</v>
      </c>
      <c r="E1416" s="98" t="str">
        <f t="shared" si="47"/>
        <v>Error</v>
      </c>
    </row>
    <row r="1417" spans="1:5" x14ac:dyDescent="0.25">
      <c r="A1417" s="95">
        <f>'Site Data'!B1419</f>
        <v>0</v>
      </c>
      <c r="B1417">
        <f>'Raw Data'!B1419</f>
        <v>360.21577498455406</v>
      </c>
      <c r="C1417">
        <f>'Site Data'!E1419</f>
        <v>0</v>
      </c>
      <c r="D1417" s="97">
        <f t="shared" si="46"/>
        <v>360.21577498455406</v>
      </c>
      <c r="E1417" s="98" t="str">
        <f t="shared" si="47"/>
        <v>Error</v>
      </c>
    </row>
    <row r="1418" spans="1:5" x14ac:dyDescent="0.25">
      <c r="A1418" s="95">
        <f>'Site Data'!B1420</f>
        <v>0</v>
      </c>
      <c r="B1418">
        <f>'Raw Data'!B1420</f>
        <v>360.21398990197213</v>
      </c>
      <c r="C1418">
        <f>'Site Data'!E1420</f>
        <v>0</v>
      </c>
      <c r="D1418" s="97">
        <f t="shared" si="46"/>
        <v>360.21398990197213</v>
      </c>
      <c r="E1418" s="98" t="str">
        <f t="shared" si="47"/>
        <v>Error</v>
      </c>
    </row>
    <row r="1419" spans="1:5" x14ac:dyDescent="0.25">
      <c r="A1419" s="95">
        <f>'Site Data'!B1421</f>
        <v>0</v>
      </c>
      <c r="B1419">
        <f>'Raw Data'!B1421</f>
        <v>360.21220481939025</v>
      </c>
      <c r="C1419">
        <f>'Site Data'!E1421</f>
        <v>0</v>
      </c>
      <c r="D1419" s="97">
        <f t="shared" si="46"/>
        <v>360.21220481939025</v>
      </c>
      <c r="E1419" s="98" t="str">
        <f t="shared" si="47"/>
        <v>Error</v>
      </c>
    </row>
    <row r="1420" spans="1:5" x14ac:dyDescent="0.25">
      <c r="A1420" s="95">
        <f>'Site Data'!B1422</f>
        <v>0</v>
      </c>
      <c r="B1420">
        <f>'Raw Data'!B1422</f>
        <v>360.21041973680838</v>
      </c>
      <c r="C1420">
        <f>'Site Data'!E1422</f>
        <v>0</v>
      </c>
      <c r="D1420" s="97">
        <f t="shared" si="46"/>
        <v>360.21041973680838</v>
      </c>
      <c r="E1420" s="98" t="str">
        <f t="shared" si="47"/>
        <v>Error</v>
      </c>
    </row>
    <row r="1421" spans="1:5" x14ac:dyDescent="0.25">
      <c r="A1421" s="95">
        <f>'Site Data'!B1423</f>
        <v>0</v>
      </c>
      <c r="B1421">
        <f>'Raw Data'!B1423</f>
        <v>360.20863465422644</v>
      </c>
      <c r="C1421">
        <f>'Site Data'!E1423</f>
        <v>0</v>
      </c>
      <c r="D1421" s="97">
        <f t="shared" si="46"/>
        <v>360.20863465422644</v>
      </c>
      <c r="E1421" s="98" t="str">
        <f t="shared" si="47"/>
        <v>Error</v>
      </c>
    </row>
    <row r="1422" spans="1:5" x14ac:dyDescent="0.25">
      <c r="A1422" s="95">
        <f>'Site Data'!B1424</f>
        <v>0</v>
      </c>
      <c r="B1422">
        <f>'Raw Data'!B1424</f>
        <v>360.20684957164457</v>
      </c>
      <c r="C1422">
        <f>'Site Data'!E1424</f>
        <v>0</v>
      </c>
      <c r="D1422" s="97">
        <f t="shared" si="46"/>
        <v>360.20684957164457</v>
      </c>
      <c r="E1422" s="98" t="str">
        <f t="shared" si="47"/>
        <v>Error</v>
      </c>
    </row>
    <row r="1423" spans="1:5" x14ac:dyDescent="0.25">
      <c r="A1423" s="95">
        <f>'Site Data'!B1425</f>
        <v>0</v>
      </c>
      <c r="B1423">
        <f>'Raw Data'!B1425</f>
        <v>360.20506448906269</v>
      </c>
      <c r="C1423">
        <f>'Site Data'!E1425</f>
        <v>0</v>
      </c>
      <c r="D1423" s="97">
        <f t="shared" si="46"/>
        <v>360.20506448906269</v>
      </c>
      <c r="E1423" s="98" t="str">
        <f t="shared" si="47"/>
        <v>Error</v>
      </c>
    </row>
    <row r="1424" spans="1:5" x14ac:dyDescent="0.25">
      <c r="A1424" s="95">
        <f>'Site Data'!B1426</f>
        <v>0</v>
      </c>
      <c r="B1424">
        <f>'Raw Data'!B1426</f>
        <v>360.20327940648076</v>
      </c>
      <c r="C1424">
        <f>'Site Data'!E1426</f>
        <v>0</v>
      </c>
      <c r="D1424" s="97">
        <f t="shared" si="46"/>
        <v>360.20327940648076</v>
      </c>
      <c r="E1424" s="98" t="str">
        <f t="shared" si="47"/>
        <v>Error</v>
      </c>
    </row>
    <row r="1425" spans="1:5" x14ac:dyDescent="0.25">
      <c r="A1425" s="95">
        <f>'Site Data'!B1427</f>
        <v>0</v>
      </c>
      <c r="B1425">
        <f>'Raw Data'!B1427</f>
        <v>360.20149432389888</v>
      </c>
      <c r="C1425">
        <f>'Site Data'!E1427</f>
        <v>0</v>
      </c>
      <c r="D1425" s="97">
        <f t="shared" si="46"/>
        <v>360.20149432389888</v>
      </c>
      <c r="E1425" s="98" t="str">
        <f t="shared" si="47"/>
        <v>Error</v>
      </c>
    </row>
    <row r="1426" spans="1:5" x14ac:dyDescent="0.25">
      <c r="A1426" s="95">
        <f>'Site Data'!B1428</f>
        <v>0</v>
      </c>
      <c r="B1426">
        <f>'Raw Data'!B1428</f>
        <v>360.19970924131701</v>
      </c>
      <c r="C1426">
        <f>'Site Data'!E1428</f>
        <v>0</v>
      </c>
      <c r="D1426" s="97">
        <f t="shared" si="46"/>
        <v>360.19970924131701</v>
      </c>
      <c r="E1426" s="98" t="str">
        <f t="shared" si="47"/>
        <v>Error</v>
      </c>
    </row>
    <row r="1427" spans="1:5" x14ac:dyDescent="0.25">
      <c r="A1427" s="95">
        <f>'Site Data'!B1429</f>
        <v>0</v>
      </c>
      <c r="B1427">
        <f>'Raw Data'!B1429</f>
        <v>360.19792415873508</v>
      </c>
      <c r="C1427">
        <f>'Site Data'!E1429</f>
        <v>0</v>
      </c>
      <c r="D1427" s="97">
        <f t="shared" si="46"/>
        <v>360.19792415873508</v>
      </c>
      <c r="E1427" s="98" t="str">
        <f t="shared" si="47"/>
        <v>Error</v>
      </c>
    </row>
    <row r="1428" spans="1:5" x14ac:dyDescent="0.25">
      <c r="A1428" s="95">
        <f>'Site Data'!B1430</f>
        <v>0</v>
      </c>
      <c r="B1428">
        <f>'Raw Data'!B1430</f>
        <v>360.1961390761532</v>
      </c>
      <c r="C1428">
        <f>'Site Data'!E1430</f>
        <v>0</v>
      </c>
      <c r="D1428" s="97">
        <f t="shared" si="46"/>
        <v>360.1961390761532</v>
      </c>
      <c r="E1428" s="98" t="str">
        <f t="shared" si="47"/>
        <v>Error</v>
      </c>
    </row>
    <row r="1429" spans="1:5" x14ac:dyDescent="0.25">
      <c r="A1429" s="95">
        <f>'Site Data'!B1431</f>
        <v>0</v>
      </c>
      <c r="B1429">
        <f>'Raw Data'!B1431</f>
        <v>360.19435399357133</v>
      </c>
      <c r="C1429">
        <f>'Site Data'!E1431</f>
        <v>0</v>
      </c>
      <c r="D1429" s="97">
        <f t="shared" si="46"/>
        <v>360.19435399357133</v>
      </c>
      <c r="E1429" s="98" t="str">
        <f t="shared" si="47"/>
        <v>Error</v>
      </c>
    </row>
    <row r="1430" spans="1:5" x14ac:dyDescent="0.25">
      <c r="A1430" s="95">
        <f>'Site Data'!B1432</f>
        <v>0</v>
      </c>
      <c r="B1430">
        <f>'Raw Data'!B1432</f>
        <v>360.19256891098939</v>
      </c>
      <c r="C1430">
        <f>'Site Data'!E1432</f>
        <v>0</v>
      </c>
      <c r="D1430" s="97">
        <f t="shared" si="46"/>
        <v>360.19256891098939</v>
      </c>
      <c r="E1430" s="98" t="str">
        <f t="shared" si="47"/>
        <v>Error</v>
      </c>
    </row>
    <row r="1431" spans="1:5" x14ac:dyDescent="0.25">
      <c r="A1431" s="95">
        <f>'Site Data'!B1433</f>
        <v>0</v>
      </c>
      <c r="B1431">
        <f>'Raw Data'!B1433</f>
        <v>360.19078382840752</v>
      </c>
      <c r="C1431">
        <f>'Site Data'!E1433</f>
        <v>0</v>
      </c>
      <c r="D1431" s="97">
        <f t="shared" si="46"/>
        <v>360.19078382840752</v>
      </c>
      <c r="E1431" s="98" t="str">
        <f t="shared" si="47"/>
        <v>Error</v>
      </c>
    </row>
    <row r="1432" spans="1:5" x14ac:dyDescent="0.25">
      <c r="A1432" s="95">
        <f>'Site Data'!B1434</f>
        <v>0</v>
      </c>
      <c r="B1432">
        <f>'Raw Data'!B1434</f>
        <v>360.18899874582564</v>
      </c>
      <c r="C1432">
        <f>'Site Data'!E1434</f>
        <v>0</v>
      </c>
      <c r="D1432" s="97">
        <f t="shared" si="46"/>
        <v>360.18899874582564</v>
      </c>
      <c r="E1432" s="98" t="str">
        <f t="shared" si="47"/>
        <v>Error</v>
      </c>
    </row>
    <row r="1433" spans="1:5" x14ac:dyDescent="0.25">
      <c r="A1433" s="95">
        <f>'Site Data'!B1435</f>
        <v>0</v>
      </c>
      <c r="B1433">
        <f>'Raw Data'!B1435</f>
        <v>360.18721366324371</v>
      </c>
      <c r="C1433">
        <f>'Site Data'!E1435</f>
        <v>0</v>
      </c>
      <c r="D1433" s="97">
        <f t="shared" si="46"/>
        <v>360.18721366324371</v>
      </c>
      <c r="E1433" s="98" t="str">
        <f t="shared" si="47"/>
        <v>Error</v>
      </c>
    </row>
    <row r="1434" spans="1:5" x14ac:dyDescent="0.25">
      <c r="A1434" s="95">
        <f>'Site Data'!B1436</f>
        <v>0</v>
      </c>
      <c r="B1434">
        <f>'Raw Data'!B1436</f>
        <v>360.18542858066183</v>
      </c>
      <c r="C1434">
        <f>'Site Data'!E1436</f>
        <v>0</v>
      </c>
      <c r="D1434" s="97">
        <f t="shared" si="46"/>
        <v>360.18542858066183</v>
      </c>
      <c r="E1434" s="98" t="str">
        <f t="shared" si="47"/>
        <v>Error</v>
      </c>
    </row>
    <row r="1435" spans="1:5" x14ac:dyDescent="0.25">
      <c r="A1435" s="95">
        <f>'Site Data'!B1437</f>
        <v>0</v>
      </c>
      <c r="B1435">
        <f>'Raw Data'!B1437</f>
        <v>360.18364349807996</v>
      </c>
      <c r="C1435">
        <f>'Site Data'!E1437</f>
        <v>0</v>
      </c>
      <c r="D1435" s="97">
        <f t="shared" si="46"/>
        <v>360.18364349807996</v>
      </c>
      <c r="E1435" s="98" t="str">
        <f t="shared" si="47"/>
        <v>Error</v>
      </c>
    </row>
    <row r="1436" spans="1:5" x14ac:dyDescent="0.25">
      <c r="A1436" s="95">
        <f>'Site Data'!B1438</f>
        <v>0</v>
      </c>
      <c r="B1436">
        <f>'Raw Data'!B1438</f>
        <v>360.18185841549803</v>
      </c>
      <c r="C1436">
        <f>'Site Data'!E1438</f>
        <v>0</v>
      </c>
      <c r="D1436" s="97">
        <f t="shared" si="46"/>
        <v>360.18185841549803</v>
      </c>
      <c r="E1436" s="98" t="str">
        <f t="shared" si="47"/>
        <v>Error</v>
      </c>
    </row>
    <row r="1437" spans="1:5" x14ac:dyDescent="0.25">
      <c r="A1437" s="95">
        <f>'Site Data'!B1439</f>
        <v>0</v>
      </c>
      <c r="B1437">
        <f>'Raw Data'!B1439</f>
        <v>360.18007333291615</v>
      </c>
      <c r="C1437">
        <f>'Site Data'!E1439</f>
        <v>0</v>
      </c>
      <c r="D1437" s="97">
        <f t="shared" si="46"/>
        <v>360.18007333291615</v>
      </c>
      <c r="E1437" s="98" t="str">
        <f t="shared" si="47"/>
        <v>Error</v>
      </c>
    </row>
    <row r="1438" spans="1:5" x14ac:dyDescent="0.25">
      <c r="A1438" s="95">
        <f>'Site Data'!B1440</f>
        <v>0</v>
      </c>
      <c r="B1438">
        <f>'Raw Data'!B1440</f>
        <v>360.17828825033428</v>
      </c>
      <c r="C1438">
        <f>'Site Data'!E1440</f>
        <v>0</v>
      </c>
      <c r="D1438" s="97">
        <f t="shared" si="46"/>
        <v>360.17828825033428</v>
      </c>
      <c r="E1438" s="98" t="str">
        <f t="shared" si="47"/>
        <v>Error</v>
      </c>
    </row>
    <row r="1439" spans="1:5" x14ac:dyDescent="0.25">
      <c r="A1439" s="95">
        <f>'Site Data'!B1441</f>
        <v>0</v>
      </c>
      <c r="B1439">
        <f>'Raw Data'!B1441</f>
        <v>360.17650316775234</v>
      </c>
      <c r="C1439">
        <f>'Site Data'!E1441</f>
        <v>0</v>
      </c>
      <c r="D1439" s="97">
        <f t="shared" si="46"/>
        <v>360.17650316775234</v>
      </c>
      <c r="E1439" s="98" t="str">
        <f t="shared" si="47"/>
        <v>Error</v>
      </c>
    </row>
    <row r="1440" spans="1:5" x14ac:dyDescent="0.25">
      <c r="A1440" s="95">
        <f>'Site Data'!B1442</f>
        <v>0</v>
      </c>
      <c r="B1440">
        <f>'Raw Data'!B1442</f>
        <v>360.17471808517047</v>
      </c>
      <c r="C1440">
        <f>'Site Data'!E1442</f>
        <v>0</v>
      </c>
      <c r="D1440" s="97">
        <f t="shared" si="46"/>
        <v>360.17471808517047</v>
      </c>
      <c r="E1440" s="98" t="str">
        <f t="shared" si="47"/>
        <v>Error</v>
      </c>
    </row>
    <row r="1441" spans="1:5" x14ac:dyDescent="0.25">
      <c r="A1441" s="95">
        <f>'Site Data'!B1443</f>
        <v>0</v>
      </c>
      <c r="B1441">
        <f>'Raw Data'!B1443</f>
        <v>360.17293300258859</v>
      </c>
      <c r="C1441">
        <f>'Site Data'!E1443</f>
        <v>0</v>
      </c>
      <c r="D1441" s="97">
        <f t="shared" si="46"/>
        <v>360.17293300258859</v>
      </c>
      <c r="E1441" s="98" t="str">
        <f t="shared" si="47"/>
        <v>Error</v>
      </c>
    </row>
    <row r="1442" spans="1:5" x14ac:dyDescent="0.25">
      <c r="A1442" s="95">
        <f>'Site Data'!B1444</f>
        <v>0</v>
      </c>
      <c r="B1442">
        <f>'Raw Data'!B1444</f>
        <v>360.17114792000666</v>
      </c>
      <c r="C1442">
        <f>'Site Data'!E1444</f>
        <v>0</v>
      </c>
      <c r="D1442" s="97">
        <f t="shared" si="46"/>
        <v>360.17114792000666</v>
      </c>
      <c r="E1442" s="98" t="str">
        <f t="shared" si="47"/>
        <v>Error</v>
      </c>
    </row>
    <row r="1443" spans="1:5" x14ac:dyDescent="0.25">
      <c r="A1443" s="95">
        <f>'Site Data'!B1445</f>
        <v>0</v>
      </c>
      <c r="B1443">
        <f>'Raw Data'!B1445</f>
        <v>360.16936283742479</v>
      </c>
      <c r="C1443">
        <f>'Site Data'!E1445</f>
        <v>0</v>
      </c>
      <c r="D1443" s="97">
        <f t="shared" si="46"/>
        <v>360.16936283742479</v>
      </c>
      <c r="E1443" s="98" t="str">
        <f t="shared" si="47"/>
        <v>Error</v>
      </c>
    </row>
    <row r="1444" spans="1:5" x14ac:dyDescent="0.25">
      <c r="A1444" s="95">
        <f>'Site Data'!B1446</f>
        <v>0</v>
      </c>
      <c r="B1444">
        <f>'Raw Data'!B1446</f>
        <v>360.16757775484291</v>
      </c>
      <c r="C1444">
        <f>'Site Data'!E1446</f>
        <v>0</v>
      </c>
      <c r="D1444" s="97">
        <f t="shared" si="46"/>
        <v>360.16757775484291</v>
      </c>
      <c r="E1444" s="98" t="str">
        <f t="shared" si="47"/>
        <v>Error</v>
      </c>
    </row>
    <row r="1445" spans="1:5" x14ac:dyDescent="0.25">
      <c r="A1445" s="95">
        <f>'Site Data'!B1447</f>
        <v>0</v>
      </c>
      <c r="B1445">
        <f>'Raw Data'!B1447</f>
        <v>360.16579267226098</v>
      </c>
      <c r="C1445">
        <f>'Site Data'!E1447</f>
        <v>0</v>
      </c>
      <c r="D1445" s="97">
        <f t="shared" si="46"/>
        <v>360.16579267226098</v>
      </c>
      <c r="E1445" s="98" t="str">
        <f t="shared" si="47"/>
        <v>Error</v>
      </c>
    </row>
    <row r="1446" spans="1:5" x14ac:dyDescent="0.25">
      <c r="A1446" s="95">
        <f>'Site Data'!B1448</f>
        <v>0</v>
      </c>
      <c r="B1446">
        <f>'Raw Data'!B1448</f>
        <v>360.1640075896791</v>
      </c>
      <c r="C1446">
        <f>'Site Data'!E1448</f>
        <v>0</v>
      </c>
      <c r="D1446" s="97">
        <f t="shared" si="46"/>
        <v>360.1640075896791</v>
      </c>
      <c r="E1446" s="98" t="str">
        <f t="shared" si="47"/>
        <v>Error</v>
      </c>
    </row>
    <row r="1447" spans="1:5" x14ac:dyDescent="0.25">
      <c r="A1447" s="95">
        <f>'Site Data'!B1449</f>
        <v>0</v>
      </c>
      <c r="B1447">
        <f>'Raw Data'!B1449</f>
        <v>360.16222250709723</v>
      </c>
      <c r="C1447">
        <f>'Site Data'!E1449</f>
        <v>0</v>
      </c>
      <c r="D1447" s="97">
        <f t="shared" si="46"/>
        <v>360.16222250709723</v>
      </c>
      <c r="E1447" s="98" t="str">
        <f t="shared" si="47"/>
        <v>Error</v>
      </c>
    </row>
    <row r="1448" spans="1:5" x14ac:dyDescent="0.25">
      <c r="A1448" s="95">
        <f>'Site Data'!B1450</f>
        <v>0</v>
      </c>
      <c r="B1448">
        <f>'Raw Data'!B1450</f>
        <v>360.16043742451529</v>
      </c>
      <c r="C1448">
        <f>'Site Data'!E1450</f>
        <v>0</v>
      </c>
      <c r="D1448" s="97">
        <f t="shared" si="46"/>
        <v>360.16043742451529</v>
      </c>
      <c r="E1448" s="98" t="str">
        <f t="shared" si="47"/>
        <v>Error</v>
      </c>
    </row>
    <row r="1449" spans="1:5" x14ac:dyDescent="0.25">
      <c r="A1449" s="95">
        <f>'Site Data'!B1451</f>
        <v>0</v>
      </c>
      <c r="B1449">
        <f>'Raw Data'!B1451</f>
        <v>360.15865234193342</v>
      </c>
      <c r="C1449">
        <f>'Site Data'!E1451</f>
        <v>0</v>
      </c>
      <c r="D1449" s="97">
        <f t="shared" si="46"/>
        <v>360.15865234193342</v>
      </c>
      <c r="E1449" s="98" t="str">
        <f t="shared" si="47"/>
        <v>Error</v>
      </c>
    </row>
    <row r="1450" spans="1:5" x14ac:dyDescent="0.25">
      <c r="A1450" s="95">
        <f>'Site Data'!B1452</f>
        <v>0</v>
      </c>
      <c r="B1450">
        <f>'Raw Data'!B1452</f>
        <v>360.15686725935154</v>
      </c>
      <c r="C1450">
        <f>'Site Data'!E1452</f>
        <v>0</v>
      </c>
      <c r="D1450" s="97">
        <f t="shared" si="46"/>
        <v>360.15686725935154</v>
      </c>
      <c r="E1450" s="98" t="str">
        <f t="shared" si="47"/>
        <v>Error</v>
      </c>
    </row>
    <row r="1451" spans="1:5" x14ac:dyDescent="0.25">
      <c r="A1451" s="95">
        <f>'Site Data'!B1453</f>
        <v>0</v>
      </c>
      <c r="B1451">
        <f>'Raw Data'!B1453</f>
        <v>360.15508217676961</v>
      </c>
      <c r="C1451">
        <f>'Site Data'!E1453</f>
        <v>0</v>
      </c>
      <c r="D1451" s="97">
        <f t="shared" si="46"/>
        <v>360.15508217676961</v>
      </c>
      <c r="E1451" s="98" t="str">
        <f t="shared" si="47"/>
        <v>Error</v>
      </c>
    </row>
    <row r="1452" spans="1:5" x14ac:dyDescent="0.25">
      <c r="A1452" s="95">
        <f>'Site Data'!B1454</f>
        <v>0</v>
      </c>
      <c r="B1452">
        <f>'Raw Data'!B1454</f>
        <v>360.15329709418774</v>
      </c>
      <c r="C1452">
        <f>'Site Data'!E1454</f>
        <v>0</v>
      </c>
      <c r="D1452" s="97">
        <f t="shared" si="46"/>
        <v>360.15329709418774</v>
      </c>
      <c r="E1452" s="98" t="str">
        <f t="shared" si="47"/>
        <v>Error</v>
      </c>
    </row>
    <row r="1453" spans="1:5" x14ac:dyDescent="0.25">
      <c r="A1453" s="95">
        <f>'Site Data'!B1455</f>
        <v>0</v>
      </c>
      <c r="B1453">
        <f>'Raw Data'!B1455</f>
        <v>360.15151201160586</v>
      </c>
      <c r="C1453">
        <f>'Site Data'!E1455</f>
        <v>0</v>
      </c>
      <c r="D1453" s="97">
        <f t="shared" si="46"/>
        <v>360.15151201160586</v>
      </c>
      <c r="E1453" s="98" t="str">
        <f t="shared" si="47"/>
        <v>Error</v>
      </c>
    </row>
    <row r="1454" spans="1:5" x14ac:dyDescent="0.25">
      <c r="A1454" s="95">
        <f>'Site Data'!B1456</f>
        <v>0</v>
      </c>
      <c r="B1454">
        <f>'Raw Data'!B1456</f>
        <v>360.14972692902393</v>
      </c>
      <c r="C1454">
        <f>'Site Data'!E1456</f>
        <v>0</v>
      </c>
      <c r="D1454" s="97">
        <f t="shared" si="46"/>
        <v>360.14972692902393</v>
      </c>
      <c r="E1454" s="98" t="str">
        <f t="shared" si="47"/>
        <v>Error</v>
      </c>
    </row>
    <row r="1455" spans="1:5" x14ac:dyDescent="0.25">
      <c r="A1455" s="95">
        <f>'Site Data'!B1457</f>
        <v>0</v>
      </c>
      <c r="B1455">
        <f>'Raw Data'!B1457</f>
        <v>360.14794184644205</v>
      </c>
      <c r="C1455">
        <f>'Site Data'!E1457</f>
        <v>0</v>
      </c>
      <c r="D1455" s="97">
        <f t="shared" si="46"/>
        <v>360.14794184644205</v>
      </c>
      <c r="E1455" s="98" t="str">
        <f t="shared" si="47"/>
        <v>Error</v>
      </c>
    </row>
    <row r="1456" spans="1:5" x14ac:dyDescent="0.25">
      <c r="A1456" s="95">
        <f>'Site Data'!B1458</f>
        <v>0</v>
      </c>
      <c r="B1456">
        <f>'Raw Data'!B1458</f>
        <v>360.14615676386018</v>
      </c>
      <c r="C1456">
        <f>'Site Data'!E1458</f>
        <v>0</v>
      </c>
      <c r="D1456" s="97">
        <f t="shared" si="46"/>
        <v>360.14615676386018</v>
      </c>
      <c r="E1456" s="98" t="str">
        <f t="shared" si="47"/>
        <v>Error</v>
      </c>
    </row>
    <row r="1457" spans="1:5" x14ac:dyDescent="0.25">
      <c r="A1457" s="95">
        <f>'Site Data'!B1459</f>
        <v>0</v>
      </c>
      <c r="B1457">
        <f>'Raw Data'!B1459</f>
        <v>360.14437168127824</v>
      </c>
      <c r="C1457">
        <f>'Site Data'!E1459</f>
        <v>0</v>
      </c>
      <c r="D1457" s="97">
        <f t="shared" si="46"/>
        <v>360.14437168127824</v>
      </c>
      <c r="E1457" s="98" t="str">
        <f t="shared" si="47"/>
        <v>Error</v>
      </c>
    </row>
    <row r="1458" spans="1:5" x14ac:dyDescent="0.25">
      <c r="A1458" s="95">
        <f>'Site Data'!B1460</f>
        <v>0</v>
      </c>
      <c r="B1458">
        <f>'Raw Data'!B1460</f>
        <v>360.14258659869637</v>
      </c>
      <c r="C1458">
        <f>'Site Data'!E1460</f>
        <v>0</v>
      </c>
      <c r="D1458" s="97">
        <f t="shared" si="46"/>
        <v>360.14258659869637</v>
      </c>
      <c r="E1458" s="98" t="str">
        <f t="shared" si="47"/>
        <v>Error</v>
      </c>
    </row>
    <row r="1459" spans="1:5" x14ac:dyDescent="0.25">
      <c r="A1459" s="95">
        <f>'Site Data'!B1461</f>
        <v>0</v>
      </c>
      <c r="B1459">
        <f>'Raw Data'!B1461</f>
        <v>360.14080151611449</v>
      </c>
      <c r="C1459">
        <f>'Site Data'!E1461</f>
        <v>0</v>
      </c>
      <c r="D1459" s="97">
        <f t="shared" si="46"/>
        <v>360.14080151611449</v>
      </c>
      <c r="E1459" s="98" t="str">
        <f t="shared" si="47"/>
        <v>Error</v>
      </c>
    </row>
    <row r="1460" spans="1:5" x14ac:dyDescent="0.25">
      <c r="A1460" s="95">
        <f>'Site Data'!B1462</f>
        <v>0</v>
      </c>
      <c r="B1460">
        <f>'Raw Data'!B1462</f>
        <v>360.13901643353256</v>
      </c>
      <c r="C1460">
        <f>'Site Data'!E1462</f>
        <v>0</v>
      </c>
      <c r="D1460" s="97">
        <f t="shared" si="46"/>
        <v>360.13901643353256</v>
      </c>
      <c r="E1460" s="98" t="str">
        <f t="shared" si="47"/>
        <v>Error</v>
      </c>
    </row>
    <row r="1461" spans="1:5" x14ac:dyDescent="0.25">
      <c r="A1461" s="95">
        <f>'Site Data'!B1463</f>
        <v>0</v>
      </c>
      <c r="B1461">
        <f>'Raw Data'!B1463</f>
        <v>360.13723135095069</v>
      </c>
      <c r="C1461">
        <f>'Site Data'!E1463</f>
        <v>0</v>
      </c>
      <c r="D1461" s="97">
        <f t="shared" si="46"/>
        <v>360.13723135095069</v>
      </c>
      <c r="E1461" s="98" t="str">
        <f t="shared" si="47"/>
        <v>Error</v>
      </c>
    </row>
    <row r="1462" spans="1:5" x14ac:dyDescent="0.25">
      <c r="A1462" s="95">
        <f>'Site Data'!B1464</f>
        <v>0</v>
      </c>
      <c r="B1462">
        <f>'Raw Data'!B1464</f>
        <v>360.13544626836881</v>
      </c>
      <c r="C1462">
        <f>'Site Data'!E1464</f>
        <v>0</v>
      </c>
      <c r="D1462" s="97">
        <f t="shared" si="46"/>
        <v>360.13544626836881</v>
      </c>
      <c r="E1462" s="98" t="str">
        <f t="shared" si="47"/>
        <v>Error</v>
      </c>
    </row>
    <row r="1463" spans="1:5" x14ac:dyDescent="0.25">
      <c r="A1463" s="95">
        <f>'Site Data'!B1465</f>
        <v>0</v>
      </c>
      <c r="B1463">
        <f>'Raw Data'!B1465</f>
        <v>360.13366118578688</v>
      </c>
      <c r="C1463">
        <f>'Site Data'!E1465</f>
        <v>0</v>
      </c>
      <c r="D1463" s="97">
        <f t="shared" si="46"/>
        <v>360.13366118578688</v>
      </c>
      <c r="E1463" s="98" t="str">
        <f t="shared" si="47"/>
        <v>Error</v>
      </c>
    </row>
    <row r="1464" spans="1:5" x14ac:dyDescent="0.25">
      <c r="A1464" s="95">
        <f>'Site Data'!B1466</f>
        <v>0</v>
      </c>
      <c r="B1464">
        <f>'Raw Data'!B1466</f>
        <v>360.131876103205</v>
      </c>
      <c r="C1464">
        <f>'Site Data'!E1466</f>
        <v>0</v>
      </c>
      <c r="D1464" s="97">
        <f t="shared" si="46"/>
        <v>360.131876103205</v>
      </c>
      <c r="E1464" s="98" t="str">
        <f t="shared" si="47"/>
        <v>Error</v>
      </c>
    </row>
    <row r="1465" spans="1:5" x14ac:dyDescent="0.25">
      <c r="A1465" s="95">
        <f>'Site Data'!B1467</f>
        <v>0</v>
      </c>
      <c r="B1465">
        <f>'Raw Data'!B1467</f>
        <v>360.13009102062313</v>
      </c>
      <c r="C1465">
        <f>'Site Data'!E1467</f>
        <v>0</v>
      </c>
      <c r="D1465" s="97">
        <f t="shared" si="46"/>
        <v>360.13009102062313</v>
      </c>
      <c r="E1465" s="98" t="str">
        <f t="shared" si="47"/>
        <v>Error</v>
      </c>
    </row>
    <row r="1466" spans="1:5" x14ac:dyDescent="0.25">
      <c r="A1466" s="95">
        <f>'Site Data'!B1468</f>
        <v>0</v>
      </c>
      <c r="B1466">
        <f>'Raw Data'!B1468</f>
        <v>360.12830593804119</v>
      </c>
      <c r="C1466">
        <f>'Site Data'!E1468</f>
        <v>0</v>
      </c>
      <c r="D1466" s="97">
        <f t="shared" si="46"/>
        <v>360.12830593804119</v>
      </c>
      <c r="E1466" s="98" t="str">
        <f t="shared" si="47"/>
        <v>Error</v>
      </c>
    </row>
    <row r="1467" spans="1:5" x14ac:dyDescent="0.25">
      <c r="A1467" s="95">
        <f>'Site Data'!B1469</f>
        <v>0</v>
      </c>
      <c r="B1467">
        <f>'Raw Data'!B1469</f>
        <v>360.12652085545932</v>
      </c>
      <c r="C1467">
        <f>'Site Data'!E1469</f>
        <v>0</v>
      </c>
      <c r="D1467" s="97">
        <f t="shared" si="46"/>
        <v>360.12652085545932</v>
      </c>
      <c r="E1467" s="98" t="str">
        <f t="shared" si="47"/>
        <v>Error</v>
      </c>
    </row>
    <row r="1468" spans="1:5" x14ac:dyDescent="0.25">
      <c r="A1468" s="95">
        <f>'Site Data'!B1470</f>
        <v>0</v>
      </c>
      <c r="B1468">
        <f>'Raw Data'!B1470</f>
        <v>360.12473577287744</v>
      </c>
      <c r="C1468">
        <f>'Site Data'!E1470</f>
        <v>0</v>
      </c>
      <c r="D1468" s="97">
        <f t="shared" si="46"/>
        <v>360.12473577287744</v>
      </c>
      <c r="E1468" s="98" t="str">
        <f t="shared" si="47"/>
        <v>Error</v>
      </c>
    </row>
    <row r="1469" spans="1:5" x14ac:dyDescent="0.25">
      <c r="A1469" s="95">
        <f>'Site Data'!B1471</f>
        <v>0</v>
      </c>
      <c r="B1469">
        <f>'Raw Data'!B1471</f>
        <v>360.12295069029551</v>
      </c>
      <c r="C1469">
        <f>'Site Data'!E1471</f>
        <v>0</v>
      </c>
      <c r="D1469" s="97">
        <f t="shared" si="46"/>
        <v>360.12295069029551</v>
      </c>
      <c r="E1469" s="98" t="str">
        <f t="shared" si="47"/>
        <v>Error</v>
      </c>
    </row>
    <row r="1470" spans="1:5" x14ac:dyDescent="0.25">
      <c r="A1470" s="95">
        <f>'Site Data'!B1472</f>
        <v>0</v>
      </c>
      <c r="B1470">
        <f>'Raw Data'!B1472</f>
        <v>360.12116560771364</v>
      </c>
      <c r="C1470">
        <f>'Site Data'!E1472</f>
        <v>0</v>
      </c>
      <c r="D1470" s="97">
        <f t="shared" si="46"/>
        <v>360.12116560771364</v>
      </c>
      <c r="E1470" s="98" t="str">
        <f t="shared" si="47"/>
        <v>Error</v>
      </c>
    </row>
    <row r="1471" spans="1:5" x14ac:dyDescent="0.25">
      <c r="A1471" s="95">
        <f>'Site Data'!B1473</f>
        <v>0</v>
      </c>
      <c r="B1471">
        <f>'Raw Data'!B1473</f>
        <v>360.11938052513176</v>
      </c>
      <c r="C1471">
        <f>'Site Data'!E1473</f>
        <v>0</v>
      </c>
      <c r="D1471" s="97">
        <f t="shared" si="46"/>
        <v>360.11938052513176</v>
      </c>
      <c r="E1471" s="98" t="str">
        <f t="shared" si="47"/>
        <v>Error</v>
      </c>
    </row>
    <row r="1472" spans="1:5" x14ac:dyDescent="0.25">
      <c r="A1472" s="95">
        <f>'Site Data'!B1474</f>
        <v>0</v>
      </c>
      <c r="B1472">
        <f>'Raw Data'!B1474</f>
        <v>360.11759544254983</v>
      </c>
      <c r="C1472">
        <f>'Site Data'!E1474</f>
        <v>0</v>
      </c>
      <c r="D1472" s="97">
        <f t="shared" si="46"/>
        <v>360.11759544254983</v>
      </c>
      <c r="E1472" s="98" t="str">
        <f t="shared" si="47"/>
        <v>Error</v>
      </c>
    </row>
    <row r="1473" spans="1:5" x14ac:dyDescent="0.25">
      <c r="A1473" s="95">
        <f>'Site Data'!B1475</f>
        <v>0</v>
      </c>
      <c r="B1473">
        <f>'Raw Data'!B1475</f>
        <v>360.11581035996795</v>
      </c>
      <c r="C1473">
        <f>'Site Data'!E1475</f>
        <v>0</v>
      </c>
      <c r="D1473" s="97">
        <f t="shared" si="46"/>
        <v>360.11581035996795</v>
      </c>
      <c r="E1473" s="98" t="str">
        <f t="shared" si="47"/>
        <v>Error</v>
      </c>
    </row>
    <row r="1474" spans="1:5" x14ac:dyDescent="0.25">
      <c r="A1474" s="95">
        <f>'Site Data'!B1476</f>
        <v>0</v>
      </c>
      <c r="B1474">
        <f>'Raw Data'!B1476</f>
        <v>360.11402527738608</v>
      </c>
      <c r="C1474">
        <f>'Site Data'!E1476</f>
        <v>0</v>
      </c>
      <c r="D1474" s="97">
        <f t="shared" ref="D1474:D1537" si="48">B1474-C1474</f>
        <v>360.11402527738608</v>
      </c>
      <c r="E1474" s="98" t="str">
        <f t="shared" ref="E1474:E1537" si="49">IF(AND(D1474 &gt;= 50, D1474 &lt;= 60), "Valid", "Error")</f>
        <v>Error</v>
      </c>
    </row>
    <row r="1475" spans="1:5" x14ac:dyDescent="0.25">
      <c r="A1475" s="95">
        <f>'Site Data'!B1477</f>
        <v>0</v>
      </c>
      <c r="B1475">
        <f>'Raw Data'!B1477</f>
        <v>360.11224019480414</v>
      </c>
      <c r="C1475">
        <f>'Site Data'!E1477</f>
        <v>0</v>
      </c>
      <c r="D1475" s="97">
        <f t="shared" si="48"/>
        <v>360.11224019480414</v>
      </c>
      <c r="E1475" s="98" t="str">
        <f t="shared" si="49"/>
        <v>Error</v>
      </c>
    </row>
    <row r="1476" spans="1:5" x14ac:dyDescent="0.25">
      <c r="A1476" s="95">
        <f>'Site Data'!B1478</f>
        <v>0</v>
      </c>
      <c r="B1476">
        <f>'Raw Data'!B1478</f>
        <v>360.11045511222227</v>
      </c>
      <c r="C1476">
        <f>'Site Data'!E1478</f>
        <v>0</v>
      </c>
      <c r="D1476" s="97">
        <f t="shared" si="48"/>
        <v>360.11045511222227</v>
      </c>
      <c r="E1476" s="98" t="str">
        <f t="shared" si="49"/>
        <v>Error</v>
      </c>
    </row>
    <row r="1477" spans="1:5" x14ac:dyDescent="0.25">
      <c r="A1477" s="95">
        <f>'Site Data'!B1479</f>
        <v>0</v>
      </c>
      <c r="B1477">
        <f>'Raw Data'!B1479</f>
        <v>360.10867002964039</v>
      </c>
      <c r="C1477">
        <f>'Site Data'!E1479</f>
        <v>0</v>
      </c>
      <c r="D1477" s="97">
        <f t="shared" si="48"/>
        <v>360.10867002964039</v>
      </c>
      <c r="E1477" s="98" t="str">
        <f t="shared" si="49"/>
        <v>Error</v>
      </c>
    </row>
    <row r="1478" spans="1:5" x14ac:dyDescent="0.25">
      <c r="A1478" s="95">
        <f>'Site Data'!B1480</f>
        <v>0</v>
      </c>
      <c r="B1478">
        <f>'Raw Data'!B1480</f>
        <v>360.10688494705846</v>
      </c>
      <c r="C1478">
        <f>'Site Data'!E1480</f>
        <v>0</v>
      </c>
      <c r="D1478" s="97">
        <f t="shared" si="48"/>
        <v>360.10688494705846</v>
      </c>
      <c r="E1478" s="98" t="str">
        <f t="shared" si="49"/>
        <v>Error</v>
      </c>
    </row>
    <row r="1479" spans="1:5" x14ac:dyDescent="0.25">
      <c r="A1479" s="95">
        <f>'Site Data'!B1481</f>
        <v>0</v>
      </c>
      <c r="B1479">
        <f>'Raw Data'!B1481</f>
        <v>360.10509986447659</v>
      </c>
      <c r="C1479">
        <f>'Site Data'!E1481</f>
        <v>0</v>
      </c>
      <c r="D1479" s="97">
        <f t="shared" si="48"/>
        <v>360.10509986447659</v>
      </c>
      <c r="E1479" s="98" t="str">
        <f t="shared" si="49"/>
        <v>Error</v>
      </c>
    </row>
    <row r="1480" spans="1:5" x14ac:dyDescent="0.25">
      <c r="A1480" s="95">
        <f>'Site Data'!B1482</f>
        <v>0</v>
      </c>
      <c r="B1480">
        <f>'Raw Data'!B1482</f>
        <v>360.10331478189471</v>
      </c>
      <c r="C1480">
        <f>'Site Data'!E1482</f>
        <v>0</v>
      </c>
      <c r="D1480" s="97">
        <f t="shared" si="48"/>
        <v>360.10331478189471</v>
      </c>
      <c r="E1480" s="98" t="str">
        <f t="shared" si="49"/>
        <v>Error</v>
      </c>
    </row>
    <row r="1481" spans="1:5" x14ac:dyDescent="0.25">
      <c r="A1481" s="95">
        <f>'Site Data'!B1483</f>
        <v>0</v>
      </c>
      <c r="B1481">
        <f>'Raw Data'!B1483</f>
        <v>360.10152969931278</v>
      </c>
      <c r="C1481">
        <f>'Site Data'!E1483</f>
        <v>0</v>
      </c>
      <c r="D1481" s="97">
        <f t="shared" si="48"/>
        <v>360.10152969931278</v>
      </c>
      <c r="E1481" s="98" t="str">
        <f t="shared" si="49"/>
        <v>Error</v>
      </c>
    </row>
    <row r="1482" spans="1:5" x14ac:dyDescent="0.25">
      <c r="A1482" s="95">
        <f>'Site Data'!B1484</f>
        <v>0</v>
      </c>
      <c r="B1482">
        <f>'Raw Data'!B1484</f>
        <v>360.0997446167309</v>
      </c>
      <c r="C1482">
        <f>'Site Data'!E1484</f>
        <v>0</v>
      </c>
      <c r="D1482" s="97">
        <f t="shared" si="48"/>
        <v>360.0997446167309</v>
      </c>
      <c r="E1482" s="98" t="str">
        <f t="shared" si="49"/>
        <v>Error</v>
      </c>
    </row>
    <row r="1483" spans="1:5" x14ac:dyDescent="0.25">
      <c r="A1483" s="95">
        <f>'Site Data'!B1485</f>
        <v>0</v>
      </c>
      <c r="B1483">
        <f>'Raw Data'!B1485</f>
        <v>360.09795953414903</v>
      </c>
      <c r="C1483">
        <f>'Site Data'!E1485</f>
        <v>0</v>
      </c>
      <c r="D1483" s="97">
        <f t="shared" si="48"/>
        <v>360.09795953414903</v>
      </c>
      <c r="E1483" s="98" t="str">
        <f t="shared" si="49"/>
        <v>Error</v>
      </c>
    </row>
    <row r="1484" spans="1:5" x14ac:dyDescent="0.25">
      <c r="A1484" s="95">
        <f>'Site Data'!B1486</f>
        <v>0</v>
      </c>
      <c r="B1484">
        <f>'Raw Data'!B1486</f>
        <v>360.09617445156709</v>
      </c>
      <c r="C1484">
        <f>'Site Data'!E1486</f>
        <v>0</v>
      </c>
      <c r="D1484" s="97">
        <f t="shared" si="48"/>
        <v>360.09617445156709</v>
      </c>
      <c r="E1484" s="98" t="str">
        <f t="shared" si="49"/>
        <v>Error</v>
      </c>
    </row>
    <row r="1485" spans="1:5" x14ac:dyDescent="0.25">
      <c r="A1485" s="95">
        <f>'Site Data'!B1487</f>
        <v>0</v>
      </c>
      <c r="B1485">
        <f>'Raw Data'!B1487</f>
        <v>360.09438936898522</v>
      </c>
      <c r="C1485">
        <f>'Site Data'!E1487</f>
        <v>0</v>
      </c>
      <c r="D1485" s="97">
        <f t="shared" si="48"/>
        <v>360.09438936898522</v>
      </c>
      <c r="E1485" s="98" t="str">
        <f t="shared" si="49"/>
        <v>Error</v>
      </c>
    </row>
    <row r="1486" spans="1:5" x14ac:dyDescent="0.25">
      <c r="A1486" s="95">
        <f>'Site Data'!B1488</f>
        <v>0</v>
      </c>
      <c r="B1486">
        <f>'Raw Data'!B1488</f>
        <v>360.09260428640334</v>
      </c>
      <c r="C1486">
        <f>'Site Data'!E1488</f>
        <v>0</v>
      </c>
      <c r="D1486" s="97">
        <f t="shared" si="48"/>
        <v>360.09260428640334</v>
      </c>
      <c r="E1486" s="98" t="str">
        <f t="shared" si="49"/>
        <v>Error</v>
      </c>
    </row>
    <row r="1487" spans="1:5" x14ac:dyDescent="0.25">
      <c r="A1487" s="95">
        <f>'Site Data'!B1489</f>
        <v>0</v>
      </c>
      <c r="B1487">
        <f>'Raw Data'!B1489</f>
        <v>360.09081920382141</v>
      </c>
      <c r="C1487">
        <f>'Site Data'!E1489</f>
        <v>0</v>
      </c>
      <c r="D1487" s="97">
        <f t="shared" si="48"/>
        <v>360.09081920382141</v>
      </c>
      <c r="E1487" s="98" t="str">
        <f t="shared" si="49"/>
        <v>Error</v>
      </c>
    </row>
    <row r="1488" spans="1:5" x14ac:dyDescent="0.25">
      <c r="A1488" s="95">
        <f>'Site Data'!B1490</f>
        <v>0</v>
      </c>
      <c r="B1488">
        <f>'Raw Data'!B1490</f>
        <v>360.08903412123954</v>
      </c>
      <c r="C1488">
        <f>'Site Data'!E1490</f>
        <v>0</v>
      </c>
      <c r="D1488" s="97">
        <f t="shared" si="48"/>
        <v>360.08903412123954</v>
      </c>
      <c r="E1488" s="98" t="str">
        <f t="shared" si="49"/>
        <v>Error</v>
      </c>
    </row>
    <row r="1489" spans="1:5" x14ac:dyDescent="0.25">
      <c r="A1489" s="95">
        <f>'Site Data'!B1491</f>
        <v>0</v>
      </c>
      <c r="B1489">
        <f>'Raw Data'!B1491</f>
        <v>360.08724903865766</v>
      </c>
      <c r="C1489">
        <f>'Site Data'!E1491</f>
        <v>0</v>
      </c>
      <c r="D1489" s="97">
        <f t="shared" si="48"/>
        <v>360.08724903865766</v>
      </c>
      <c r="E1489" s="98" t="str">
        <f t="shared" si="49"/>
        <v>Error</v>
      </c>
    </row>
    <row r="1490" spans="1:5" x14ac:dyDescent="0.25">
      <c r="A1490" s="95">
        <f>'Site Data'!B1492</f>
        <v>0</v>
      </c>
      <c r="B1490">
        <f>'Raw Data'!B1492</f>
        <v>360.08546395607573</v>
      </c>
      <c r="C1490">
        <f>'Site Data'!E1492</f>
        <v>0</v>
      </c>
      <c r="D1490" s="97">
        <f t="shared" si="48"/>
        <v>360.08546395607573</v>
      </c>
      <c r="E1490" s="98" t="str">
        <f t="shared" si="49"/>
        <v>Error</v>
      </c>
    </row>
    <row r="1491" spans="1:5" x14ac:dyDescent="0.25">
      <c r="A1491" s="95">
        <f>'Site Data'!B1493</f>
        <v>0</v>
      </c>
      <c r="B1491">
        <f>'Raw Data'!B1493</f>
        <v>360.08367887349385</v>
      </c>
      <c r="C1491">
        <f>'Site Data'!E1493</f>
        <v>0</v>
      </c>
      <c r="D1491" s="97">
        <f t="shared" si="48"/>
        <v>360.08367887349385</v>
      </c>
      <c r="E1491" s="98" t="str">
        <f t="shared" si="49"/>
        <v>Error</v>
      </c>
    </row>
    <row r="1492" spans="1:5" x14ac:dyDescent="0.25">
      <c r="A1492" s="95">
        <f>'Site Data'!B1494</f>
        <v>0</v>
      </c>
      <c r="B1492">
        <f>'Raw Data'!B1494</f>
        <v>360.08189379091198</v>
      </c>
      <c r="C1492">
        <f>'Site Data'!E1494</f>
        <v>0</v>
      </c>
      <c r="D1492" s="97">
        <f t="shared" si="48"/>
        <v>360.08189379091198</v>
      </c>
      <c r="E1492" s="98" t="str">
        <f t="shared" si="49"/>
        <v>Error</v>
      </c>
    </row>
    <row r="1493" spans="1:5" x14ac:dyDescent="0.25">
      <c r="A1493" s="95">
        <f>'Site Data'!B1495</f>
        <v>0</v>
      </c>
      <c r="B1493">
        <f>'Raw Data'!B1495</f>
        <v>360.08010870833004</v>
      </c>
      <c r="C1493">
        <f>'Site Data'!E1495</f>
        <v>0</v>
      </c>
      <c r="D1493" s="97">
        <f t="shared" si="48"/>
        <v>360.08010870833004</v>
      </c>
      <c r="E1493" s="98" t="str">
        <f t="shared" si="49"/>
        <v>Error</v>
      </c>
    </row>
    <row r="1494" spans="1:5" x14ac:dyDescent="0.25">
      <c r="A1494" s="95">
        <f>'Site Data'!B1496</f>
        <v>0</v>
      </c>
      <c r="B1494">
        <f>'Raw Data'!B1496</f>
        <v>360.07832362574817</v>
      </c>
      <c r="C1494">
        <f>'Site Data'!E1496</f>
        <v>0</v>
      </c>
      <c r="D1494" s="97">
        <f t="shared" si="48"/>
        <v>360.07832362574817</v>
      </c>
      <c r="E1494" s="98" t="str">
        <f t="shared" si="49"/>
        <v>Error</v>
      </c>
    </row>
    <row r="1495" spans="1:5" x14ac:dyDescent="0.25">
      <c r="A1495" s="95">
        <f>'Site Data'!B1497</f>
        <v>0</v>
      </c>
      <c r="B1495">
        <f>'Raw Data'!B1497</f>
        <v>360.07653854316629</v>
      </c>
      <c r="C1495">
        <f>'Site Data'!E1497</f>
        <v>0</v>
      </c>
      <c r="D1495" s="97">
        <f t="shared" si="48"/>
        <v>360.07653854316629</v>
      </c>
      <c r="E1495" s="98" t="str">
        <f t="shared" si="49"/>
        <v>Error</v>
      </c>
    </row>
    <row r="1496" spans="1:5" x14ac:dyDescent="0.25">
      <c r="A1496" s="95">
        <f>'Site Data'!B1498</f>
        <v>0</v>
      </c>
      <c r="B1496">
        <f>'Raw Data'!B1498</f>
        <v>360.07475346058436</v>
      </c>
      <c r="C1496">
        <f>'Site Data'!E1498</f>
        <v>0</v>
      </c>
      <c r="D1496" s="97">
        <f t="shared" si="48"/>
        <v>360.07475346058436</v>
      </c>
      <c r="E1496" s="98" t="str">
        <f t="shared" si="49"/>
        <v>Error</v>
      </c>
    </row>
    <row r="1497" spans="1:5" x14ac:dyDescent="0.25">
      <c r="A1497" s="95">
        <f>'Site Data'!B1499</f>
        <v>0</v>
      </c>
      <c r="B1497">
        <f>'Raw Data'!B1499</f>
        <v>360.07296837800249</v>
      </c>
      <c r="C1497">
        <f>'Site Data'!E1499</f>
        <v>0</v>
      </c>
      <c r="D1497" s="97">
        <f t="shared" si="48"/>
        <v>360.07296837800249</v>
      </c>
      <c r="E1497" s="98" t="str">
        <f t="shared" si="49"/>
        <v>Error</v>
      </c>
    </row>
    <row r="1498" spans="1:5" x14ac:dyDescent="0.25">
      <c r="A1498" s="95">
        <f>'Site Data'!B1500</f>
        <v>0</v>
      </c>
      <c r="B1498">
        <f>'Raw Data'!B1500</f>
        <v>360.07118329542061</v>
      </c>
      <c r="C1498">
        <f>'Site Data'!E1500</f>
        <v>0</v>
      </c>
      <c r="D1498" s="97">
        <f t="shared" si="48"/>
        <v>360.07118329542061</v>
      </c>
      <c r="E1498" s="98" t="str">
        <f t="shared" si="49"/>
        <v>Error</v>
      </c>
    </row>
    <row r="1499" spans="1:5" x14ac:dyDescent="0.25">
      <c r="A1499" s="95">
        <f>'Site Data'!B1501</f>
        <v>0</v>
      </c>
      <c r="B1499">
        <f>'Raw Data'!B1501</f>
        <v>360.06939821283868</v>
      </c>
      <c r="C1499">
        <f>'Site Data'!E1501</f>
        <v>0</v>
      </c>
      <c r="D1499" s="97">
        <f t="shared" si="48"/>
        <v>360.06939821283868</v>
      </c>
      <c r="E1499" s="98" t="str">
        <f t="shared" si="49"/>
        <v>Error</v>
      </c>
    </row>
    <row r="1500" spans="1:5" x14ac:dyDescent="0.25">
      <c r="A1500" s="95">
        <f>'Site Data'!B1502</f>
        <v>0</v>
      </c>
      <c r="B1500">
        <f>'Raw Data'!B1502</f>
        <v>360.0676131302568</v>
      </c>
      <c r="C1500">
        <f>'Site Data'!E1502</f>
        <v>0</v>
      </c>
      <c r="D1500" s="97">
        <f t="shared" si="48"/>
        <v>360.0676131302568</v>
      </c>
      <c r="E1500" s="98" t="str">
        <f t="shared" si="49"/>
        <v>Error</v>
      </c>
    </row>
    <row r="1501" spans="1:5" x14ac:dyDescent="0.25">
      <c r="A1501" s="95">
        <f>'Site Data'!B1503</f>
        <v>0</v>
      </c>
      <c r="B1501">
        <f>'Raw Data'!B1503</f>
        <v>360.06582804767493</v>
      </c>
      <c r="C1501">
        <f>'Site Data'!E1503</f>
        <v>0</v>
      </c>
      <c r="D1501" s="97">
        <f t="shared" si="48"/>
        <v>360.06582804767493</v>
      </c>
      <c r="E1501" s="98" t="str">
        <f t="shared" si="49"/>
        <v>Error</v>
      </c>
    </row>
    <row r="1502" spans="1:5" x14ac:dyDescent="0.25">
      <c r="A1502" s="95">
        <f>'Site Data'!B1504</f>
        <v>0</v>
      </c>
      <c r="B1502">
        <f>'Raw Data'!B1504</f>
        <v>360.06404296509299</v>
      </c>
      <c r="C1502">
        <f>'Site Data'!E1504</f>
        <v>0</v>
      </c>
      <c r="D1502" s="97">
        <f t="shared" si="48"/>
        <v>360.06404296509299</v>
      </c>
      <c r="E1502" s="98" t="str">
        <f t="shared" si="49"/>
        <v>Error</v>
      </c>
    </row>
    <row r="1503" spans="1:5" x14ac:dyDescent="0.25">
      <c r="A1503" s="95">
        <f>'Site Data'!B1505</f>
        <v>0</v>
      </c>
      <c r="B1503">
        <f>'Raw Data'!B1505</f>
        <v>360.06225788251112</v>
      </c>
      <c r="C1503">
        <f>'Site Data'!E1505</f>
        <v>0</v>
      </c>
      <c r="D1503" s="97">
        <f t="shared" si="48"/>
        <v>360.06225788251112</v>
      </c>
      <c r="E1503" s="98" t="str">
        <f t="shared" si="49"/>
        <v>Error</v>
      </c>
    </row>
    <row r="1504" spans="1:5" x14ac:dyDescent="0.25">
      <c r="A1504" s="95">
        <f>'Site Data'!B1506</f>
        <v>0</v>
      </c>
      <c r="B1504">
        <f>'Raw Data'!B1506</f>
        <v>360.06047279992924</v>
      </c>
      <c r="C1504">
        <f>'Site Data'!E1506</f>
        <v>0</v>
      </c>
      <c r="D1504" s="97">
        <f t="shared" si="48"/>
        <v>360.06047279992924</v>
      </c>
      <c r="E1504" s="98" t="str">
        <f t="shared" si="49"/>
        <v>Error</v>
      </c>
    </row>
    <row r="1505" spans="1:5" x14ac:dyDescent="0.25">
      <c r="A1505" s="95">
        <f>'Site Data'!B1507</f>
        <v>0</v>
      </c>
      <c r="B1505">
        <f>'Raw Data'!B1507</f>
        <v>360.05868771734731</v>
      </c>
      <c r="C1505">
        <f>'Site Data'!E1507</f>
        <v>0</v>
      </c>
      <c r="D1505" s="97">
        <f t="shared" si="48"/>
        <v>360.05868771734731</v>
      </c>
      <c r="E1505" s="98" t="str">
        <f t="shared" si="49"/>
        <v>Error</v>
      </c>
    </row>
    <row r="1506" spans="1:5" x14ac:dyDescent="0.25">
      <c r="A1506" s="95">
        <f>'Site Data'!B1508</f>
        <v>0</v>
      </c>
      <c r="B1506">
        <f>'Raw Data'!B1508</f>
        <v>360.05690263476544</v>
      </c>
      <c r="C1506">
        <f>'Site Data'!E1508</f>
        <v>0</v>
      </c>
      <c r="D1506" s="97">
        <f t="shared" si="48"/>
        <v>360.05690263476544</v>
      </c>
      <c r="E1506" s="98" t="str">
        <f t="shared" si="49"/>
        <v>Error</v>
      </c>
    </row>
    <row r="1507" spans="1:5" x14ac:dyDescent="0.25">
      <c r="A1507" s="95">
        <f>'Site Data'!B1509</f>
        <v>0</v>
      </c>
      <c r="B1507">
        <f>'Raw Data'!B1509</f>
        <v>360.05511755218356</v>
      </c>
      <c r="C1507">
        <f>'Site Data'!E1509</f>
        <v>0</v>
      </c>
      <c r="D1507" s="97">
        <f t="shared" si="48"/>
        <v>360.05511755218356</v>
      </c>
      <c r="E1507" s="98" t="str">
        <f t="shared" si="49"/>
        <v>Error</v>
      </c>
    </row>
    <row r="1508" spans="1:5" x14ac:dyDescent="0.25">
      <c r="A1508" s="95">
        <f>'Site Data'!B1510</f>
        <v>0</v>
      </c>
      <c r="B1508">
        <f>'Raw Data'!B1510</f>
        <v>360.05333246960163</v>
      </c>
      <c r="C1508">
        <f>'Site Data'!E1510</f>
        <v>0</v>
      </c>
      <c r="D1508" s="97">
        <f t="shared" si="48"/>
        <v>360.05333246960163</v>
      </c>
      <c r="E1508" s="98" t="str">
        <f t="shared" si="49"/>
        <v>Error</v>
      </c>
    </row>
    <row r="1509" spans="1:5" x14ac:dyDescent="0.25">
      <c r="A1509" s="95">
        <f>'Site Data'!B1511</f>
        <v>0</v>
      </c>
      <c r="B1509">
        <f>'Raw Data'!B1511</f>
        <v>360.05154738701975</v>
      </c>
      <c r="C1509">
        <f>'Site Data'!E1511</f>
        <v>0</v>
      </c>
      <c r="D1509" s="97">
        <f t="shared" si="48"/>
        <v>360.05154738701975</v>
      </c>
      <c r="E1509" s="98" t="str">
        <f t="shared" si="49"/>
        <v>Error</v>
      </c>
    </row>
    <row r="1510" spans="1:5" x14ac:dyDescent="0.25">
      <c r="A1510" s="95">
        <f>'Site Data'!B1512</f>
        <v>0</v>
      </c>
      <c r="B1510">
        <f>'Raw Data'!B1512</f>
        <v>360.04976230443788</v>
      </c>
      <c r="C1510">
        <f>'Site Data'!E1512</f>
        <v>0</v>
      </c>
      <c r="D1510" s="97">
        <f t="shared" si="48"/>
        <v>360.04976230443788</v>
      </c>
      <c r="E1510" s="98" t="str">
        <f t="shared" si="49"/>
        <v>Error</v>
      </c>
    </row>
    <row r="1511" spans="1:5" x14ac:dyDescent="0.25">
      <c r="A1511" s="95">
        <f>'Site Data'!B1513</f>
        <v>0</v>
      </c>
      <c r="B1511">
        <f>'Raw Data'!B1513</f>
        <v>360.04797722185594</v>
      </c>
      <c r="C1511">
        <f>'Site Data'!E1513</f>
        <v>0</v>
      </c>
      <c r="D1511" s="97">
        <f t="shared" si="48"/>
        <v>360.04797722185594</v>
      </c>
      <c r="E1511" s="98" t="str">
        <f t="shared" si="49"/>
        <v>Error</v>
      </c>
    </row>
    <row r="1512" spans="1:5" x14ac:dyDescent="0.25">
      <c r="A1512" s="95">
        <f>'Site Data'!B1514</f>
        <v>0</v>
      </c>
      <c r="B1512">
        <f>'Raw Data'!B1514</f>
        <v>360.04619213927407</v>
      </c>
      <c r="C1512">
        <f>'Site Data'!E1514</f>
        <v>0</v>
      </c>
      <c r="D1512" s="97">
        <f t="shared" si="48"/>
        <v>360.04619213927407</v>
      </c>
      <c r="E1512" s="98" t="str">
        <f t="shared" si="49"/>
        <v>Error</v>
      </c>
    </row>
    <row r="1513" spans="1:5" x14ac:dyDescent="0.25">
      <c r="A1513" s="95">
        <f>'Site Data'!B1515</f>
        <v>0</v>
      </c>
      <c r="B1513">
        <f>'Raw Data'!B1515</f>
        <v>360.04440705669219</v>
      </c>
      <c r="C1513">
        <f>'Site Data'!E1515</f>
        <v>0</v>
      </c>
      <c r="D1513" s="97">
        <f t="shared" si="48"/>
        <v>360.04440705669219</v>
      </c>
      <c r="E1513" s="98" t="str">
        <f t="shared" si="49"/>
        <v>Error</v>
      </c>
    </row>
    <row r="1514" spans="1:5" x14ac:dyDescent="0.25">
      <c r="A1514" s="95">
        <f>'Site Data'!B1516</f>
        <v>0</v>
      </c>
      <c r="B1514">
        <f>'Raw Data'!B1516</f>
        <v>360.04262197411026</v>
      </c>
      <c r="C1514">
        <f>'Site Data'!E1516</f>
        <v>0</v>
      </c>
      <c r="D1514" s="97">
        <f t="shared" si="48"/>
        <v>360.04262197411026</v>
      </c>
      <c r="E1514" s="98" t="str">
        <f t="shared" si="49"/>
        <v>Error</v>
      </c>
    </row>
    <row r="1515" spans="1:5" x14ac:dyDescent="0.25">
      <c r="A1515" s="95">
        <f>'Site Data'!B1517</f>
        <v>0</v>
      </c>
      <c r="B1515">
        <f>'Raw Data'!B1517</f>
        <v>360.04083689152839</v>
      </c>
      <c r="C1515">
        <f>'Site Data'!E1517</f>
        <v>0</v>
      </c>
      <c r="D1515" s="97">
        <f t="shared" si="48"/>
        <v>360.04083689152839</v>
      </c>
      <c r="E1515" s="98" t="str">
        <f t="shared" si="49"/>
        <v>Error</v>
      </c>
    </row>
    <row r="1516" spans="1:5" x14ac:dyDescent="0.25">
      <c r="A1516" s="95">
        <f>'Site Data'!B1518</f>
        <v>0</v>
      </c>
      <c r="B1516">
        <f>'Raw Data'!B1518</f>
        <v>360.03905180894651</v>
      </c>
      <c r="C1516">
        <f>'Site Data'!E1518</f>
        <v>0</v>
      </c>
      <c r="D1516" s="97">
        <f t="shared" si="48"/>
        <v>360.03905180894651</v>
      </c>
      <c r="E1516" s="98" t="str">
        <f t="shared" si="49"/>
        <v>Error</v>
      </c>
    </row>
    <row r="1517" spans="1:5" x14ac:dyDescent="0.25">
      <c r="A1517" s="95">
        <f>'Site Data'!B1519</f>
        <v>0</v>
      </c>
      <c r="B1517">
        <f>'Raw Data'!B1519</f>
        <v>360.03726672636458</v>
      </c>
      <c r="C1517">
        <f>'Site Data'!E1519</f>
        <v>0</v>
      </c>
      <c r="D1517" s="97">
        <f t="shared" si="48"/>
        <v>360.03726672636458</v>
      </c>
      <c r="E1517" s="98" t="str">
        <f t="shared" si="49"/>
        <v>Error</v>
      </c>
    </row>
    <row r="1518" spans="1:5" x14ac:dyDescent="0.25">
      <c r="A1518" s="95">
        <f>'Site Data'!B1520</f>
        <v>0</v>
      </c>
      <c r="B1518">
        <f>'Raw Data'!B1520</f>
        <v>360.0354816437827</v>
      </c>
      <c r="C1518">
        <f>'Site Data'!E1520</f>
        <v>0</v>
      </c>
      <c r="D1518" s="97">
        <f t="shared" si="48"/>
        <v>360.0354816437827</v>
      </c>
      <c r="E1518" s="98" t="str">
        <f t="shared" si="49"/>
        <v>Error</v>
      </c>
    </row>
    <row r="1519" spans="1:5" x14ac:dyDescent="0.25">
      <c r="A1519" s="95">
        <f>'Site Data'!B1521</f>
        <v>0</v>
      </c>
      <c r="B1519">
        <f>'Raw Data'!B1521</f>
        <v>360.03369656120083</v>
      </c>
      <c r="C1519">
        <f>'Site Data'!E1521</f>
        <v>0</v>
      </c>
      <c r="D1519" s="97">
        <f t="shared" si="48"/>
        <v>360.03369656120083</v>
      </c>
      <c r="E1519" s="98" t="str">
        <f t="shared" si="49"/>
        <v>Error</v>
      </c>
    </row>
    <row r="1520" spans="1:5" x14ac:dyDescent="0.25">
      <c r="A1520" s="95">
        <f>'Site Data'!B1522</f>
        <v>0</v>
      </c>
      <c r="B1520">
        <f>'Raw Data'!B1522</f>
        <v>360.03191147861889</v>
      </c>
      <c r="C1520">
        <f>'Site Data'!E1522</f>
        <v>0</v>
      </c>
      <c r="D1520" s="97">
        <f t="shared" si="48"/>
        <v>360.03191147861889</v>
      </c>
      <c r="E1520" s="98" t="str">
        <f t="shared" si="49"/>
        <v>Error</v>
      </c>
    </row>
    <row r="1521" spans="1:5" x14ac:dyDescent="0.25">
      <c r="A1521" s="95">
        <f>'Site Data'!B1523</f>
        <v>0</v>
      </c>
      <c r="B1521">
        <f>'Raw Data'!B1523</f>
        <v>360.03012639603702</v>
      </c>
      <c r="C1521">
        <f>'Site Data'!E1523</f>
        <v>0</v>
      </c>
      <c r="D1521" s="97">
        <f t="shared" si="48"/>
        <v>360.03012639603702</v>
      </c>
      <c r="E1521" s="98" t="str">
        <f t="shared" si="49"/>
        <v>Error</v>
      </c>
    </row>
    <row r="1522" spans="1:5" x14ac:dyDescent="0.25">
      <c r="A1522" s="95">
        <f>'Site Data'!B1524</f>
        <v>0</v>
      </c>
      <c r="B1522">
        <f>'Raw Data'!B1524</f>
        <v>360.03</v>
      </c>
      <c r="C1522">
        <f>'Site Data'!E1524</f>
        <v>0</v>
      </c>
      <c r="D1522" s="97">
        <f t="shared" si="48"/>
        <v>360.03</v>
      </c>
      <c r="E1522" s="98" t="str">
        <f t="shared" si="49"/>
        <v>Error</v>
      </c>
    </row>
    <row r="1523" spans="1:5" x14ac:dyDescent="0.25">
      <c r="A1523" s="95">
        <f>'Site Data'!B1525</f>
        <v>0</v>
      </c>
      <c r="B1523">
        <f>'Raw Data'!B1525</f>
        <v>359.91110956831835</v>
      </c>
      <c r="C1523">
        <f>'Site Data'!E1525</f>
        <v>0</v>
      </c>
      <c r="D1523" s="97">
        <f t="shared" si="48"/>
        <v>359.91110956831835</v>
      </c>
      <c r="E1523" s="98" t="str">
        <f t="shared" si="49"/>
        <v>Error</v>
      </c>
    </row>
    <row r="1524" spans="1:5" x14ac:dyDescent="0.25">
      <c r="A1524" s="95">
        <f>'Site Data'!B1526</f>
        <v>0</v>
      </c>
      <c r="B1524">
        <f>'Raw Data'!B1526</f>
        <v>359.9</v>
      </c>
      <c r="C1524">
        <f>'Site Data'!E1526</f>
        <v>0</v>
      </c>
      <c r="D1524" s="97">
        <f t="shared" si="48"/>
        <v>359.9</v>
      </c>
      <c r="E1524" s="98" t="str">
        <f t="shared" si="49"/>
        <v>Error</v>
      </c>
    </row>
    <row r="1525" spans="1:5" x14ac:dyDescent="0.25">
      <c r="A1525" s="95">
        <f>'Site Data'!B1527</f>
        <v>0</v>
      </c>
      <c r="B1525">
        <f>'Raw Data'!B1527</f>
        <v>359.9</v>
      </c>
      <c r="C1525">
        <f>'Site Data'!E1527</f>
        <v>0</v>
      </c>
      <c r="D1525" s="97">
        <f t="shared" si="48"/>
        <v>359.9</v>
      </c>
      <c r="E1525" s="98" t="str">
        <f t="shared" si="49"/>
        <v>Error</v>
      </c>
    </row>
    <row r="1526" spans="1:5" x14ac:dyDescent="0.25">
      <c r="A1526" s="95">
        <f>'Site Data'!B1528</f>
        <v>0</v>
      </c>
      <c r="B1526">
        <f>'Raw Data'!B1528</f>
        <v>359.9</v>
      </c>
      <c r="C1526">
        <f>'Site Data'!E1528</f>
        <v>0</v>
      </c>
      <c r="D1526" s="97">
        <f t="shared" si="48"/>
        <v>359.9</v>
      </c>
      <c r="E1526" s="98" t="str">
        <f t="shared" si="49"/>
        <v>Error</v>
      </c>
    </row>
    <row r="1527" spans="1:5" x14ac:dyDescent="0.25">
      <c r="A1527" s="95">
        <f>'Site Data'!B1529</f>
        <v>0</v>
      </c>
      <c r="B1527">
        <f>'Raw Data'!B1529</f>
        <v>359.9</v>
      </c>
      <c r="C1527">
        <f>'Site Data'!E1529</f>
        <v>0</v>
      </c>
      <c r="D1527" s="97">
        <f t="shared" si="48"/>
        <v>359.9</v>
      </c>
      <c r="E1527" s="98" t="str">
        <f t="shared" si="49"/>
        <v>Error</v>
      </c>
    </row>
    <row r="1528" spans="1:5" x14ac:dyDescent="0.25">
      <c r="A1528" s="95">
        <f>'Site Data'!B1530</f>
        <v>0</v>
      </c>
      <c r="B1528">
        <f>'Raw Data'!B1530</f>
        <v>359.9</v>
      </c>
      <c r="C1528">
        <f>'Site Data'!E1530</f>
        <v>0</v>
      </c>
      <c r="D1528" s="97">
        <f t="shared" si="48"/>
        <v>359.9</v>
      </c>
      <c r="E1528" s="98" t="str">
        <f t="shared" si="49"/>
        <v>Error</v>
      </c>
    </row>
    <row r="1529" spans="1:5" x14ac:dyDescent="0.25">
      <c r="A1529" s="95">
        <f>'Site Data'!B1531</f>
        <v>0</v>
      </c>
      <c r="B1529">
        <f>'Raw Data'!B1531</f>
        <v>359.9</v>
      </c>
      <c r="C1529">
        <f>'Site Data'!E1531</f>
        <v>0</v>
      </c>
      <c r="D1529" s="97">
        <f t="shared" si="48"/>
        <v>359.9</v>
      </c>
      <c r="E1529" s="98" t="str">
        <f t="shared" si="49"/>
        <v>Error</v>
      </c>
    </row>
    <row r="1530" spans="1:5" x14ac:dyDescent="0.25">
      <c r="A1530" s="95">
        <f>'Site Data'!B1532</f>
        <v>0</v>
      </c>
      <c r="B1530">
        <f>'Raw Data'!B1532</f>
        <v>359.9</v>
      </c>
      <c r="C1530">
        <f>'Site Data'!E1532</f>
        <v>0</v>
      </c>
      <c r="D1530" s="97">
        <f t="shared" si="48"/>
        <v>359.9</v>
      </c>
      <c r="E1530" s="98" t="str">
        <f t="shared" si="49"/>
        <v>Error</v>
      </c>
    </row>
    <row r="1531" spans="1:5" x14ac:dyDescent="0.25">
      <c r="A1531" s="95">
        <f>'Site Data'!B1533</f>
        <v>0</v>
      </c>
      <c r="B1531">
        <f>'Raw Data'!B1533</f>
        <v>359.73329440744112</v>
      </c>
      <c r="C1531">
        <f>'Site Data'!E1533</f>
        <v>0</v>
      </c>
      <c r="D1531" s="97">
        <f t="shared" si="48"/>
        <v>359.73329440744112</v>
      </c>
      <c r="E1531" s="98" t="str">
        <f t="shared" si="49"/>
        <v>Error</v>
      </c>
    </row>
    <row r="1532" spans="1:5" x14ac:dyDescent="0.25">
      <c r="A1532" s="95">
        <f>'Site Data'!B1534</f>
        <v>0</v>
      </c>
      <c r="B1532">
        <f>'Raw Data'!B1534</f>
        <v>359.72</v>
      </c>
      <c r="C1532">
        <f>'Site Data'!E1534</f>
        <v>0</v>
      </c>
      <c r="D1532" s="97">
        <f t="shared" si="48"/>
        <v>359.72</v>
      </c>
      <c r="E1532" s="98" t="str">
        <f t="shared" si="49"/>
        <v>Error</v>
      </c>
    </row>
    <row r="1533" spans="1:5" x14ac:dyDescent="0.25">
      <c r="A1533" s="95">
        <f>'Site Data'!B1535</f>
        <v>0</v>
      </c>
      <c r="B1533">
        <f>'Raw Data'!B1535</f>
        <v>359.76</v>
      </c>
      <c r="C1533">
        <f>'Site Data'!E1535</f>
        <v>0</v>
      </c>
      <c r="D1533" s="97">
        <f t="shared" si="48"/>
        <v>359.76</v>
      </c>
      <c r="E1533" s="98" t="str">
        <f t="shared" si="49"/>
        <v>Error</v>
      </c>
    </row>
    <row r="1534" spans="1:5" x14ac:dyDescent="0.25">
      <c r="A1534" s="95">
        <f>'Site Data'!B1536</f>
        <v>0</v>
      </c>
      <c r="B1534">
        <f>'Raw Data'!B1536</f>
        <v>359.76</v>
      </c>
      <c r="C1534">
        <f>'Site Data'!E1536</f>
        <v>0</v>
      </c>
      <c r="D1534" s="97">
        <f t="shared" si="48"/>
        <v>359.76</v>
      </c>
      <c r="E1534" s="98" t="str">
        <f t="shared" si="49"/>
        <v>Error</v>
      </c>
    </row>
    <row r="1535" spans="1:5" x14ac:dyDescent="0.25">
      <c r="A1535" s="95">
        <f>'Site Data'!B1537</f>
        <v>0</v>
      </c>
      <c r="B1535">
        <f>'Raw Data'!B1537</f>
        <v>359.8</v>
      </c>
      <c r="C1535">
        <f>'Site Data'!E1537</f>
        <v>0</v>
      </c>
      <c r="D1535" s="97">
        <f t="shared" si="48"/>
        <v>359.8</v>
      </c>
      <c r="E1535" s="98" t="str">
        <f t="shared" si="49"/>
        <v>Error</v>
      </c>
    </row>
    <row r="1536" spans="1:5" x14ac:dyDescent="0.25">
      <c r="A1536" s="95">
        <f>'Site Data'!B1538</f>
        <v>0</v>
      </c>
      <c r="B1536">
        <f>'Raw Data'!B1538</f>
        <v>359.8</v>
      </c>
      <c r="C1536">
        <f>'Site Data'!E1538</f>
        <v>0</v>
      </c>
      <c r="D1536" s="97">
        <f t="shared" si="48"/>
        <v>359.8</v>
      </c>
      <c r="E1536" s="98" t="str">
        <f t="shared" si="49"/>
        <v>Error</v>
      </c>
    </row>
    <row r="1537" spans="1:5" x14ac:dyDescent="0.25">
      <c r="A1537" s="95">
        <f>'Site Data'!B1539</f>
        <v>0</v>
      </c>
      <c r="B1537">
        <f>'Raw Data'!B1539</f>
        <v>359.85989389835873</v>
      </c>
      <c r="C1537">
        <f>'Site Data'!E1539</f>
        <v>0</v>
      </c>
      <c r="D1537" s="97">
        <f t="shared" si="48"/>
        <v>359.85989389835873</v>
      </c>
      <c r="E1537" s="98" t="str">
        <f t="shared" si="49"/>
        <v>Error</v>
      </c>
    </row>
    <row r="1538" spans="1:5" x14ac:dyDescent="0.25">
      <c r="A1538" s="95">
        <f>'Site Data'!B1540</f>
        <v>0</v>
      </c>
      <c r="B1538">
        <f>'Raw Data'!B1540</f>
        <v>359.86</v>
      </c>
      <c r="C1538">
        <f>'Site Data'!E1540</f>
        <v>0</v>
      </c>
      <c r="D1538" s="97">
        <f t="shared" ref="D1538:D1601" si="50">B1538-C1538</f>
        <v>359.86</v>
      </c>
      <c r="E1538" s="98" t="str">
        <f t="shared" ref="E1538:E1601" si="51">IF(AND(D1538 &gt;= 50, D1538 &lt;= 60), "Valid", "Error")</f>
        <v>Error</v>
      </c>
    </row>
    <row r="1539" spans="1:5" x14ac:dyDescent="0.25">
      <c r="A1539" s="95">
        <f>'Site Data'!B1541</f>
        <v>0</v>
      </c>
      <c r="B1539">
        <f>'Raw Data'!B1541</f>
        <v>359.86</v>
      </c>
      <c r="C1539">
        <f>'Site Data'!E1541</f>
        <v>0</v>
      </c>
      <c r="D1539" s="97">
        <f t="shared" si="50"/>
        <v>359.86</v>
      </c>
      <c r="E1539" s="98" t="str">
        <f t="shared" si="51"/>
        <v>Error</v>
      </c>
    </row>
    <row r="1540" spans="1:5" x14ac:dyDescent="0.25">
      <c r="A1540" s="95">
        <f>'Site Data'!B1542</f>
        <v>0</v>
      </c>
      <c r="B1540">
        <f>'Raw Data'!B1542</f>
        <v>359.86</v>
      </c>
      <c r="C1540">
        <f>'Site Data'!E1542</f>
        <v>0</v>
      </c>
      <c r="D1540" s="97">
        <f t="shared" si="50"/>
        <v>359.86</v>
      </c>
      <c r="E1540" s="98" t="str">
        <f t="shared" si="51"/>
        <v>Error</v>
      </c>
    </row>
    <row r="1541" spans="1:5" x14ac:dyDescent="0.25">
      <c r="A1541" s="95">
        <f>'Site Data'!B1543</f>
        <v>0</v>
      </c>
      <c r="B1541">
        <f>'Raw Data'!B1543</f>
        <v>359.86</v>
      </c>
      <c r="C1541">
        <f>'Site Data'!E1543</f>
        <v>0</v>
      </c>
      <c r="D1541" s="97">
        <f t="shared" si="50"/>
        <v>359.86</v>
      </c>
      <c r="E1541" s="98" t="str">
        <f t="shared" si="51"/>
        <v>Error</v>
      </c>
    </row>
    <row r="1542" spans="1:5" x14ac:dyDescent="0.25">
      <c r="A1542" s="95">
        <f>'Site Data'!B1544</f>
        <v>0</v>
      </c>
      <c r="B1542">
        <f>'Raw Data'!B1544</f>
        <v>359.86</v>
      </c>
      <c r="C1542">
        <f>'Site Data'!E1544</f>
        <v>0</v>
      </c>
      <c r="D1542" s="97">
        <f t="shared" si="50"/>
        <v>359.86</v>
      </c>
      <c r="E1542" s="98" t="str">
        <f t="shared" si="51"/>
        <v>Error</v>
      </c>
    </row>
    <row r="1543" spans="1:5" x14ac:dyDescent="0.25">
      <c r="A1543" s="95">
        <f>'Site Data'!B1545</f>
        <v>0</v>
      </c>
      <c r="B1543">
        <f>'Raw Data'!B1545</f>
        <v>359.86</v>
      </c>
      <c r="C1543">
        <f>'Site Data'!E1545</f>
        <v>0</v>
      </c>
      <c r="D1543" s="97">
        <f t="shared" si="50"/>
        <v>359.86</v>
      </c>
      <c r="E1543" s="98" t="str">
        <f t="shared" si="51"/>
        <v>Error</v>
      </c>
    </row>
    <row r="1544" spans="1:5" x14ac:dyDescent="0.25">
      <c r="A1544" s="95">
        <f>'Site Data'!B1546</f>
        <v>0</v>
      </c>
      <c r="B1544">
        <f>'Raw Data'!B1546</f>
        <v>359.86</v>
      </c>
      <c r="C1544">
        <f>'Site Data'!E1546</f>
        <v>0</v>
      </c>
      <c r="D1544" s="97">
        <f t="shared" si="50"/>
        <v>359.86</v>
      </c>
      <c r="E1544" s="98" t="str">
        <f t="shared" si="51"/>
        <v>Error</v>
      </c>
    </row>
    <row r="1545" spans="1:5" x14ac:dyDescent="0.25">
      <c r="A1545" s="95">
        <f>'Site Data'!B1547</f>
        <v>0</v>
      </c>
      <c r="B1545">
        <f>'Raw Data'!B1547</f>
        <v>359.79</v>
      </c>
      <c r="C1545">
        <f>'Site Data'!E1547</f>
        <v>0</v>
      </c>
      <c r="D1545" s="97">
        <f t="shared" si="50"/>
        <v>359.79</v>
      </c>
      <c r="E1545" s="98" t="str">
        <f t="shared" si="51"/>
        <v>Error</v>
      </c>
    </row>
    <row r="1546" spans="1:5" x14ac:dyDescent="0.25">
      <c r="A1546" s="95">
        <f>'Site Data'!B1548</f>
        <v>0</v>
      </c>
      <c r="B1546">
        <f>'Raw Data'!B1548</f>
        <v>359.79</v>
      </c>
      <c r="C1546">
        <f>'Site Data'!E1548</f>
        <v>0</v>
      </c>
      <c r="D1546" s="97">
        <f t="shared" si="50"/>
        <v>359.79</v>
      </c>
      <c r="E1546" s="98" t="str">
        <f t="shared" si="51"/>
        <v>Error</v>
      </c>
    </row>
    <row r="1547" spans="1:5" x14ac:dyDescent="0.25">
      <c r="A1547" s="95">
        <f>'Site Data'!B1549</f>
        <v>0</v>
      </c>
      <c r="B1547">
        <f>'Raw Data'!B1549</f>
        <v>359.77</v>
      </c>
      <c r="C1547">
        <f>'Site Data'!E1549</f>
        <v>0</v>
      </c>
      <c r="D1547" s="97">
        <f t="shared" si="50"/>
        <v>359.77</v>
      </c>
      <c r="E1547" s="98" t="str">
        <f t="shared" si="51"/>
        <v>Error</v>
      </c>
    </row>
    <row r="1548" spans="1:5" x14ac:dyDescent="0.25">
      <c r="A1548" s="95">
        <f>'Site Data'!B1550</f>
        <v>0</v>
      </c>
      <c r="B1548">
        <f>'Raw Data'!B1550</f>
        <v>359.77</v>
      </c>
      <c r="C1548">
        <f>'Site Data'!E1550</f>
        <v>0</v>
      </c>
      <c r="D1548" s="97">
        <f t="shared" si="50"/>
        <v>359.77</v>
      </c>
      <c r="E1548" s="98" t="str">
        <f t="shared" si="51"/>
        <v>Error</v>
      </c>
    </row>
    <row r="1549" spans="1:5" x14ac:dyDescent="0.25">
      <c r="A1549" s="95">
        <f>'Site Data'!B1551</f>
        <v>0</v>
      </c>
      <c r="B1549">
        <f>'Raw Data'!B1551</f>
        <v>359.77</v>
      </c>
      <c r="C1549">
        <f>'Site Data'!E1551</f>
        <v>0</v>
      </c>
      <c r="D1549" s="97">
        <f t="shared" si="50"/>
        <v>359.77</v>
      </c>
      <c r="E1549" s="98" t="str">
        <f t="shared" si="51"/>
        <v>Error</v>
      </c>
    </row>
    <row r="1550" spans="1:5" x14ac:dyDescent="0.25">
      <c r="A1550" s="95">
        <f>'Site Data'!B1552</f>
        <v>0</v>
      </c>
      <c r="B1550">
        <f>'Raw Data'!B1552</f>
        <v>359.77</v>
      </c>
      <c r="C1550">
        <f>'Site Data'!E1552</f>
        <v>0</v>
      </c>
      <c r="D1550" s="97">
        <f t="shared" si="50"/>
        <v>359.77</v>
      </c>
      <c r="E1550" s="98" t="str">
        <f t="shared" si="51"/>
        <v>Error</v>
      </c>
    </row>
    <row r="1551" spans="1:5" x14ac:dyDescent="0.25">
      <c r="A1551" s="95">
        <f>'Site Data'!B1553</f>
        <v>0</v>
      </c>
      <c r="B1551">
        <f>'Raw Data'!B1553</f>
        <v>359.75</v>
      </c>
      <c r="C1551">
        <f>'Site Data'!E1553</f>
        <v>0</v>
      </c>
      <c r="D1551" s="97">
        <f t="shared" si="50"/>
        <v>359.75</v>
      </c>
      <c r="E1551" s="98" t="str">
        <f t="shared" si="51"/>
        <v>Error</v>
      </c>
    </row>
    <row r="1552" spans="1:5" x14ac:dyDescent="0.25">
      <c r="A1552" s="95">
        <f>'Site Data'!B1554</f>
        <v>0</v>
      </c>
      <c r="B1552">
        <f>'Raw Data'!B1554</f>
        <v>359.75</v>
      </c>
      <c r="C1552">
        <f>'Site Data'!E1554</f>
        <v>0</v>
      </c>
      <c r="D1552" s="97">
        <f t="shared" si="50"/>
        <v>359.75</v>
      </c>
      <c r="E1552" s="98" t="str">
        <f t="shared" si="51"/>
        <v>Error</v>
      </c>
    </row>
    <row r="1553" spans="1:5" x14ac:dyDescent="0.25">
      <c r="A1553" s="95">
        <f>'Site Data'!B1555</f>
        <v>0</v>
      </c>
      <c r="B1553">
        <f>'Raw Data'!B1555</f>
        <v>359.75</v>
      </c>
      <c r="C1553">
        <f>'Site Data'!E1555</f>
        <v>0</v>
      </c>
      <c r="D1553" s="97">
        <f t="shared" si="50"/>
        <v>359.75</v>
      </c>
      <c r="E1553" s="98" t="str">
        <f t="shared" si="51"/>
        <v>Error</v>
      </c>
    </row>
    <row r="1554" spans="1:5" x14ac:dyDescent="0.25">
      <c r="A1554" s="95">
        <f>'Site Data'!B1556</f>
        <v>0</v>
      </c>
      <c r="B1554">
        <f>'Raw Data'!B1556</f>
        <v>359.75</v>
      </c>
      <c r="C1554">
        <f>'Site Data'!E1556</f>
        <v>0</v>
      </c>
      <c r="D1554" s="97">
        <f t="shared" si="50"/>
        <v>359.75</v>
      </c>
      <c r="E1554" s="98" t="str">
        <f t="shared" si="51"/>
        <v>Error</v>
      </c>
    </row>
    <row r="1555" spans="1:5" x14ac:dyDescent="0.25">
      <c r="A1555" s="95">
        <f>'Site Data'!B1557</f>
        <v>0</v>
      </c>
      <c r="B1555">
        <f>'Raw Data'!B1557</f>
        <v>359.75</v>
      </c>
      <c r="C1555">
        <f>'Site Data'!E1557</f>
        <v>0</v>
      </c>
      <c r="D1555" s="97">
        <f t="shared" si="50"/>
        <v>359.75</v>
      </c>
      <c r="E1555" s="98" t="str">
        <f t="shared" si="51"/>
        <v>Error</v>
      </c>
    </row>
    <row r="1556" spans="1:5" x14ac:dyDescent="0.25">
      <c r="A1556" s="95">
        <f>'Site Data'!B1558</f>
        <v>0</v>
      </c>
      <c r="B1556">
        <f>'Raw Data'!B1558</f>
        <v>359.75</v>
      </c>
      <c r="C1556">
        <f>'Site Data'!E1558</f>
        <v>0</v>
      </c>
      <c r="D1556" s="97">
        <f t="shared" si="50"/>
        <v>359.75</v>
      </c>
      <c r="E1556" s="98" t="str">
        <f t="shared" si="51"/>
        <v>Error</v>
      </c>
    </row>
    <row r="1557" spans="1:5" x14ac:dyDescent="0.25">
      <c r="A1557" s="95">
        <f>'Site Data'!B1559</f>
        <v>0</v>
      </c>
      <c r="B1557">
        <f>'Raw Data'!B1559</f>
        <v>359.75</v>
      </c>
      <c r="C1557">
        <f>'Site Data'!E1559</f>
        <v>0</v>
      </c>
      <c r="D1557" s="97">
        <f t="shared" si="50"/>
        <v>359.75</v>
      </c>
      <c r="E1557" s="98" t="str">
        <f t="shared" si="51"/>
        <v>Error</v>
      </c>
    </row>
    <row r="1558" spans="1:5" x14ac:dyDescent="0.25">
      <c r="A1558" s="95">
        <f>'Site Data'!B1560</f>
        <v>0</v>
      </c>
      <c r="B1558">
        <f>'Raw Data'!B1560</f>
        <v>359.75</v>
      </c>
      <c r="C1558">
        <f>'Site Data'!E1560</f>
        <v>0</v>
      </c>
      <c r="D1558" s="97">
        <f t="shared" si="50"/>
        <v>359.75</v>
      </c>
      <c r="E1558" s="98" t="str">
        <f t="shared" si="51"/>
        <v>Error</v>
      </c>
    </row>
    <row r="1559" spans="1:5" x14ac:dyDescent="0.25">
      <c r="A1559" s="95">
        <f>'Site Data'!B1561</f>
        <v>0</v>
      </c>
      <c r="B1559">
        <f>'Raw Data'!B1561</f>
        <v>359.64</v>
      </c>
      <c r="C1559">
        <f>'Site Data'!E1561</f>
        <v>0</v>
      </c>
      <c r="D1559" s="97">
        <f t="shared" si="50"/>
        <v>359.64</v>
      </c>
      <c r="E1559" s="98" t="str">
        <f t="shared" si="51"/>
        <v>Error</v>
      </c>
    </row>
    <row r="1560" spans="1:5" x14ac:dyDescent="0.25">
      <c r="A1560" s="95">
        <f>'Site Data'!B1562</f>
        <v>0</v>
      </c>
      <c r="B1560">
        <f>'Raw Data'!B1562</f>
        <v>359.64</v>
      </c>
      <c r="C1560">
        <f>'Site Data'!E1562</f>
        <v>0</v>
      </c>
      <c r="D1560" s="97">
        <f t="shared" si="50"/>
        <v>359.64</v>
      </c>
      <c r="E1560" s="98" t="str">
        <f t="shared" si="51"/>
        <v>Error</v>
      </c>
    </row>
    <row r="1561" spans="1:5" x14ac:dyDescent="0.25">
      <c r="A1561" s="95">
        <f>'Site Data'!B1563</f>
        <v>0</v>
      </c>
      <c r="B1561">
        <f>'Raw Data'!B1563</f>
        <v>359.64</v>
      </c>
      <c r="C1561">
        <f>'Site Data'!E1563</f>
        <v>0</v>
      </c>
      <c r="D1561" s="97">
        <f t="shared" si="50"/>
        <v>359.64</v>
      </c>
      <c r="E1561" s="98" t="str">
        <f t="shared" si="51"/>
        <v>Error</v>
      </c>
    </row>
    <row r="1562" spans="1:5" x14ac:dyDescent="0.25">
      <c r="A1562" s="95">
        <f>'Site Data'!B1564</f>
        <v>0</v>
      </c>
      <c r="B1562">
        <f>'Raw Data'!B1564</f>
        <v>359.64</v>
      </c>
      <c r="C1562">
        <f>'Site Data'!E1564</f>
        <v>0</v>
      </c>
      <c r="D1562" s="97">
        <f t="shared" si="50"/>
        <v>359.64</v>
      </c>
      <c r="E1562" s="98" t="str">
        <f t="shared" si="51"/>
        <v>Error</v>
      </c>
    </row>
    <row r="1563" spans="1:5" x14ac:dyDescent="0.25">
      <c r="A1563" s="95">
        <f>'Site Data'!B1565</f>
        <v>0</v>
      </c>
      <c r="B1563">
        <f>'Raw Data'!B1565</f>
        <v>359.64</v>
      </c>
      <c r="C1563">
        <f>'Site Data'!E1565</f>
        <v>0</v>
      </c>
      <c r="D1563" s="97">
        <f t="shared" si="50"/>
        <v>359.64</v>
      </c>
      <c r="E1563" s="98" t="str">
        <f t="shared" si="51"/>
        <v>Error</v>
      </c>
    </row>
    <row r="1564" spans="1:5" x14ac:dyDescent="0.25">
      <c r="A1564" s="95">
        <f>'Site Data'!B1566</f>
        <v>0</v>
      </c>
      <c r="B1564">
        <f>'Raw Data'!B1566</f>
        <v>359.64</v>
      </c>
      <c r="C1564">
        <f>'Site Data'!E1566</f>
        <v>0</v>
      </c>
      <c r="D1564" s="97">
        <f t="shared" si="50"/>
        <v>359.64</v>
      </c>
      <c r="E1564" s="98" t="str">
        <f t="shared" si="51"/>
        <v>Error</v>
      </c>
    </row>
    <row r="1565" spans="1:5" x14ac:dyDescent="0.25">
      <c r="A1565" s="95">
        <f>'Site Data'!B1567</f>
        <v>0</v>
      </c>
      <c r="B1565">
        <f>'Raw Data'!B1567</f>
        <v>359.62</v>
      </c>
      <c r="C1565">
        <f>'Site Data'!E1567</f>
        <v>0</v>
      </c>
      <c r="D1565" s="97">
        <f t="shared" si="50"/>
        <v>359.62</v>
      </c>
      <c r="E1565" s="98" t="str">
        <f t="shared" si="51"/>
        <v>Error</v>
      </c>
    </row>
    <row r="1566" spans="1:5" x14ac:dyDescent="0.25">
      <c r="A1566" s="95">
        <f>'Site Data'!B1568</f>
        <v>0</v>
      </c>
      <c r="B1566">
        <f>'Raw Data'!B1568</f>
        <v>359.62</v>
      </c>
      <c r="C1566">
        <f>'Site Data'!E1568</f>
        <v>0</v>
      </c>
      <c r="D1566" s="97">
        <f t="shared" si="50"/>
        <v>359.62</v>
      </c>
      <c r="E1566" s="98" t="str">
        <f t="shared" si="51"/>
        <v>Error</v>
      </c>
    </row>
    <row r="1567" spans="1:5" x14ac:dyDescent="0.25">
      <c r="A1567" s="95">
        <f>'Site Data'!B1569</f>
        <v>0</v>
      </c>
      <c r="B1567">
        <f>'Raw Data'!B1569</f>
        <v>359.62</v>
      </c>
      <c r="C1567">
        <f>'Site Data'!E1569</f>
        <v>0</v>
      </c>
      <c r="D1567" s="97">
        <f t="shared" si="50"/>
        <v>359.62</v>
      </c>
      <c r="E1567" s="98" t="str">
        <f t="shared" si="51"/>
        <v>Error</v>
      </c>
    </row>
    <row r="1568" spans="1:5" x14ac:dyDescent="0.25">
      <c r="A1568" s="95">
        <f>'Site Data'!B1570</f>
        <v>0</v>
      </c>
      <c r="B1568">
        <f>'Raw Data'!B1570</f>
        <v>359.62</v>
      </c>
      <c r="C1568">
        <f>'Site Data'!E1570</f>
        <v>0</v>
      </c>
      <c r="D1568" s="97">
        <f t="shared" si="50"/>
        <v>359.62</v>
      </c>
      <c r="E1568" s="98" t="str">
        <f t="shared" si="51"/>
        <v>Error</v>
      </c>
    </row>
    <row r="1569" spans="1:5" x14ac:dyDescent="0.25">
      <c r="A1569" s="95">
        <f>'Site Data'!B1571</f>
        <v>0</v>
      </c>
      <c r="B1569">
        <f>'Raw Data'!B1571</f>
        <v>359.62</v>
      </c>
      <c r="C1569">
        <f>'Site Data'!E1571</f>
        <v>0</v>
      </c>
      <c r="D1569" s="97">
        <f t="shared" si="50"/>
        <v>359.62</v>
      </c>
      <c r="E1569" s="98" t="str">
        <f t="shared" si="51"/>
        <v>Error</v>
      </c>
    </row>
    <row r="1570" spans="1:5" x14ac:dyDescent="0.25">
      <c r="A1570" s="95">
        <f>'Site Data'!B1572</f>
        <v>0</v>
      </c>
      <c r="B1570">
        <f>'Raw Data'!B1572</f>
        <v>359.62</v>
      </c>
      <c r="C1570">
        <f>'Site Data'!E1572</f>
        <v>0</v>
      </c>
      <c r="D1570" s="97">
        <f t="shared" si="50"/>
        <v>359.62</v>
      </c>
      <c r="E1570" s="98" t="str">
        <f t="shared" si="51"/>
        <v>Error</v>
      </c>
    </row>
    <row r="1571" spans="1:5" x14ac:dyDescent="0.25">
      <c r="A1571" s="95">
        <f>'Site Data'!B1573</f>
        <v>0</v>
      </c>
      <c r="B1571">
        <f>'Raw Data'!B1573</f>
        <v>359.62</v>
      </c>
      <c r="C1571">
        <f>'Site Data'!E1573</f>
        <v>0</v>
      </c>
      <c r="D1571" s="97">
        <f t="shared" si="50"/>
        <v>359.62</v>
      </c>
      <c r="E1571" s="98" t="str">
        <f t="shared" si="51"/>
        <v>Error</v>
      </c>
    </row>
    <row r="1572" spans="1:5" x14ac:dyDescent="0.25">
      <c r="A1572" s="95">
        <f>'Site Data'!B1574</f>
        <v>0</v>
      </c>
      <c r="B1572">
        <f>'Raw Data'!B1574</f>
        <v>359.62</v>
      </c>
      <c r="C1572">
        <f>'Site Data'!E1574</f>
        <v>0</v>
      </c>
      <c r="D1572" s="97">
        <f t="shared" si="50"/>
        <v>359.62</v>
      </c>
      <c r="E1572" s="98" t="str">
        <f t="shared" si="51"/>
        <v>Error</v>
      </c>
    </row>
    <row r="1573" spans="1:5" x14ac:dyDescent="0.25">
      <c r="A1573" s="95">
        <f>'Site Data'!B1575</f>
        <v>0</v>
      </c>
      <c r="B1573">
        <f>'Raw Data'!B1575</f>
        <v>359.5</v>
      </c>
      <c r="C1573">
        <f>'Site Data'!E1575</f>
        <v>0</v>
      </c>
      <c r="D1573" s="97">
        <f t="shared" si="50"/>
        <v>359.5</v>
      </c>
      <c r="E1573" s="98" t="str">
        <f t="shared" si="51"/>
        <v>Error</v>
      </c>
    </row>
    <row r="1574" spans="1:5" x14ac:dyDescent="0.25">
      <c r="A1574" s="95">
        <f>'Site Data'!B1576</f>
        <v>0</v>
      </c>
      <c r="B1574">
        <f>'Raw Data'!B1576</f>
        <v>359.5</v>
      </c>
      <c r="C1574">
        <f>'Site Data'!E1576</f>
        <v>0</v>
      </c>
      <c r="D1574" s="97">
        <f t="shared" si="50"/>
        <v>359.5</v>
      </c>
      <c r="E1574" s="98" t="str">
        <f t="shared" si="51"/>
        <v>Error</v>
      </c>
    </row>
    <row r="1575" spans="1:5" x14ac:dyDescent="0.25">
      <c r="A1575" s="95">
        <f>'Site Data'!B1577</f>
        <v>0</v>
      </c>
      <c r="B1575">
        <f>'Raw Data'!B1577</f>
        <v>359.43</v>
      </c>
      <c r="C1575">
        <f>'Site Data'!E1577</f>
        <v>0</v>
      </c>
      <c r="D1575" s="97">
        <f t="shared" si="50"/>
        <v>359.43</v>
      </c>
      <c r="E1575" s="98" t="str">
        <f t="shared" si="51"/>
        <v>Error</v>
      </c>
    </row>
    <row r="1576" spans="1:5" x14ac:dyDescent="0.25">
      <c r="A1576" s="95">
        <f>'Site Data'!B1578</f>
        <v>0</v>
      </c>
      <c r="B1576">
        <f>'Raw Data'!B1578</f>
        <v>359.43</v>
      </c>
      <c r="C1576">
        <f>'Site Data'!E1578</f>
        <v>0</v>
      </c>
      <c r="D1576" s="97">
        <f t="shared" si="50"/>
        <v>359.43</v>
      </c>
      <c r="E1576" s="98" t="str">
        <f t="shared" si="51"/>
        <v>Error</v>
      </c>
    </row>
    <row r="1577" spans="1:5" x14ac:dyDescent="0.25">
      <c r="A1577" s="95">
        <f>'Site Data'!B1579</f>
        <v>0</v>
      </c>
      <c r="B1577">
        <f>'Raw Data'!B1579</f>
        <v>359.38</v>
      </c>
      <c r="C1577">
        <f>'Site Data'!E1579</f>
        <v>0</v>
      </c>
      <c r="D1577" s="97">
        <f t="shared" si="50"/>
        <v>359.38</v>
      </c>
      <c r="E1577" s="98" t="str">
        <f t="shared" si="51"/>
        <v>Error</v>
      </c>
    </row>
    <row r="1578" spans="1:5" x14ac:dyDescent="0.25">
      <c r="A1578" s="95">
        <f>'Site Data'!B1580</f>
        <v>0</v>
      </c>
      <c r="B1578">
        <f>'Raw Data'!B1580</f>
        <v>359.38</v>
      </c>
      <c r="C1578">
        <f>'Site Data'!E1580</f>
        <v>0</v>
      </c>
      <c r="D1578" s="97">
        <f t="shared" si="50"/>
        <v>359.38</v>
      </c>
      <c r="E1578" s="98" t="str">
        <f t="shared" si="51"/>
        <v>Error</v>
      </c>
    </row>
    <row r="1579" spans="1:5" x14ac:dyDescent="0.25">
      <c r="A1579" s="95">
        <f>'Site Data'!B1581</f>
        <v>0</v>
      </c>
      <c r="B1579">
        <f>'Raw Data'!B1581</f>
        <v>359.38</v>
      </c>
      <c r="C1579">
        <f>'Site Data'!E1581</f>
        <v>0</v>
      </c>
      <c r="D1579" s="97">
        <f t="shared" si="50"/>
        <v>359.38</v>
      </c>
      <c r="E1579" s="98" t="str">
        <f t="shared" si="51"/>
        <v>Error</v>
      </c>
    </row>
    <row r="1580" spans="1:5" x14ac:dyDescent="0.25">
      <c r="A1580" s="95">
        <f>'Site Data'!B1582</f>
        <v>0</v>
      </c>
      <c r="B1580">
        <f>'Raw Data'!B1582</f>
        <v>359.38</v>
      </c>
      <c r="C1580">
        <f>'Site Data'!E1582</f>
        <v>0</v>
      </c>
      <c r="D1580" s="97">
        <f t="shared" si="50"/>
        <v>359.38</v>
      </c>
      <c r="E1580" s="98" t="str">
        <f t="shared" si="51"/>
        <v>Error</v>
      </c>
    </row>
    <row r="1581" spans="1:5" x14ac:dyDescent="0.25">
      <c r="A1581" s="95">
        <f>'Site Data'!B1583</f>
        <v>0</v>
      </c>
      <c r="B1581">
        <f>'Raw Data'!B1583</f>
        <v>359.38</v>
      </c>
      <c r="C1581">
        <f>'Site Data'!E1583</f>
        <v>0</v>
      </c>
      <c r="D1581" s="97">
        <f t="shared" si="50"/>
        <v>359.38</v>
      </c>
      <c r="E1581" s="98" t="str">
        <f t="shared" si="51"/>
        <v>Error</v>
      </c>
    </row>
    <row r="1582" spans="1:5" x14ac:dyDescent="0.25">
      <c r="A1582" s="95">
        <f>'Site Data'!B1584</f>
        <v>0</v>
      </c>
      <c r="B1582">
        <f>'Raw Data'!B1584</f>
        <v>359.38</v>
      </c>
      <c r="C1582">
        <f>'Site Data'!E1584</f>
        <v>0</v>
      </c>
      <c r="D1582" s="97">
        <f t="shared" si="50"/>
        <v>359.38</v>
      </c>
      <c r="E1582" s="98" t="str">
        <f t="shared" si="51"/>
        <v>Error</v>
      </c>
    </row>
    <row r="1583" spans="1:5" x14ac:dyDescent="0.25">
      <c r="A1583" s="95">
        <f>'Site Data'!B1585</f>
        <v>0</v>
      </c>
      <c r="B1583">
        <f>'Raw Data'!B1585</f>
        <v>359.38</v>
      </c>
      <c r="C1583">
        <f>'Site Data'!E1585</f>
        <v>0</v>
      </c>
      <c r="D1583" s="97">
        <f t="shared" si="50"/>
        <v>359.38</v>
      </c>
      <c r="E1583" s="98" t="str">
        <f t="shared" si="51"/>
        <v>Error</v>
      </c>
    </row>
    <row r="1584" spans="1:5" x14ac:dyDescent="0.25">
      <c r="A1584" s="95">
        <f>'Site Data'!B1586</f>
        <v>0</v>
      </c>
      <c r="B1584">
        <f>'Raw Data'!B1586</f>
        <v>359.38</v>
      </c>
      <c r="C1584">
        <f>'Site Data'!E1586</f>
        <v>0</v>
      </c>
      <c r="D1584" s="97">
        <f t="shared" si="50"/>
        <v>359.38</v>
      </c>
      <c r="E1584" s="98" t="str">
        <f t="shared" si="51"/>
        <v>Error</v>
      </c>
    </row>
    <row r="1585" spans="1:5" x14ac:dyDescent="0.25">
      <c r="A1585" s="95">
        <f>'Site Data'!B1587</f>
        <v>0</v>
      </c>
      <c r="B1585">
        <f>'Raw Data'!B1587</f>
        <v>359.38</v>
      </c>
      <c r="C1585">
        <f>'Site Data'!E1587</f>
        <v>0</v>
      </c>
      <c r="D1585" s="97">
        <f t="shared" si="50"/>
        <v>359.38</v>
      </c>
      <c r="E1585" s="98" t="str">
        <f t="shared" si="51"/>
        <v>Error</v>
      </c>
    </row>
    <row r="1586" spans="1:5" x14ac:dyDescent="0.25">
      <c r="A1586" s="95">
        <f>'Site Data'!B1588</f>
        <v>0</v>
      </c>
      <c r="B1586">
        <f>'Raw Data'!B1588</f>
        <v>359.38</v>
      </c>
      <c r="C1586">
        <f>'Site Data'!E1588</f>
        <v>0</v>
      </c>
      <c r="D1586" s="97">
        <f t="shared" si="50"/>
        <v>359.38</v>
      </c>
      <c r="E1586" s="98" t="str">
        <f t="shared" si="51"/>
        <v>Error</v>
      </c>
    </row>
    <row r="1587" spans="1:5" x14ac:dyDescent="0.25">
      <c r="A1587" s="95">
        <f>'Site Data'!B1589</f>
        <v>0</v>
      </c>
      <c r="B1587">
        <f>'Raw Data'!B1589</f>
        <v>358.99</v>
      </c>
      <c r="C1587">
        <f>'Site Data'!E1589</f>
        <v>0</v>
      </c>
      <c r="D1587" s="97">
        <f t="shared" si="50"/>
        <v>358.99</v>
      </c>
      <c r="E1587" s="98" t="str">
        <f t="shared" si="51"/>
        <v>Error</v>
      </c>
    </row>
    <row r="1588" spans="1:5" x14ac:dyDescent="0.25">
      <c r="A1588" s="95">
        <f>'Site Data'!B1590</f>
        <v>0</v>
      </c>
      <c r="B1588">
        <f>'Raw Data'!B1590</f>
        <v>358.99</v>
      </c>
      <c r="C1588">
        <f>'Site Data'!E1590</f>
        <v>0</v>
      </c>
      <c r="D1588" s="97">
        <f t="shared" si="50"/>
        <v>358.99</v>
      </c>
      <c r="E1588" s="98" t="str">
        <f t="shared" si="51"/>
        <v>Error</v>
      </c>
    </row>
    <row r="1589" spans="1:5" x14ac:dyDescent="0.25">
      <c r="A1589" s="95">
        <f>'Site Data'!B1591</f>
        <v>0</v>
      </c>
      <c r="B1589">
        <f>'Raw Data'!B1591</f>
        <v>358.87</v>
      </c>
      <c r="C1589">
        <f>'Site Data'!E1591</f>
        <v>0</v>
      </c>
      <c r="D1589" s="97">
        <f t="shared" si="50"/>
        <v>358.87</v>
      </c>
      <c r="E1589" s="98" t="str">
        <f t="shared" si="51"/>
        <v>Error</v>
      </c>
    </row>
    <row r="1590" spans="1:5" x14ac:dyDescent="0.25">
      <c r="A1590" s="95">
        <f>'Site Data'!B1592</f>
        <v>0</v>
      </c>
      <c r="B1590">
        <f>'Raw Data'!B1592</f>
        <v>358.87</v>
      </c>
      <c r="C1590">
        <f>'Site Data'!E1592</f>
        <v>0</v>
      </c>
      <c r="D1590" s="97">
        <f t="shared" si="50"/>
        <v>358.87</v>
      </c>
      <c r="E1590" s="98" t="str">
        <f t="shared" si="51"/>
        <v>Error</v>
      </c>
    </row>
    <row r="1591" spans="1:5" x14ac:dyDescent="0.25">
      <c r="A1591" s="95">
        <f>'Site Data'!B1593</f>
        <v>0</v>
      </c>
      <c r="B1591">
        <f>'Raw Data'!B1593</f>
        <v>358.87</v>
      </c>
      <c r="C1591">
        <f>'Site Data'!E1593</f>
        <v>0</v>
      </c>
      <c r="D1591" s="97">
        <f t="shared" si="50"/>
        <v>358.87</v>
      </c>
      <c r="E1591" s="98" t="str">
        <f t="shared" si="51"/>
        <v>Error</v>
      </c>
    </row>
    <row r="1592" spans="1:5" x14ac:dyDescent="0.25">
      <c r="A1592" s="95">
        <f>'Site Data'!B1594</f>
        <v>0</v>
      </c>
      <c r="B1592">
        <f>'Raw Data'!B1594</f>
        <v>358.87</v>
      </c>
      <c r="C1592">
        <f>'Site Data'!E1594</f>
        <v>0</v>
      </c>
      <c r="D1592" s="97">
        <f t="shared" si="50"/>
        <v>358.87</v>
      </c>
      <c r="E1592" s="98" t="str">
        <f t="shared" si="51"/>
        <v>Error</v>
      </c>
    </row>
    <row r="1593" spans="1:5" x14ac:dyDescent="0.25">
      <c r="A1593" s="95">
        <f>'Site Data'!B1595</f>
        <v>0</v>
      </c>
      <c r="B1593">
        <f>'Raw Data'!B1595</f>
        <v>358.87</v>
      </c>
      <c r="C1593">
        <f>'Site Data'!E1595</f>
        <v>0</v>
      </c>
      <c r="D1593" s="97">
        <f t="shared" si="50"/>
        <v>358.87</v>
      </c>
      <c r="E1593" s="98" t="str">
        <f t="shared" si="51"/>
        <v>Error</v>
      </c>
    </row>
    <row r="1594" spans="1:5" x14ac:dyDescent="0.25">
      <c r="A1594" s="95">
        <f>'Site Data'!B1596</f>
        <v>0</v>
      </c>
      <c r="B1594">
        <f>'Raw Data'!B1596</f>
        <v>358.87</v>
      </c>
      <c r="C1594">
        <f>'Site Data'!E1596</f>
        <v>0</v>
      </c>
      <c r="D1594" s="97">
        <f t="shared" si="50"/>
        <v>358.87</v>
      </c>
      <c r="E1594" s="98" t="str">
        <f t="shared" si="51"/>
        <v>Error</v>
      </c>
    </row>
    <row r="1595" spans="1:5" x14ac:dyDescent="0.25">
      <c r="A1595" s="95">
        <f>'Site Data'!B1597</f>
        <v>0</v>
      </c>
      <c r="B1595">
        <f>'Raw Data'!B1597</f>
        <v>358.87</v>
      </c>
      <c r="C1595">
        <f>'Site Data'!E1597</f>
        <v>0</v>
      </c>
      <c r="D1595" s="97">
        <f t="shared" si="50"/>
        <v>358.87</v>
      </c>
      <c r="E1595" s="98" t="str">
        <f t="shared" si="51"/>
        <v>Error</v>
      </c>
    </row>
    <row r="1596" spans="1:5" x14ac:dyDescent="0.25">
      <c r="A1596" s="95">
        <f>'Site Data'!B1598</f>
        <v>0</v>
      </c>
      <c r="B1596">
        <f>'Raw Data'!B1598</f>
        <v>358.87</v>
      </c>
      <c r="C1596">
        <f>'Site Data'!E1598</f>
        <v>0</v>
      </c>
      <c r="D1596" s="97">
        <f t="shared" si="50"/>
        <v>358.87</v>
      </c>
      <c r="E1596" s="98" t="str">
        <f t="shared" si="51"/>
        <v>Error</v>
      </c>
    </row>
    <row r="1597" spans="1:5" x14ac:dyDescent="0.25">
      <c r="A1597" s="95">
        <f>'Site Data'!B1599</f>
        <v>0</v>
      </c>
      <c r="B1597">
        <f>'Raw Data'!B1599</f>
        <v>358.87</v>
      </c>
      <c r="C1597">
        <f>'Site Data'!E1599</f>
        <v>0</v>
      </c>
      <c r="D1597" s="97">
        <f t="shared" si="50"/>
        <v>358.87</v>
      </c>
      <c r="E1597" s="98" t="str">
        <f t="shared" si="51"/>
        <v>Error</v>
      </c>
    </row>
    <row r="1598" spans="1:5" x14ac:dyDescent="0.25">
      <c r="A1598" s="95">
        <f>'Site Data'!B1600</f>
        <v>0</v>
      </c>
      <c r="B1598">
        <f>'Raw Data'!B1600</f>
        <v>358.87</v>
      </c>
      <c r="C1598">
        <f>'Site Data'!E1600</f>
        <v>0</v>
      </c>
      <c r="D1598" s="97">
        <f t="shared" si="50"/>
        <v>358.87</v>
      </c>
      <c r="E1598" s="98" t="str">
        <f t="shared" si="51"/>
        <v>Error</v>
      </c>
    </row>
    <row r="1599" spans="1:5" x14ac:dyDescent="0.25">
      <c r="A1599" s="95">
        <f>'Site Data'!B1601</f>
        <v>0</v>
      </c>
      <c r="B1599">
        <f>'Raw Data'!B1601</f>
        <v>358.87</v>
      </c>
      <c r="C1599">
        <f>'Site Data'!E1601</f>
        <v>0</v>
      </c>
      <c r="D1599" s="97">
        <f t="shared" si="50"/>
        <v>358.87</v>
      </c>
      <c r="E1599" s="98" t="str">
        <f t="shared" si="51"/>
        <v>Error</v>
      </c>
    </row>
    <row r="1600" spans="1:5" x14ac:dyDescent="0.25">
      <c r="A1600" s="95">
        <f>'Site Data'!B1602</f>
        <v>0</v>
      </c>
      <c r="B1600">
        <f>'Raw Data'!B1602</f>
        <v>358.87</v>
      </c>
      <c r="C1600">
        <f>'Site Data'!E1602</f>
        <v>0</v>
      </c>
      <c r="D1600" s="97">
        <f t="shared" si="50"/>
        <v>358.87</v>
      </c>
      <c r="E1600" s="98" t="str">
        <f t="shared" si="51"/>
        <v>Error</v>
      </c>
    </row>
    <row r="1601" spans="1:5" x14ac:dyDescent="0.25">
      <c r="A1601" s="95">
        <f>'Site Data'!B1603</f>
        <v>0</v>
      </c>
      <c r="B1601">
        <f>'Raw Data'!B1603</f>
        <v>358.16</v>
      </c>
      <c r="C1601">
        <f>'Site Data'!E1603</f>
        <v>0</v>
      </c>
      <c r="D1601" s="97">
        <f t="shared" si="50"/>
        <v>358.16</v>
      </c>
      <c r="E1601" s="98" t="str">
        <f t="shared" si="51"/>
        <v>Error</v>
      </c>
    </row>
    <row r="1602" spans="1:5" x14ac:dyDescent="0.25">
      <c r="A1602" s="95">
        <f>'Site Data'!B1604</f>
        <v>0</v>
      </c>
      <c r="B1602">
        <f>'Raw Data'!B1604</f>
        <v>358.16</v>
      </c>
      <c r="C1602">
        <f>'Site Data'!E1604</f>
        <v>0</v>
      </c>
      <c r="D1602" s="97">
        <f t="shared" ref="D1602:D1665" si="52">B1602-C1602</f>
        <v>358.16</v>
      </c>
      <c r="E1602" s="98" t="str">
        <f t="shared" ref="E1602:E1665" si="53">IF(AND(D1602 &gt;= 50, D1602 &lt;= 60), "Valid", "Error")</f>
        <v>Error</v>
      </c>
    </row>
    <row r="1603" spans="1:5" x14ac:dyDescent="0.25">
      <c r="A1603" s="95">
        <f>'Site Data'!B1605</f>
        <v>0</v>
      </c>
      <c r="B1603">
        <f>'Raw Data'!B1605</f>
        <v>358.07</v>
      </c>
      <c r="C1603">
        <f>'Site Data'!E1605</f>
        <v>0</v>
      </c>
      <c r="D1603" s="97">
        <f t="shared" si="52"/>
        <v>358.07</v>
      </c>
      <c r="E1603" s="98" t="str">
        <f t="shared" si="53"/>
        <v>Error</v>
      </c>
    </row>
    <row r="1604" spans="1:5" x14ac:dyDescent="0.25">
      <c r="A1604" s="95">
        <f>'Site Data'!B1606</f>
        <v>0</v>
      </c>
      <c r="B1604">
        <f>'Raw Data'!B1606</f>
        <v>358.07</v>
      </c>
      <c r="C1604">
        <f>'Site Data'!E1606</f>
        <v>0</v>
      </c>
      <c r="D1604" s="97">
        <f t="shared" si="52"/>
        <v>358.07</v>
      </c>
      <c r="E1604" s="98" t="str">
        <f t="shared" si="53"/>
        <v>Error</v>
      </c>
    </row>
    <row r="1605" spans="1:5" x14ac:dyDescent="0.25">
      <c r="A1605" s="95">
        <f>'Site Data'!B1607</f>
        <v>0</v>
      </c>
      <c r="B1605">
        <f>'Raw Data'!B1607</f>
        <v>358.05318735305212</v>
      </c>
      <c r="C1605">
        <f>'Site Data'!E1607</f>
        <v>0</v>
      </c>
      <c r="D1605" s="97">
        <f t="shared" si="52"/>
        <v>358.05318735305212</v>
      </c>
      <c r="E1605" s="98" t="str">
        <f t="shared" si="53"/>
        <v>Error</v>
      </c>
    </row>
    <row r="1606" spans="1:5" x14ac:dyDescent="0.25">
      <c r="A1606" s="95">
        <f>'Site Data'!B1608</f>
        <v>0</v>
      </c>
      <c r="B1606">
        <f>'Raw Data'!B1608</f>
        <v>357.98</v>
      </c>
      <c r="C1606">
        <f>'Site Data'!E1608</f>
        <v>0</v>
      </c>
      <c r="D1606" s="97">
        <f t="shared" si="52"/>
        <v>357.98</v>
      </c>
      <c r="E1606" s="98" t="str">
        <f t="shared" si="53"/>
        <v>Error</v>
      </c>
    </row>
    <row r="1607" spans="1:5" x14ac:dyDescent="0.25">
      <c r="A1607" s="95">
        <f>'Site Data'!B1609</f>
        <v>0</v>
      </c>
      <c r="B1607">
        <f>'Raw Data'!B1609</f>
        <v>357.96024288656787</v>
      </c>
      <c r="C1607">
        <f>'Site Data'!E1609</f>
        <v>0</v>
      </c>
      <c r="D1607" s="97">
        <f t="shared" si="52"/>
        <v>357.96024288656787</v>
      </c>
      <c r="E1607" s="98" t="str">
        <f t="shared" si="53"/>
        <v>Error</v>
      </c>
    </row>
    <row r="1608" spans="1:5" x14ac:dyDescent="0.25">
      <c r="A1608" s="95">
        <f>'Site Data'!B1610</f>
        <v>0</v>
      </c>
      <c r="B1608">
        <f>'Raw Data'!B1610</f>
        <v>357.88</v>
      </c>
      <c r="C1608">
        <f>'Site Data'!E1610</f>
        <v>0</v>
      </c>
      <c r="D1608" s="97">
        <f t="shared" si="52"/>
        <v>357.88</v>
      </c>
      <c r="E1608" s="98" t="str">
        <f t="shared" si="53"/>
        <v>Error</v>
      </c>
    </row>
    <row r="1609" spans="1:5" x14ac:dyDescent="0.25">
      <c r="A1609" s="95">
        <f>'Site Data'!B1611</f>
        <v>0</v>
      </c>
      <c r="B1609">
        <f>'Raw Data'!B1611</f>
        <v>357.88</v>
      </c>
      <c r="C1609">
        <f>'Site Data'!E1611</f>
        <v>0</v>
      </c>
      <c r="D1609" s="97">
        <f t="shared" si="52"/>
        <v>357.88</v>
      </c>
      <c r="E1609" s="98" t="str">
        <f t="shared" si="53"/>
        <v>Error</v>
      </c>
    </row>
    <row r="1610" spans="1:5" x14ac:dyDescent="0.25">
      <c r="A1610" s="95">
        <f>'Site Data'!B1612</f>
        <v>0</v>
      </c>
      <c r="B1610">
        <f>'Raw Data'!B1612</f>
        <v>357.88</v>
      </c>
      <c r="C1610">
        <f>'Site Data'!E1612</f>
        <v>0</v>
      </c>
      <c r="D1610" s="97">
        <f t="shared" si="52"/>
        <v>357.88</v>
      </c>
      <c r="E1610" s="98" t="str">
        <f t="shared" si="53"/>
        <v>Error</v>
      </c>
    </row>
    <row r="1611" spans="1:5" x14ac:dyDescent="0.25">
      <c r="A1611" s="95">
        <f>'Site Data'!B1613</f>
        <v>0</v>
      </c>
      <c r="B1611">
        <f>'Raw Data'!B1613</f>
        <v>357.88</v>
      </c>
      <c r="C1611">
        <f>'Site Data'!E1613</f>
        <v>0</v>
      </c>
      <c r="D1611" s="97">
        <f t="shared" si="52"/>
        <v>357.88</v>
      </c>
      <c r="E1611" s="98" t="str">
        <f t="shared" si="53"/>
        <v>Error</v>
      </c>
    </row>
    <row r="1612" spans="1:5" x14ac:dyDescent="0.25">
      <c r="A1612" s="95">
        <f>'Site Data'!B1614</f>
        <v>0</v>
      </c>
      <c r="B1612">
        <f>'Raw Data'!B1614</f>
        <v>357.88</v>
      </c>
      <c r="C1612">
        <f>'Site Data'!E1614</f>
        <v>0</v>
      </c>
      <c r="D1612" s="97">
        <f t="shared" si="52"/>
        <v>357.88</v>
      </c>
      <c r="E1612" s="98" t="str">
        <f t="shared" si="53"/>
        <v>Error</v>
      </c>
    </row>
    <row r="1613" spans="1:5" x14ac:dyDescent="0.25">
      <c r="A1613" s="95">
        <f>'Site Data'!B1615</f>
        <v>0</v>
      </c>
      <c r="B1613">
        <f>'Raw Data'!B1615</f>
        <v>357.88</v>
      </c>
      <c r="C1613">
        <f>'Site Data'!E1615</f>
        <v>0</v>
      </c>
      <c r="D1613" s="97">
        <f t="shared" si="52"/>
        <v>357.88</v>
      </c>
      <c r="E1613" s="98" t="str">
        <f t="shared" si="53"/>
        <v>Error</v>
      </c>
    </row>
    <row r="1614" spans="1:5" x14ac:dyDescent="0.25">
      <c r="A1614" s="95">
        <f>'Site Data'!B1616</f>
        <v>0</v>
      </c>
      <c r="B1614">
        <f>'Raw Data'!B1616</f>
        <v>357.88</v>
      </c>
      <c r="C1614">
        <f>'Site Data'!E1616</f>
        <v>0</v>
      </c>
      <c r="D1614" s="97">
        <f t="shared" si="52"/>
        <v>357.88</v>
      </c>
      <c r="E1614" s="98" t="str">
        <f t="shared" si="53"/>
        <v>Error</v>
      </c>
    </row>
    <row r="1615" spans="1:5" x14ac:dyDescent="0.25">
      <c r="A1615" s="95">
        <f>'Site Data'!B1617</f>
        <v>0</v>
      </c>
      <c r="B1615">
        <f>'Raw Data'!B1617</f>
        <v>357.58</v>
      </c>
      <c r="C1615">
        <f>'Site Data'!E1617</f>
        <v>0</v>
      </c>
      <c r="D1615" s="97">
        <f t="shared" si="52"/>
        <v>357.58</v>
      </c>
      <c r="E1615" s="98" t="str">
        <f t="shared" si="53"/>
        <v>Error</v>
      </c>
    </row>
    <row r="1616" spans="1:5" x14ac:dyDescent="0.25">
      <c r="A1616" s="95">
        <f>'Site Data'!B1618</f>
        <v>0</v>
      </c>
      <c r="B1616">
        <f>'Raw Data'!B1618</f>
        <v>357.58</v>
      </c>
      <c r="C1616">
        <f>'Site Data'!E1618</f>
        <v>0</v>
      </c>
      <c r="D1616" s="97">
        <f t="shared" si="52"/>
        <v>357.58</v>
      </c>
      <c r="E1616" s="98" t="str">
        <f t="shared" si="53"/>
        <v>Error</v>
      </c>
    </row>
    <row r="1617" spans="1:5" x14ac:dyDescent="0.25">
      <c r="A1617" s="95">
        <f>'Site Data'!B1619</f>
        <v>0</v>
      </c>
      <c r="B1617">
        <f>'Raw Data'!B1619</f>
        <v>357.56</v>
      </c>
      <c r="C1617">
        <f>'Site Data'!E1619</f>
        <v>0</v>
      </c>
      <c r="D1617" s="97">
        <f t="shared" si="52"/>
        <v>357.56</v>
      </c>
      <c r="E1617" s="98" t="str">
        <f t="shared" si="53"/>
        <v>Error</v>
      </c>
    </row>
    <row r="1618" spans="1:5" x14ac:dyDescent="0.25">
      <c r="A1618" s="95">
        <f>'Site Data'!B1620</f>
        <v>0</v>
      </c>
      <c r="B1618">
        <f>'Raw Data'!B1620</f>
        <v>357.56</v>
      </c>
      <c r="C1618">
        <f>'Site Data'!E1620</f>
        <v>0</v>
      </c>
      <c r="D1618" s="97">
        <f t="shared" si="52"/>
        <v>357.56</v>
      </c>
      <c r="E1618" s="98" t="str">
        <f t="shared" si="53"/>
        <v>Error</v>
      </c>
    </row>
    <row r="1619" spans="1:5" x14ac:dyDescent="0.25">
      <c r="A1619" s="95">
        <f>'Site Data'!B1621</f>
        <v>0</v>
      </c>
      <c r="B1619">
        <f>'Raw Data'!B1621</f>
        <v>357.55618238619059</v>
      </c>
      <c r="C1619">
        <f>'Site Data'!E1621</f>
        <v>0</v>
      </c>
      <c r="D1619" s="97">
        <f t="shared" si="52"/>
        <v>357.55618238619059</v>
      </c>
      <c r="E1619" s="98" t="str">
        <f t="shared" si="53"/>
        <v>Error</v>
      </c>
    </row>
    <row r="1620" spans="1:5" x14ac:dyDescent="0.25">
      <c r="A1620" s="95">
        <f>'Site Data'!B1622</f>
        <v>0</v>
      </c>
      <c r="B1620">
        <f>'Raw Data'!B1622</f>
        <v>357.54</v>
      </c>
      <c r="C1620">
        <f>'Site Data'!E1622</f>
        <v>0</v>
      </c>
      <c r="D1620" s="97">
        <f t="shared" si="52"/>
        <v>357.54</v>
      </c>
      <c r="E1620" s="98" t="str">
        <f t="shared" si="53"/>
        <v>Error</v>
      </c>
    </row>
    <row r="1621" spans="1:5" x14ac:dyDescent="0.25">
      <c r="A1621" s="95">
        <f>'Site Data'!B1623</f>
        <v>0</v>
      </c>
      <c r="B1621">
        <f>'Raw Data'!B1623</f>
        <v>357.53797322523593</v>
      </c>
      <c r="C1621">
        <f>'Site Data'!E1623</f>
        <v>0</v>
      </c>
      <c r="D1621" s="97">
        <f t="shared" si="52"/>
        <v>357.53797322523593</v>
      </c>
      <c r="E1621" s="98" t="str">
        <f t="shared" si="53"/>
        <v>Error</v>
      </c>
    </row>
    <row r="1622" spans="1:5" x14ac:dyDescent="0.25">
      <c r="A1622" s="95">
        <f>'Site Data'!B1624</f>
        <v>0</v>
      </c>
      <c r="B1622">
        <f>'Raw Data'!B1624</f>
        <v>357.53</v>
      </c>
      <c r="C1622">
        <f>'Site Data'!E1624</f>
        <v>0</v>
      </c>
      <c r="D1622" s="97">
        <f t="shared" si="52"/>
        <v>357.53</v>
      </c>
      <c r="E1622" s="98" t="str">
        <f t="shared" si="53"/>
        <v>Error</v>
      </c>
    </row>
    <row r="1623" spans="1:5" x14ac:dyDescent="0.25">
      <c r="A1623" s="95">
        <f>'Site Data'!B1625</f>
        <v>0</v>
      </c>
      <c r="B1623">
        <f>'Raw Data'!B1625</f>
        <v>357.53</v>
      </c>
      <c r="C1623">
        <f>'Site Data'!E1625</f>
        <v>0</v>
      </c>
      <c r="D1623" s="97">
        <f t="shared" si="52"/>
        <v>357.53</v>
      </c>
      <c r="E1623" s="98" t="str">
        <f t="shared" si="53"/>
        <v>Error</v>
      </c>
    </row>
    <row r="1624" spans="1:5" x14ac:dyDescent="0.25">
      <c r="A1624" s="95">
        <f>'Site Data'!B1626</f>
        <v>0</v>
      </c>
      <c r="B1624">
        <f>'Raw Data'!B1626</f>
        <v>357.53</v>
      </c>
      <c r="C1624">
        <f>'Site Data'!E1626</f>
        <v>0</v>
      </c>
      <c r="D1624" s="97">
        <f t="shared" si="52"/>
        <v>357.53</v>
      </c>
      <c r="E1624" s="98" t="str">
        <f t="shared" si="53"/>
        <v>Error</v>
      </c>
    </row>
    <row r="1625" spans="1:5" x14ac:dyDescent="0.25">
      <c r="A1625" s="95">
        <f>'Site Data'!B1627</f>
        <v>0</v>
      </c>
      <c r="B1625">
        <f>'Raw Data'!B1627</f>
        <v>357.53</v>
      </c>
      <c r="C1625">
        <f>'Site Data'!E1627</f>
        <v>0</v>
      </c>
      <c r="D1625" s="97">
        <f t="shared" si="52"/>
        <v>357.53</v>
      </c>
      <c r="E1625" s="98" t="str">
        <f t="shared" si="53"/>
        <v>Error</v>
      </c>
    </row>
    <row r="1626" spans="1:5" x14ac:dyDescent="0.25">
      <c r="A1626" s="95">
        <f>'Site Data'!B1628</f>
        <v>0</v>
      </c>
      <c r="B1626">
        <f>'Raw Data'!B1628</f>
        <v>357.53</v>
      </c>
      <c r="C1626">
        <f>'Site Data'!E1628</f>
        <v>0</v>
      </c>
      <c r="D1626" s="97">
        <f t="shared" si="52"/>
        <v>357.53</v>
      </c>
      <c r="E1626" s="98" t="str">
        <f t="shared" si="53"/>
        <v>Error</v>
      </c>
    </row>
    <row r="1627" spans="1:5" x14ac:dyDescent="0.25">
      <c r="A1627" s="95">
        <f>'Site Data'!B1629</f>
        <v>0</v>
      </c>
      <c r="B1627">
        <f>'Raw Data'!B1629</f>
        <v>357.53</v>
      </c>
      <c r="C1627">
        <f>'Site Data'!E1629</f>
        <v>0</v>
      </c>
      <c r="D1627" s="97">
        <f t="shared" si="52"/>
        <v>357.53</v>
      </c>
      <c r="E1627" s="98" t="str">
        <f t="shared" si="53"/>
        <v>Error</v>
      </c>
    </row>
    <row r="1628" spans="1:5" x14ac:dyDescent="0.25">
      <c r="A1628" s="95">
        <f>'Site Data'!B1630</f>
        <v>0</v>
      </c>
      <c r="B1628">
        <f>'Raw Data'!B1630</f>
        <v>357.53</v>
      </c>
      <c r="C1628">
        <f>'Site Data'!E1630</f>
        <v>0</v>
      </c>
      <c r="D1628" s="97">
        <f t="shared" si="52"/>
        <v>357.53</v>
      </c>
      <c r="E1628" s="98" t="str">
        <f t="shared" si="53"/>
        <v>Error</v>
      </c>
    </row>
    <row r="1629" spans="1:5" x14ac:dyDescent="0.25">
      <c r="A1629" s="95">
        <f>'Site Data'!B1631</f>
        <v>0</v>
      </c>
      <c r="B1629">
        <f>'Raw Data'!B1631</f>
        <v>357.45</v>
      </c>
      <c r="C1629">
        <f>'Site Data'!E1631</f>
        <v>0</v>
      </c>
      <c r="D1629" s="97">
        <f t="shared" si="52"/>
        <v>357.45</v>
      </c>
      <c r="E1629" s="98" t="str">
        <f t="shared" si="53"/>
        <v>Error</v>
      </c>
    </row>
    <row r="1630" spans="1:5" x14ac:dyDescent="0.25">
      <c r="A1630" s="95">
        <f>'Site Data'!B1632</f>
        <v>0</v>
      </c>
      <c r="B1630">
        <f>'Raw Data'!B1632</f>
        <v>357.45</v>
      </c>
      <c r="C1630">
        <f>'Site Data'!E1632</f>
        <v>0</v>
      </c>
      <c r="D1630" s="97">
        <f t="shared" si="52"/>
        <v>357.45</v>
      </c>
      <c r="E1630" s="98" t="str">
        <f t="shared" si="53"/>
        <v>Error</v>
      </c>
    </row>
    <row r="1631" spans="1:5" x14ac:dyDescent="0.25">
      <c r="A1631" s="95">
        <f>'Site Data'!B1633</f>
        <v>0</v>
      </c>
      <c r="B1631">
        <f>'Raw Data'!B1633</f>
        <v>357.4533549040458</v>
      </c>
      <c r="C1631">
        <f>'Site Data'!E1633</f>
        <v>0</v>
      </c>
      <c r="D1631" s="97">
        <f t="shared" si="52"/>
        <v>357.4533549040458</v>
      </c>
      <c r="E1631" s="98" t="str">
        <f t="shared" si="53"/>
        <v>Error</v>
      </c>
    </row>
    <row r="1632" spans="1:5" x14ac:dyDescent="0.25">
      <c r="A1632" s="95">
        <f>'Site Data'!B1634</f>
        <v>0</v>
      </c>
      <c r="B1632">
        <f>'Raw Data'!B1634</f>
        <v>357.46</v>
      </c>
      <c r="C1632">
        <f>'Site Data'!E1634</f>
        <v>0</v>
      </c>
      <c r="D1632" s="97">
        <f t="shared" si="52"/>
        <v>357.46</v>
      </c>
      <c r="E1632" s="98" t="str">
        <f t="shared" si="53"/>
        <v>Error</v>
      </c>
    </row>
    <row r="1633" spans="1:5" x14ac:dyDescent="0.25">
      <c r="A1633" s="95">
        <f>'Site Data'!B1635</f>
        <v>0</v>
      </c>
      <c r="B1633">
        <f>'Raw Data'!B1635</f>
        <v>357.46342498920586</v>
      </c>
      <c r="C1633">
        <f>'Site Data'!E1635</f>
        <v>0</v>
      </c>
      <c r="D1633" s="97">
        <f t="shared" si="52"/>
        <v>357.46342498920586</v>
      </c>
      <c r="E1633" s="98" t="str">
        <f t="shared" si="53"/>
        <v>Error</v>
      </c>
    </row>
    <row r="1634" spans="1:5" x14ac:dyDescent="0.25">
      <c r="A1634" s="95">
        <f>'Site Data'!B1636</f>
        <v>0</v>
      </c>
      <c r="B1634">
        <f>'Raw Data'!B1636</f>
        <v>357.47</v>
      </c>
      <c r="C1634">
        <f>'Site Data'!E1636</f>
        <v>0</v>
      </c>
      <c r="D1634" s="97">
        <f t="shared" si="52"/>
        <v>357.47</v>
      </c>
      <c r="E1634" s="98" t="str">
        <f t="shared" si="53"/>
        <v>Error</v>
      </c>
    </row>
    <row r="1635" spans="1:5" x14ac:dyDescent="0.25">
      <c r="A1635" s="95">
        <f>'Site Data'!B1637</f>
        <v>0</v>
      </c>
      <c r="B1635">
        <f>'Raw Data'!B1637</f>
        <v>357.47</v>
      </c>
      <c r="C1635">
        <f>'Site Data'!E1637</f>
        <v>0</v>
      </c>
      <c r="D1635" s="97">
        <f t="shared" si="52"/>
        <v>357.47</v>
      </c>
      <c r="E1635" s="98" t="str">
        <f t="shared" si="53"/>
        <v>Error</v>
      </c>
    </row>
    <row r="1636" spans="1:5" x14ac:dyDescent="0.25">
      <c r="A1636" s="95">
        <f>'Site Data'!B1638</f>
        <v>0</v>
      </c>
      <c r="B1636">
        <f>'Raw Data'!B1638</f>
        <v>357.47</v>
      </c>
      <c r="C1636">
        <f>'Site Data'!E1638</f>
        <v>0</v>
      </c>
      <c r="D1636" s="97">
        <f t="shared" si="52"/>
        <v>357.47</v>
      </c>
      <c r="E1636" s="98" t="str">
        <f t="shared" si="53"/>
        <v>Error</v>
      </c>
    </row>
    <row r="1637" spans="1:5" x14ac:dyDescent="0.25">
      <c r="A1637" s="95">
        <f>'Site Data'!B1639</f>
        <v>0</v>
      </c>
      <c r="B1637">
        <f>'Raw Data'!B1639</f>
        <v>357.47</v>
      </c>
      <c r="C1637">
        <f>'Site Data'!E1639</f>
        <v>0</v>
      </c>
      <c r="D1637" s="97">
        <f t="shared" si="52"/>
        <v>357.47</v>
      </c>
      <c r="E1637" s="98" t="str">
        <f t="shared" si="53"/>
        <v>Error</v>
      </c>
    </row>
    <row r="1638" spans="1:5" x14ac:dyDescent="0.25">
      <c r="A1638" s="95">
        <f>'Site Data'!B1640</f>
        <v>0</v>
      </c>
      <c r="B1638">
        <f>'Raw Data'!B1640</f>
        <v>357.47</v>
      </c>
      <c r="C1638">
        <f>'Site Data'!E1640</f>
        <v>0</v>
      </c>
      <c r="D1638" s="97">
        <f t="shared" si="52"/>
        <v>357.47</v>
      </c>
      <c r="E1638" s="98" t="str">
        <f t="shared" si="53"/>
        <v>Error</v>
      </c>
    </row>
    <row r="1639" spans="1:5" x14ac:dyDescent="0.25">
      <c r="A1639" s="95">
        <f>'Site Data'!B1641</f>
        <v>0</v>
      </c>
      <c r="B1639">
        <f>'Raw Data'!B1641</f>
        <v>357.47</v>
      </c>
      <c r="C1639">
        <f>'Site Data'!E1641</f>
        <v>0</v>
      </c>
      <c r="D1639" s="97">
        <f t="shared" si="52"/>
        <v>357.47</v>
      </c>
      <c r="E1639" s="98" t="str">
        <f t="shared" si="53"/>
        <v>Error</v>
      </c>
    </row>
    <row r="1640" spans="1:5" x14ac:dyDescent="0.25">
      <c r="A1640" s="95">
        <f>'Site Data'!B1642</f>
        <v>0</v>
      </c>
      <c r="B1640">
        <f>'Raw Data'!B1642</f>
        <v>357.47</v>
      </c>
      <c r="C1640">
        <f>'Site Data'!E1642</f>
        <v>0</v>
      </c>
      <c r="D1640" s="97">
        <f t="shared" si="52"/>
        <v>357.47</v>
      </c>
      <c r="E1640" s="98" t="str">
        <f t="shared" si="53"/>
        <v>Error</v>
      </c>
    </row>
    <row r="1641" spans="1:5" x14ac:dyDescent="0.25">
      <c r="A1641" s="95">
        <f>'Site Data'!B1643</f>
        <v>0</v>
      </c>
      <c r="B1641">
        <f>'Raw Data'!B1643</f>
        <v>357.47</v>
      </c>
      <c r="C1641">
        <f>'Site Data'!E1643</f>
        <v>0</v>
      </c>
      <c r="D1641" s="97">
        <f t="shared" si="52"/>
        <v>357.47</v>
      </c>
      <c r="E1641" s="98" t="str">
        <f t="shared" si="53"/>
        <v>Error</v>
      </c>
    </row>
    <row r="1642" spans="1:5" x14ac:dyDescent="0.25">
      <c r="A1642" s="95">
        <f>'Site Data'!B1644</f>
        <v>0</v>
      </c>
      <c r="B1642">
        <f>'Raw Data'!B1644</f>
        <v>357.47</v>
      </c>
      <c r="C1642">
        <f>'Site Data'!E1644</f>
        <v>0</v>
      </c>
      <c r="D1642" s="97">
        <f t="shared" si="52"/>
        <v>357.47</v>
      </c>
      <c r="E1642" s="98" t="str">
        <f t="shared" si="53"/>
        <v>Error</v>
      </c>
    </row>
    <row r="1643" spans="1:5" x14ac:dyDescent="0.25">
      <c r="A1643" s="95">
        <f>'Site Data'!B1645</f>
        <v>0</v>
      </c>
      <c r="B1643">
        <f>'Raw Data'!B1645</f>
        <v>357.47</v>
      </c>
      <c r="C1643">
        <f>'Site Data'!E1645</f>
        <v>0</v>
      </c>
      <c r="D1643" s="97">
        <f t="shared" si="52"/>
        <v>357.47</v>
      </c>
      <c r="E1643" s="98" t="str">
        <f t="shared" si="53"/>
        <v>Error</v>
      </c>
    </row>
    <row r="1644" spans="1:5" x14ac:dyDescent="0.25">
      <c r="A1644" s="95">
        <f>'Site Data'!B1646</f>
        <v>0</v>
      </c>
      <c r="B1644">
        <f>'Raw Data'!B1646</f>
        <v>357.47</v>
      </c>
      <c r="C1644">
        <f>'Site Data'!E1646</f>
        <v>0</v>
      </c>
      <c r="D1644" s="97">
        <f t="shared" si="52"/>
        <v>357.47</v>
      </c>
      <c r="E1644" s="98" t="str">
        <f t="shared" si="53"/>
        <v>Error</v>
      </c>
    </row>
    <row r="1645" spans="1:5" x14ac:dyDescent="0.25">
      <c r="A1645" s="95">
        <f>'Site Data'!B1647</f>
        <v>0</v>
      </c>
      <c r="B1645">
        <f>'Raw Data'!B1647</f>
        <v>357.47</v>
      </c>
      <c r="C1645">
        <f>'Site Data'!E1647</f>
        <v>0</v>
      </c>
      <c r="D1645" s="97">
        <f t="shared" si="52"/>
        <v>357.47</v>
      </c>
      <c r="E1645" s="98" t="str">
        <f t="shared" si="53"/>
        <v>Error</v>
      </c>
    </row>
    <row r="1646" spans="1:5" x14ac:dyDescent="0.25">
      <c r="A1646" s="95">
        <f>'Site Data'!B1648</f>
        <v>0</v>
      </c>
      <c r="B1646">
        <f>'Raw Data'!B1648</f>
        <v>357.47</v>
      </c>
      <c r="C1646">
        <f>'Site Data'!E1648</f>
        <v>0</v>
      </c>
      <c r="D1646" s="97">
        <f t="shared" si="52"/>
        <v>357.47</v>
      </c>
      <c r="E1646" s="98" t="str">
        <f t="shared" si="53"/>
        <v>Error</v>
      </c>
    </row>
    <row r="1647" spans="1:5" x14ac:dyDescent="0.25">
      <c r="A1647" s="95">
        <f>'Site Data'!B1649</f>
        <v>0</v>
      </c>
      <c r="B1647">
        <f>'Raw Data'!B1649</f>
        <v>357.46647577474641</v>
      </c>
      <c r="C1647">
        <f>'Site Data'!E1649</f>
        <v>0</v>
      </c>
      <c r="D1647" s="97">
        <f t="shared" si="52"/>
        <v>357.46647577474641</v>
      </c>
      <c r="E1647" s="98" t="str">
        <f t="shared" si="53"/>
        <v>Error</v>
      </c>
    </row>
    <row r="1648" spans="1:5" x14ac:dyDescent="0.25">
      <c r="A1648" s="95">
        <f>'Site Data'!B1650</f>
        <v>0</v>
      </c>
      <c r="B1648">
        <f>'Raw Data'!B1650</f>
        <v>357.46</v>
      </c>
      <c r="C1648">
        <f>'Site Data'!E1650</f>
        <v>0</v>
      </c>
      <c r="D1648" s="97">
        <f t="shared" si="52"/>
        <v>357.46</v>
      </c>
      <c r="E1648" s="98" t="str">
        <f t="shared" si="53"/>
        <v>Error</v>
      </c>
    </row>
    <row r="1649" spans="1:5" x14ac:dyDescent="0.25">
      <c r="A1649" s="95">
        <f>'Site Data'!B1651</f>
        <v>0</v>
      </c>
      <c r="B1649">
        <f>'Raw Data'!B1651</f>
        <v>357.46</v>
      </c>
      <c r="C1649">
        <f>'Site Data'!E1651</f>
        <v>0</v>
      </c>
      <c r="D1649" s="97">
        <f t="shared" si="52"/>
        <v>357.46</v>
      </c>
      <c r="E1649" s="98" t="str">
        <f t="shared" si="53"/>
        <v>Error</v>
      </c>
    </row>
    <row r="1650" spans="1:5" x14ac:dyDescent="0.25">
      <c r="A1650" s="95">
        <f>'Site Data'!B1652</f>
        <v>0</v>
      </c>
      <c r="B1650">
        <f>'Raw Data'!B1652</f>
        <v>357.46</v>
      </c>
      <c r="C1650">
        <f>'Site Data'!E1652</f>
        <v>0</v>
      </c>
      <c r="D1650" s="97">
        <f t="shared" si="52"/>
        <v>357.46</v>
      </c>
      <c r="E1650" s="98" t="str">
        <f t="shared" si="53"/>
        <v>Error</v>
      </c>
    </row>
    <row r="1651" spans="1:5" x14ac:dyDescent="0.25">
      <c r="A1651" s="95">
        <f>'Site Data'!B1653</f>
        <v>0</v>
      </c>
      <c r="B1651">
        <f>'Raw Data'!B1653</f>
        <v>357.46365396497958</v>
      </c>
      <c r="C1651">
        <f>'Site Data'!E1653</f>
        <v>0</v>
      </c>
      <c r="D1651" s="97">
        <f t="shared" si="52"/>
        <v>357.46365396497958</v>
      </c>
      <c r="E1651" s="98" t="str">
        <f t="shared" si="53"/>
        <v>Error</v>
      </c>
    </row>
    <row r="1652" spans="1:5" x14ac:dyDescent="0.25">
      <c r="A1652" s="95">
        <f>'Site Data'!B1654</f>
        <v>0</v>
      </c>
      <c r="B1652">
        <f>'Raw Data'!B1654</f>
        <v>357.47</v>
      </c>
      <c r="C1652">
        <f>'Site Data'!E1654</f>
        <v>0</v>
      </c>
      <c r="D1652" s="97">
        <f t="shared" si="52"/>
        <v>357.47</v>
      </c>
      <c r="E1652" s="98" t="str">
        <f t="shared" si="53"/>
        <v>Error</v>
      </c>
    </row>
    <row r="1653" spans="1:5" x14ac:dyDescent="0.25">
      <c r="A1653" s="95">
        <f>'Site Data'!B1655</f>
        <v>0</v>
      </c>
      <c r="B1653">
        <f>'Raw Data'!B1655</f>
        <v>357.47</v>
      </c>
      <c r="C1653">
        <f>'Site Data'!E1655</f>
        <v>0</v>
      </c>
      <c r="D1653" s="97">
        <f t="shared" si="52"/>
        <v>357.47</v>
      </c>
      <c r="E1653" s="98" t="str">
        <f t="shared" si="53"/>
        <v>Error</v>
      </c>
    </row>
    <row r="1654" spans="1:5" x14ac:dyDescent="0.25">
      <c r="A1654" s="95">
        <f>'Site Data'!B1656</f>
        <v>0</v>
      </c>
      <c r="B1654">
        <f>'Raw Data'!B1656</f>
        <v>357.47</v>
      </c>
      <c r="C1654">
        <f>'Site Data'!E1656</f>
        <v>0</v>
      </c>
      <c r="D1654" s="97">
        <f t="shared" si="52"/>
        <v>357.47</v>
      </c>
      <c r="E1654" s="98" t="str">
        <f t="shared" si="53"/>
        <v>Error</v>
      </c>
    </row>
    <row r="1655" spans="1:5" x14ac:dyDescent="0.25">
      <c r="A1655" s="95">
        <f>'Site Data'!B1657</f>
        <v>0</v>
      </c>
      <c r="B1655">
        <f>'Raw Data'!B1657</f>
        <v>357.47</v>
      </c>
      <c r="C1655">
        <f>'Site Data'!E1657</f>
        <v>0</v>
      </c>
      <c r="D1655" s="97">
        <f t="shared" si="52"/>
        <v>357.47</v>
      </c>
      <c r="E1655" s="98" t="str">
        <f t="shared" si="53"/>
        <v>Error</v>
      </c>
    </row>
    <row r="1656" spans="1:5" x14ac:dyDescent="0.25">
      <c r="A1656" s="95">
        <f>'Site Data'!B1658</f>
        <v>0</v>
      </c>
      <c r="B1656">
        <f>'Raw Data'!B1658</f>
        <v>357.47</v>
      </c>
      <c r="C1656">
        <f>'Site Data'!E1658</f>
        <v>0</v>
      </c>
      <c r="D1656" s="97">
        <f t="shared" si="52"/>
        <v>357.47</v>
      </c>
      <c r="E1656" s="98" t="str">
        <f t="shared" si="53"/>
        <v>Error</v>
      </c>
    </row>
    <row r="1657" spans="1:5" x14ac:dyDescent="0.25">
      <c r="A1657" s="95">
        <f>'Site Data'!B1659</f>
        <v>0</v>
      </c>
      <c r="B1657">
        <f>'Raw Data'!B1659</f>
        <v>357.54211018297809</v>
      </c>
      <c r="C1657">
        <f>'Site Data'!E1659</f>
        <v>0</v>
      </c>
      <c r="D1657" s="97">
        <f t="shared" si="52"/>
        <v>357.54211018297809</v>
      </c>
      <c r="E1657" s="98" t="str">
        <f t="shared" si="53"/>
        <v>Error</v>
      </c>
    </row>
    <row r="1658" spans="1:5" x14ac:dyDescent="0.25">
      <c r="A1658" s="95">
        <f>'Site Data'!B1660</f>
        <v>0</v>
      </c>
      <c r="B1658">
        <f>'Raw Data'!B1660</f>
        <v>357.67</v>
      </c>
      <c r="C1658">
        <f>'Site Data'!E1660</f>
        <v>0</v>
      </c>
      <c r="D1658" s="97">
        <f t="shared" si="52"/>
        <v>357.67</v>
      </c>
      <c r="E1658" s="98" t="str">
        <f t="shared" si="53"/>
        <v>Error</v>
      </c>
    </row>
    <row r="1659" spans="1:5" x14ac:dyDescent="0.25">
      <c r="A1659" s="95">
        <f>'Site Data'!B1661</f>
        <v>0</v>
      </c>
      <c r="B1659">
        <f>'Raw Data'!B1661</f>
        <v>357.68115770705339</v>
      </c>
      <c r="C1659">
        <f>'Site Data'!E1661</f>
        <v>0</v>
      </c>
      <c r="D1659" s="97">
        <f t="shared" si="52"/>
        <v>357.68115770705339</v>
      </c>
      <c r="E1659" s="98" t="str">
        <f t="shared" si="53"/>
        <v>Error</v>
      </c>
    </row>
    <row r="1660" spans="1:5" x14ac:dyDescent="0.25">
      <c r="A1660" s="95">
        <f>'Site Data'!B1662</f>
        <v>0</v>
      </c>
      <c r="B1660">
        <f>'Raw Data'!B1662</f>
        <v>357.7</v>
      </c>
      <c r="C1660">
        <f>'Site Data'!E1662</f>
        <v>0</v>
      </c>
      <c r="D1660" s="97">
        <f t="shared" si="52"/>
        <v>357.7</v>
      </c>
      <c r="E1660" s="98" t="str">
        <f t="shared" si="53"/>
        <v>Error</v>
      </c>
    </row>
    <row r="1661" spans="1:5" x14ac:dyDescent="0.25">
      <c r="A1661" s="95">
        <f>'Site Data'!B1663</f>
        <v>0</v>
      </c>
      <c r="B1661">
        <f>'Raw Data'!B1663</f>
        <v>357.7262998982871</v>
      </c>
      <c r="C1661">
        <f>'Site Data'!E1663</f>
        <v>0</v>
      </c>
      <c r="D1661" s="97">
        <f t="shared" si="52"/>
        <v>357.7262998982871</v>
      </c>
      <c r="E1661" s="98" t="str">
        <f t="shared" si="53"/>
        <v>Error</v>
      </c>
    </row>
    <row r="1662" spans="1:5" x14ac:dyDescent="0.25">
      <c r="A1662" s="95">
        <f>'Site Data'!B1664</f>
        <v>0</v>
      </c>
      <c r="B1662">
        <f>'Raw Data'!B1664</f>
        <v>357.77</v>
      </c>
      <c r="C1662">
        <f>'Site Data'!E1664</f>
        <v>0</v>
      </c>
      <c r="D1662" s="97">
        <f t="shared" si="52"/>
        <v>357.77</v>
      </c>
      <c r="E1662" s="98" t="str">
        <f t="shared" si="53"/>
        <v>Error</v>
      </c>
    </row>
    <row r="1663" spans="1:5" x14ac:dyDescent="0.25">
      <c r="A1663" s="95">
        <f>'Site Data'!B1665</f>
        <v>0</v>
      </c>
      <c r="B1663">
        <f>'Raw Data'!B1665</f>
        <v>357.77</v>
      </c>
      <c r="C1663">
        <f>'Site Data'!E1665</f>
        <v>0</v>
      </c>
      <c r="D1663" s="97">
        <f t="shared" si="52"/>
        <v>357.77</v>
      </c>
      <c r="E1663" s="98" t="str">
        <f t="shared" si="53"/>
        <v>Error</v>
      </c>
    </row>
    <row r="1664" spans="1:5" x14ac:dyDescent="0.25">
      <c r="A1664" s="95">
        <f>'Site Data'!B1666</f>
        <v>0</v>
      </c>
      <c r="B1664">
        <f>'Raw Data'!B1666</f>
        <v>357.77</v>
      </c>
      <c r="C1664">
        <f>'Site Data'!E1666</f>
        <v>0</v>
      </c>
      <c r="D1664" s="97">
        <f t="shared" si="52"/>
        <v>357.77</v>
      </c>
      <c r="E1664" s="98" t="str">
        <f t="shared" si="53"/>
        <v>Error</v>
      </c>
    </row>
    <row r="1665" spans="1:5" x14ac:dyDescent="0.25">
      <c r="A1665" s="95">
        <f>'Site Data'!B1667</f>
        <v>0</v>
      </c>
      <c r="B1665">
        <f>'Raw Data'!B1667</f>
        <v>357.77</v>
      </c>
      <c r="C1665">
        <f>'Site Data'!E1667</f>
        <v>0</v>
      </c>
      <c r="D1665" s="97">
        <f t="shared" si="52"/>
        <v>357.77</v>
      </c>
      <c r="E1665" s="98" t="str">
        <f t="shared" si="53"/>
        <v>Error</v>
      </c>
    </row>
    <row r="1666" spans="1:5" x14ac:dyDescent="0.25">
      <c r="A1666" s="95">
        <f>'Site Data'!B1668</f>
        <v>0</v>
      </c>
      <c r="B1666">
        <f>'Raw Data'!B1668</f>
        <v>357.77</v>
      </c>
      <c r="C1666">
        <f>'Site Data'!E1668</f>
        <v>0</v>
      </c>
      <c r="D1666" s="97">
        <f t="shared" ref="D1666:D1729" si="54">B1666-C1666</f>
        <v>357.77</v>
      </c>
      <c r="E1666" s="98" t="str">
        <f t="shared" ref="E1666:E1729" si="55">IF(AND(D1666 &gt;= 50, D1666 &lt;= 60), "Valid", "Error")</f>
        <v>Error</v>
      </c>
    </row>
    <row r="1667" spans="1:5" x14ac:dyDescent="0.25">
      <c r="A1667" s="95">
        <f>'Site Data'!B1669</f>
        <v>0</v>
      </c>
      <c r="B1667">
        <f>'Raw Data'!B1669</f>
        <v>357.77</v>
      </c>
      <c r="C1667">
        <f>'Site Data'!E1669</f>
        <v>0</v>
      </c>
      <c r="D1667" s="97">
        <f t="shared" si="54"/>
        <v>357.77</v>
      </c>
      <c r="E1667" s="98" t="str">
        <f t="shared" si="55"/>
        <v>Error</v>
      </c>
    </row>
    <row r="1668" spans="1:5" x14ac:dyDescent="0.25">
      <c r="A1668" s="95">
        <f>'Site Data'!B1670</f>
        <v>0</v>
      </c>
      <c r="B1668">
        <f>'Raw Data'!B1670</f>
        <v>357.77</v>
      </c>
      <c r="C1668">
        <f>'Site Data'!E1670</f>
        <v>0</v>
      </c>
      <c r="D1668" s="97">
        <f t="shared" si="54"/>
        <v>357.77</v>
      </c>
      <c r="E1668" s="98" t="str">
        <f t="shared" si="55"/>
        <v>Error</v>
      </c>
    </row>
    <row r="1669" spans="1:5" x14ac:dyDescent="0.25">
      <c r="A1669" s="95">
        <f>'Site Data'!B1671</f>
        <v>0</v>
      </c>
      <c r="B1669">
        <f>'Raw Data'!B1671</f>
        <v>357.77</v>
      </c>
      <c r="C1669">
        <f>'Site Data'!E1671</f>
        <v>0</v>
      </c>
      <c r="D1669" s="97">
        <f t="shared" si="54"/>
        <v>357.77</v>
      </c>
      <c r="E1669" s="98" t="str">
        <f t="shared" si="55"/>
        <v>Error</v>
      </c>
    </row>
    <row r="1670" spans="1:5" x14ac:dyDescent="0.25">
      <c r="A1670" s="95">
        <f>'Site Data'!B1672</f>
        <v>0</v>
      </c>
      <c r="B1670">
        <f>'Raw Data'!B1672</f>
        <v>357.77</v>
      </c>
      <c r="C1670">
        <f>'Site Data'!E1672</f>
        <v>0</v>
      </c>
      <c r="D1670" s="97">
        <f t="shared" si="54"/>
        <v>357.77</v>
      </c>
      <c r="E1670" s="98" t="str">
        <f t="shared" si="55"/>
        <v>Error</v>
      </c>
    </row>
    <row r="1671" spans="1:5" x14ac:dyDescent="0.25">
      <c r="A1671" s="95">
        <f>'Site Data'!B1673</f>
        <v>0</v>
      </c>
      <c r="B1671">
        <f>'Raw Data'!B1673</f>
        <v>357.77</v>
      </c>
      <c r="C1671">
        <f>'Site Data'!E1673</f>
        <v>0</v>
      </c>
      <c r="D1671" s="97">
        <f t="shared" si="54"/>
        <v>357.77</v>
      </c>
      <c r="E1671" s="98" t="str">
        <f t="shared" si="55"/>
        <v>Error</v>
      </c>
    </row>
    <row r="1672" spans="1:5" x14ac:dyDescent="0.25">
      <c r="A1672" s="95">
        <f>'Site Data'!B1674</f>
        <v>0</v>
      </c>
      <c r="B1672">
        <f>'Raw Data'!B1674</f>
        <v>357.77</v>
      </c>
      <c r="C1672">
        <f>'Site Data'!E1674</f>
        <v>0</v>
      </c>
      <c r="D1672" s="97">
        <f t="shared" si="54"/>
        <v>357.77</v>
      </c>
      <c r="E1672" s="98" t="str">
        <f t="shared" si="55"/>
        <v>Error</v>
      </c>
    </row>
    <row r="1673" spans="1:5" x14ac:dyDescent="0.25">
      <c r="A1673" s="95">
        <f>'Site Data'!B1675</f>
        <v>0</v>
      </c>
      <c r="B1673">
        <f>'Raw Data'!B1675</f>
        <v>357.77</v>
      </c>
      <c r="C1673">
        <f>'Site Data'!E1675</f>
        <v>0</v>
      </c>
      <c r="D1673" s="97">
        <f t="shared" si="54"/>
        <v>357.77</v>
      </c>
      <c r="E1673" s="98" t="str">
        <f t="shared" si="55"/>
        <v>Error</v>
      </c>
    </row>
    <row r="1674" spans="1:5" x14ac:dyDescent="0.25">
      <c r="A1674" s="95">
        <f>'Site Data'!B1676</f>
        <v>0</v>
      </c>
      <c r="B1674">
        <f>'Raw Data'!B1676</f>
        <v>357.77</v>
      </c>
      <c r="C1674">
        <f>'Site Data'!E1676</f>
        <v>0</v>
      </c>
      <c r="D1674" s="97">
        <f t="shared" si="54"/>
        <v>357.77</v>
      </c>
      <c r="E1674" s="98" t="str">
        <f t="shared" si="55"/>
        <v>Error</v>
      </c>
    </row>
    <row r="1675" spans="1:5" x14ac:dyDescent="0.25">
      <c r="A1675" s="95">
        <f>'Site Data'!B1677</f>
        <v>0</v>
      </c>
      <c r="B1675">
        <f>'Raw Data'!B1677</f>
        <v>357.77</v>
      </c>
      <c r="C1675">
        <f>'Site Data'!E1677</f>
        <v>0</v>
      </c>
      <c r="D1675" s="97">
        <f t="shared" si="54"/>
        <v>357.77</v>
      </c>
      <c r="E1675" s="98" t="str">
        <f t="shared" si="55"/>
        <v>Error</v>
      </c>
    </row>
    <row r="1676" spans="1:5" x14ac:dyDescent="0.25">
      <c r="A1676" s="95">
        <f>'Site Data'!B1678</f>
        <v>0</v>
      </c>
      <c r="B1676">
        <f>'Raw Data'!B1678</f>
        <v>357.77</v>
      </c>
      <c r="C1676">
        <f>'Site Data'!E1678</f>
        <v>0</v>
      </c>
      <c r="D1676" s="97">
        <f t="shared" si="54"/>
        <v>357.77</v>
      </c>
      <c r="E1676" s="98" t="str">
        <f t="shared" si="55"/>
        <v>Error</v>
      </c>
    </row>
    <row r="1677" spans="1:5" x14ac:dyDescent="0.25">
      <c r="A1677" s="95">
        <f>'Site Data'!B1679</f>
        <v>0</v>
      </c>
      <c r="B1677">
        <f>'Raw Data'!B1679</f>
        <v>357.77</v>
      </c>
      <c r="C1677">
        <f>'Site Data'!E1679</f>
        <v>0</v>
      </c>
      <c r="D1677" s="97">
        <f t="shared" si="54"/>
        <v>357.77</v>
      </c>
      <c r="E1677" s="98" t="str">
        <f t="shared" si="55"/>
        <v>Error</v>
      </c>
    </row>
    <row r="1678" spans="1:5" x14ac:dyDescent="0.25">
      <c r="A1678" s="95">
        <f>'Site Data'!B1680</f>
        <v>0</v>
      </c>
      <c r="B1678">
        <f>'Raw Data'!B1680</f>
        <v>357.77</v>
      </c>
      <c r="C1678">
        <f>'Site Data'!E1680</f>
        <v>0</v>
      </c>
      <c r="D1678" s="97">
        <f t="shared" si="54"/>
        <v>357.77</v>
      </c>
      <c r="E1678" s="98" t="str">
        <f t="shared" si="55"/>
        <v>Error</v>
      </c>
    </row>
    <row r="1679" spans="1:5" x14ac:dyDescent="0.25">
      <c r="A1679" s="95">
        <f>'Site Data'!B1681</f>
        <v>0</v>
      </c>
      <c r="B1679">
        <f>'Raw Data'!B1681</f>
        <v>357.77</v>
      </c>
      <c r="C1679">
        <f>'Site Data'!E1681</f>
        <v>0</v>
      </c>
      <c r="D1679" s="97">
        <f t="shared" si="54"/>
        <v>357.77</v>
      </c>
      <c r="E1679" s="98" t="str">
        <f t="shared" si="55"/>
        <v>Error</v>
      </c>
    </row>
    <row r="1680" spans="1:5" x14ac:dyDescent="0.25">
      <c r="A1680" s="95">
        <f>'Site Data'!B1682</f>
        <v>0</v>
      </c>
      <c r="B1680">
        <f>'Raw Data'!B1682</f>
        <v>357.77</v>
      </c>
      <c r="C1680">
        <f>'Site Data'!E1682</f>
        <v>0</v>
      </c>
      <c r="D1680" s="97">
        <f t="shared" si="54"/>
        <v>357.77</v>
      </c>
      <c r="E1680" s="98" t="str">
        <f t="shared" si="55"/>
        <v>Error</v>
      </c>
    </row>
    <row r="1681" spans="1:5" x14ac:dyDescent="0.25">
      <c r="A1681" s="95">
        <f>'Site Data'!B1683</f>
        <v>0</v>
      </c>
      <c r="B1681">
        <f>'Raw Data'!B1683</f>
        <v>357.77</v>
      </c>
      <c r="C1681">
        <f>'Site Data'!E1683</f>
        <v>0</v>
      </c>
      <c r="D1681" s="97">
        <f t="shared" si="54"/>
        <v>357.77</v>
      </c>
      <c r="E1681" s="98" t="str">
        <f t="shared" si="55"/>
        <v>Error</v>
      </c>
    </row>
    <row r="1682" spans="1:5" x14ac:dyDescent="0.25">
      <c r="A1682" s="95">
        <f>'Site Data'!B1684</f>
        <v>0</v>
      </c>
      <c r="B1682">
        <f>'Raw Data'!B1684</f>
        <v>357.77</v>
      </c>
      <c r="C1682">
        <f>'Site Data'!E1684</f>
        <v>0</v>
      </c>
      <c r="D1682" s="97">
        <f t="shared" si="54"/>
        <v>357.77</v>
      </c>
      <c r="E1682" s="98" t="str">
        <f t="shared" si="55"/>
        <v>Error</v>
      </c>
    </row>
    <row r="1683" spans="1:5" x14ac:dyDescent="0.25">
      <c r="A1683" s="95">
        <f>'Site Data'!B1685</f>
        <v>0</v>
      </c>
      <c r="B1683">
        <f>'Raw Data'!B1685</f>
        <v>357.77</v>
      </c>
      <c r="C1683">
        <f>'Site Data'!E1685</f>
        <v>0</v>
      </c>
      <c r="D1683" s="97">
        <f t="shared" si="54"/>
        <v>357.77</v>
      </c>
      <c r="E1683" s="98" t="str">
        <f t="shared" si="55"/>
        <v>Error</v>
      </c>
    </row>
    <row r="1684" spans="1:5" x14ac:dyDescent="0.25">
      <c r="A1684" s="95">
        <f>'Site Data'!B1686</f>
        <v>0</v>
      </c>
      <c r="B1684">
        <f>'Raw Data'!B1686</f>
        <v>357.77</v>
      </c>
      <c r="C1684">
        <f>'Site Data'!E1686</f>
        <v>0</v>
      </c>
      <c r="D1684" s="97">
        <f t="shared" si="54"/>
        <v>357.77</v>
      </c>
      <c r="E1684" s="98" t="str">
        <f t="shared" si="55"/>
        <v>Error</v>
      </c>
    </row>
    <row r="1685" spans="1:5" x14ac:dyDescent="0.25">
      <c r="A1685" s="95">
        <f>'Site Data'!B1687</f>
        <v>0</v>
      </c>
      <c r="B1685">
        <f>'Raw Data'!B1687</f>
        <v>357.77</v>
      </c>
      <c r="C1685">
        <f>'Site Data'!E1687</f>
        <v>0</v>
      </c>
      <c r="D1685" s="97">
        <f t="shared" si="54"/>
        <v>357.77</v>
      </c>
      <c r="E1685" s="98" t="str">
        <f t="shared" si="55"/>
        <v>Error</v>
      </c>
    </row>
    <row r="1686" spans="1:5" x14ac:dyDescent="0.25">
      <c r="A1686" s="95">
        <f>'Site Data'!B1688</f>
        <v>0</v>
      </c>
      <c r="B1686">
        <f>'Raw Data'!B1688</f>
        <v>357.77</v>
      </c>
      <c r="C1686">
        <f>'Site Data'!E1688</f>
        <v>0</v>
      </c>
      <c r="D1686" s="97">
        <f t="shared" si="54"/>
        <v>357.77</v>
      </c>
      <c r="E1686" s="98" t="str">
        <f t="shared" si="55"/>
        <v>Error</v>
      </c>
    </row>
    <row r="1687" spans="1:5" x14ac:dyDescent="0.25">
      <c r="A1687" s="95">
        <f>'Site Data'!B1689</f>
        <v>0</v>
      </c>
      <c r="B1687">
        <f>'Raw Data'!B1689</f>
        <v>357.77</v>
      </c>
      <c r="C1687">
        <f>'Site Data'!E1689</f>
        <v>0</v>
      </c>
      <c r="D1687" s="97">
        <f t="shared" si="54"/>
        <v>357.77</v>
      </c>
      <c r="E1687" s="98" t="str">
        <f t="shared" si="55"/>
        <v>Error</v>
      </c>
    </row>
    <row r="1688" spans="1:5" x14ac:dyDescent="0.25">
      <c r="A1688" s="95">
        <f>'Site Data'!B1690</f>
        <v>0</v>
      </c>
      <c r="B1688">
        <f>'Raw Data'!B1690</f>
        <v>357.77</v>
      </c>
      <c r="C1688">
        <f>'Site Data'!E1690</f>
        <v>0</v>
      </c>
      <c r="D1688" s="97">
        <f t="shared" si="54"/>
        <v>357.77</v>
      </c>
      <c r="E1688" s="98" t="str">
        <f t="shared" si="55"/>
        <v>Error</v>
      </c>
    </row>
    <row r="1689" spans="1:5" x14ac:dyDescent="0.25">
      <c r="A1689" s="95">
        <f>'Site Data'!B1691</f>
        <v>0</v>
      </c>
      <c r="B1689">
        <f>'Raw Data'!B1691</f>
        <v>357.77</v>
      </c>
      <c r="C1689">
        <f>'Site Data'!E1691</f>
        <v>0</v>
      </c>
      <c r="D1689" s="97">
        <f t="shared" si="54"/>
        <v>357.77</v>
      </c>
      <c r="E1689" s="98" t="str">
        <f t="shared" si="55"/>
        <v>Error</v>
      </c>
    </row>
    <row r="1690" spans="1:5" x14ac:dyDescent="0.25">
      <c r="A1690" s="95">
        <f>'Site Data'!B1692</f>
        <v>0</v>
      </c>
      <c r="B1690">
        <f>'Raw Data'!B1692</f>
        <v>357.77</v>
      </c>
      <c r="C1690">
        <f>'Site Data'!E1692</f>
        <v>0</v>
      </c>
      <c r="D1690" s="97">
        <f t="shared" si="54"/>
        <v>357.77</v>
      </c>
      <c r="E1690" s="98" t="str">
        <f t="shared" si="55"/>
        <v>Error</v>
      </c>
    </row>
    <row r="1691" spans="1:5" x14ac:dyDescent="0.25">
      <c r="A1691" s="95">
        <f>'Site Data'!B1693</f>
        <v>0</v>
      </c>
      <c r="B1691">
        <f>'Raw Data'!B1693</f>
        <v>357.77</v>
      </c>
      <c r="C1691">
        <f>'Site Data'!E1693</f>
        <v>0</v>
      </c>
      <c r="D1691" s="97">
        <f t="shared" si="54"/>
        <v>357.77</v>
      </c>
      <c r="E1691" s="98" t="str">
        <f t="shared" si="55"/>
        <v>Error</v>
      </c>
    </row>
    <row r="1692" spans="1:5" x14ac:dyDescent="0.25">
      <c r="A1692" s="95">
        <f>'Site Data'!B1694</f>
        <v>0</v>
      </c>
      <c r="B1692">
        <f>'Raw Data'!B1694</f>
        <v>357.77</v>
      </c>
      <c r="C1692">
        <f>'Site Data'!E1694</f>
        <v>0</v>
      </c>
      <c r="D1692" s="97">
        <f t="shared" si="54"/>
        <v>357.77</v>
      </c>
      <c r="E1692" s="98" t="str">
        <f t="shared" si="55"/>
        <v>Error</v>
      </c>
    </row>
    <row r="1693" spans="1:5" x14ac:dyDescent="0.25">
      <c r="A1693" s="95">
        <f>'Site Data'!B1695</f>
        <v>0</v>
      </c>
      <c r="B1693">
        <f>'Raw Data'!B1695</f>
        <v>357.77</v>
      </c>
      <c r="C1693">
        <f>'Site Data'!E1695</f>
        <v>0</v>
      </c>
      <c r="D1693" s="97">
        <f t="shared" si="54"/>
        <v>357.77</v>
      </c>
      <c r="E1693" s="98" t="str">
        <f t="shared" si="55"/>
        <v>Error</v>
      </c>
    </row>
    <row r="1694" spans="1:5" x14ac:dyDescent="0.25">
      <c r="A1694" s="95">
        <f>'Site Data'!B1696</f>
        <v>0</v>
      </c>
      <c r="B1694">
        <f>'Raw Data'!B1696</f>
        <v>357.77</v>
      </c>
      <c r="C1694">
        <f>'Site Data'!E1696</f>
        <v>0</v>
      </c>
      <c r="D1694" s="97">
        <f t="shared" si="54"/>
        <v>357.77</v>
      </c>
      <c r="E1694" s="98" t="str">
        <f t="shared" si="55"/>
        <v>Error</v>
      </c>
    </row>
    <row r="1695" spans="1:5" x14ac:dyDescent="0.25">
      <c r="A1695" s="95">
        <f>'Site Data'!B1697</f>
        <v>0</v>
      </c>
      <c r="B1695">
        <f>'Raw Data'!B1697</f>
        <v>357.77</v>
      </c>
      <c r="C1695">
        <f>'Site Data'!E1697</f>
        <v>0</v>
      </c>
      <c r="D1695" s="97">
        <f t="shared" si="54"/>
        <v>357.77</v>
      </c>
      <c r="E1695" s="98" t="str">
        <f t="shared" si="55"/>
        <v>Error</v>
      </c>
    </row>
    <row r="1696" spans="1:5" x14ac:dyDescent="0.25">
      <c r="A1696" s="95">
        <f>'Site Data'!B1698</f>
        <v>0</v>
      </c>
      <c r="B1696">
        <f>'Raw Data'!B1698</f>
        <v>357.77</v>
      </c>
      <c r="C1696">
        <f>'Site Data'!E1698</f>
        <v>0</v>
      </c>
      <c r="D1696" s="97">
        <f t="shared" si="54"/>
        <v>357.77</v>
      </c>
      <c r="E1696" s="98" t="str">
        <f t="shared" si="55"/>
        <v>Error</v>
      </c>
    </row>
    <row r="1697" spans="1:5" x14ac:dyDescent="0.25">
      <c r="A1697" s="95">
        <f>'Site Data'!B1699</f>
        <v>0</v>
      </c>
      <c r="B1697">
        <f>'Raw Data'!B1699</f>
        <v>357.77</v>
      </c>
      <c r="C1697">
        <f>'Site Data'!E1699</f>
        <v>0</v>
      </c>
      <c r="D1697" s="97">
        <f t="shared" si="54"/>
        <v>357.77</v>
      </c>
      <c r="E1697" s="98" t="str">
        <f t="shared" si="55"/>
        <v>Error</v>
      </c>
    </row>
    <row r="1698" spans="1:5" x14ac:dyDescent="0.25">
      <c r="A1698" s="95">
        <f>'Site Data'!B1700</f>
        <v>0</v>
      </c>
      <c r="B1698">
        <f>'Raw Data'!B1700</f>
        <v>357.77</v>
      </c>
      <c r="C1698">
        <f>'Site Data'!E1700</f>
        <v>0</v>
      </c>
      <c r="D1698" s="97">
        <f t="shared" si="54"/>
        <v>357.77</v>
      </c>
      <c r="E1698" s="98" t="str">
        <f t="shared" si="55"/>
        <v>Error</v>
      </c>
    </row>
    <row r="1699" spans="1:5" x14ac:dyDescent="0.25">
      <c r="A1699" s="95">
        <f>'Site Data'!B1701</f>
        <v>0</v>
      </c>
      <c r="B1699">
        <f>'Raw Data'!B1701</f>
        <v>357.77</v>
      </c>
      <c r="C1699">
        <f>'Site Data'!E1701</f>
        <v>0</v>
      </c>
      <c r="D1699" s="97">
        <f t="shared" si="54"/>
        <v>357.77</v>
      </c>
      <c r="E1699" s="98" t="str">
        <f t="shared" si="55"/>
        <v>Error</v>
      </c>
    </row>
    <row r="1700" spans="1:5" x14ac:dyDescent="0.25">
      <c r="A1700" s="95">
        <f>'Site Data'!B1702</f>
        <v>0</v>
      </c>
      <c r="B1700">
        <f>'Raw Data'!B1702</f>
        <v>357.77</v>
      </c>
      <c r="C1700">
        <f>'Site Data'!E1702</f>
        <v>0</v>
      </c>
      <c r="D1700" s="97">
        <f t="shared" si="54"/>
        <v>357.77</v>
      </c>
      <c r="E1700" s="98" t="str">
        <f t="shared" si="55"/>
        <v>Error</v>
      </c>
    </row>
    <row r="1701" spans="1:5" x14ac:dyDescent="0.25">
      <c r="A1701" s="95">
        <f>'Site Data'!B1703</f>
        <v>0</v>
      </c>
      <c r="B1701">
        <f>'Raw Data'!B1703</f>
        <v>355.09</v>
      </c>
      <c r="C1701">
        <f>'Site Data'!E1703</f>
        <v>0</v>
      </c>
      <c r="D1701" s="97">
        <f t="shared" si="54"/>
        <v>355.09</v>
      </c>
      <c r="E1701" s="98" t="str">
        <f t="shared" si="55"/>
        <v>Error</v>
      </c>
    </row>
    <row r="1702" spans="1:5" x14ac:dyDescent="0.25">
      <c r="A1702" s="95">
        <f>'Site Data'!B1704</f>
        <v>0</v>
      </c>
      <c r="B1702">
        <f>'Raw Data'!B1704</f>
        <v>355.09</v>
      </c>
      <c r="C1702">
        <f>'Site Data'!E1704</f>
        <v>0</v>
      </c>
      <c r="D1702" s="97">
        <f t="shared" si="54"/>
        <v>355.09</v>
      </c>
      <c r="E1702" s="98" t="str">
        <f t="shared" si="55"/>
        <v>Error</v>
      </c>
    </row>
    <row r="1703" spans="1:5" x14ac:dyDescent="0.25">
      <c r="A1703" s="95">
        <f>'Site Data'!B1705</f>
        <v>0</v>
      </c>
      <c r="B1703">
        <f>'Raw Data'!B1705</f>
        <v>355.01</v>
      </c>
      <c r="C1703">
        <f>'Site Data'!E1705</f>
        <v>0</v>
      </c>
      <c r="D1703" s="97">
        <f t="shared" si="54"/>
        <v>355.01</v>
      </c>
      <c r="E1703" s="98" t="str">
        <f t="shared" si="55"/>
        <v>Error</v>
      </c>
    </row>
    <row r="1704" spans="1:5" x14ac:dyDescent="0.25">
      <c r="A1704" s="95">
        <f>'Site Data'!B1706</f>
        <v>0</v>
      </c>
      <c r="B1704">
        <f>'Raw Data'!B1706</f>
        <v>355.01</v>
      </c>
      <c r="C1704">
        <f>'Site Data'!E1706</f>
        <v>0</v>
      </c>
      <c r="D1704" s="97">
        <f t="shared" si="54"/>
        <v>355.01</v>
      </c>
      <c r="E1704" s="98" t="str">
        <f t="shared" si="55"/>
        <v>Error</v>
      </c>
    </row>
    <row r="1705" spans="1:5" x14ac:dyDescent="0.25">
      <c r="A1705" s="95">
        <f>'Site Data'!B1707</f>
        <v>0</v>
      </c>
      <c r="B1705">
        <f>'Raw Data'!B1707</f>
        <v>355.00711810602576</v>
      </c>
      <c r="C1705">
        <f>'Site Data'!E1707</f>
        <v>0</v>
      </c>
      <c r="D1705" s="97">
        <f t="shared" si="54"/>
        <v>355.00711810602576</v>
      </c>
      <c r="E1705" s="98" t="str">
        <f t="shared" si="55"/>
        <v>Error</v>
      </c>
    </row>
    <row r="1706" spans="1:5" x14ac:dyDescent="0.25">
      <c r="A1706" s="95">
        <f>'Site Data'!B1708</f>
        <v>0</v>
      </c>
      <c r="B1706">
        <f>'Raw Data'!B1708</f>
        <v>354.94</v>
      </c>
      <c r="C1706">
        <f>'Site Data'!E1708</f>
        <v>0</v>
      </c>
      <c r="D1706" s="97">
        <f t="shared" si="54"/>
        <v>354.94</v>
      </c>
      <c r="E1706" s="98" t="str">
        <f t="shared" si="55"/>
        <v>Error</v>
      </c>
    </row>
    <row r="1707" spans="1:5" x14ac:dyDescent="0.25">
      <c r="A1707" s="95">
        <f>'Site Data'!B1709</f>
        <v>0</v>
      </c>
      <c r="B1707">
        <f>'Raw Data'!B1709</f>
        <v>354.94</v>
      </c>
      <c r="C1707">
        <f>'Site Data'!E1709</f>
        <v>0</v>
      </c>
      <c r="D1707" s="97">
        <f t="shared" si="54"/>
        <v>354.94</v>
      </c>
      <c r="E1707" s="98" t="str">
        <f t="shared" si="55"/>
        <v>Error</v>
      </c>
    </row>
    <row r="1708" spans="1:5" x14ac:dyDescent="0.25">
      <c r="A1708" s="95">
        <f>'Site Data'!B1710</f>
        <v>0</v>
      </c>
      <c r="B1708">
        <f>'Raw Data'!B1710</f>
        <v>354.94</v>
      </c>
      <c r="C1708">
        <f>'Site Data'!E1710</f>
        <v>0</v>
      </c>
      <c r="D1708" s="97">
        <f t="shared" si="54"/>
        <v>354.94</v>
      </c>
      <c r="E1708" s="98" t="str">
        <f t="shared" si="55"/>
        <v>Error</v>
      </c>
    </row>
    <row r="1709" spans="1:5" x14ac:dyDescent="0.25">
      <c r="A1709" s="95">
        <f>'Site Data'!B1711</f>
        <v>0</v>
      </c>
      <c r="B1709">
        <f>'Raw Data'!B1711</f>
        <v>354.94</v>
      </c>
      <c r="C1709">
        <f>'Site Data'!E1711</f>
        <v>0</v>
      </c>
      <c r="D1709" s="97">
        <f t="shared" si="54"/>
        <v>354.94</v>
      </c>
      <c r="E1709" s="98" t="str">
        <f t="shared" si="55"/>
        <v>Error</v>
      </c>
    </row>
    <row r="1710" spans="1:5" x14ac:dyDescent="0.25">
      <c r="A1710" s="95">
        <f>'Site Data'!B1712</f>
        <v>0</v>
      </c>
      <c r="B1710">
        <f>'Raw Data'!B1712</f>
        <v>354.94</v>
      </c>
      <c r="C1710">
        <f>'Site Data'!E1712</f>
        <v>0</v>
      </c>
      <c r="D1710" s="97">
        <f t="shared" si="54"/>
        <v>354.94</v>
      </c>
      <c r="E1710" s="98" t="str">
        <f t="shared" si="55"/>
        <v>Error</v>
      </c>
    </row>
    <row r="1711" spans="1:5" x14ac:dyDescent="0.25">
      <c r="A1711" s="95">
        <f>'Site Data'!B1713</f>
        <v>0</v>
      </c>
      <c r="B1711">
        <f>'Raw Data'!B1713</f>
        <v>354.94</v>
      </c>
      <c r="C1711">
        <f>'Site Data'!E1713</f>
        <v>0</v>
      </c>
      <c r="D1711" s="97">
        <f t="shared" si="54"/>
        <v>354.94</v>
      </c>
      <c r="E1711" s="98" t="str">
        <f t="shared" si="55"/>
        <v>Error</v>
      </c>
    </row>
    <row r="1712" spans="1:5" x14ac:dyDescent="0.25">
      <c r="A1712" s="95">
        <f>'Site Data'!B1714</f>
        <v>0</v>
      </c>
      <c r="B1712">
        <f>'Raw Data'!B1714</f>
        <v>354.94</v>
      </c>
      <c r="C1712">
        <f>'Site Data'!E1714</f>
        <v>0</v>
      </c>
      <c r="D1712" s="97">
        <f t="shared" si="54"/>
        <v>354.94</v>
      </c>
      <c r="E1712" s="98" t="str">
        <f t="shared" si="55"/>
        <v>Error</v>
      </c>
    </row>
    <row r="1713" spans="1:5" x14ac:dyDescent="0.25">
      <c r="A1713" s="95">
        <f>'Site Data'!B1715</f>
        <v>0</v>
      </c>
      <c r="B1713">
        <f>'Raw Data'!B1715</f>
        <v>354.65</v>
      </c>
      <c r="C1713">
        <f>'Site Data'!E1715</f>
        <v>0</v>
      </c>
      <c r="D1713" s="97">
        <f t="shared" si="54"/>
        <v>354.65</v>
      </c>
      <c r="E1713" s="98" t="str">
        <f t="shared" si="55"/>
        <v>Error</v>
      </c>
    </row>
    <row r="1714" spans="1:5" x14ac:dyDescent="0.25">
      <c r="A1714" s="95">
        <f>'Site Data'!B1716</f>
        <v>0</v>
      </c>
      <c r="B1714">
        <f>'Raw Data'!B1716</f>
        <v>354.65</v>
      </c>
      <c r="C1714">
        <f>'Site Data'!E1716</f>
        <v>0</v>
      </c>
      <c r="D1714" s="97">
        <f t="shared" si="54"/>
        <v>354.65</v>
      </c>
      <c r="E1714" s="98" t="str">
        <f t="shared" si="55"/>
        <v>Error</v>
      </c>
    </row>
    <row r="1715" spans="1:5" x14ac:dyDescent="0.25">
      <c r="A1715" s="95">
        <f>'Site Data'!B1717</f>
        <v>0</v>
      </c>
      <c r="B1715">
        <f>'Raw Data'!B1717</f>
        <v>354.58656386750471</v>
      </c>
      <c r="C1715">
        <f>'Site Data'!E1717</f>
        <v>0</v>
      </c>
      <c r="D1715" s="97">
        <f t="shared" si="54"/>
        <v>354.58656386750471</v>
      </c>
      <c r="E1715" s="98" t="str">
        <f t="shared" si="55"/>
        <v>Error</v>
      </c>
    </row>
    <row r="1716" spans="1:5" x14ac:dyDescent="0.25">
      <c r="A1716" s="95">
        <f>'Site Data'!B1718</f>
        <v>0</v>
      </c>
      <c r="B1716">
        <f>'Raw Data'!B1718</f>
        <v>354.57</v>
      </c>
      <c r="C1716">
        <f>'Site Data'!E1718</f>
        <v>0</v>
      </c>
      <c r="D1716" s="97">
        <f t="shared" si="54"/>
        <v>354.57</v>
      </c>
      <c r="E1716" s="98" t="str">
        <f t="shared" si="55"/>
        <v>Error</v>
      </c>
    </row>
    <row r="1717" spans="1:5" x14ac:dyDescent="0.25">
      <c r="A1717" s="95">
        <f>'Site Data'!B1719</f>
        <v>0</v>
      </c>
      <c r="B1717">
        <f>'Raw Data'!B1719</f>
        <v>354.5381005569833</v>
      </c>
      <c r="C1717">
        <f>'Site Data'!E1719</f>
        <v>0</v>
      </c>
      <c r="D1717" s="97">
        <f t="shared" si="54"/>
        <v>354.5381005569833</v>
      </c>
      <c r="E1717" s="98" t="str">
        <f t="shared" si="55"/>
        <v>Error</v>
      </c>
    </row>
    <row r="1718" spans="1:5" x14ac:dyDescent="0.25">
      <c r="A1718" s="95">
        <f>'Site Data'!B1720</f>
        <v>0</v>
      </c>
      <c r="B1718">
        <f>'Raw Data'!B1720</f>
        <v>354.53</v>
      </c>
      <c r="C1718">
        <f>'Site Data'!E1720</f>
        <v>0</v>
      </c>
      <c r="D1718" s="97">
        <f t="shared" si="54"/>
        <v>354.53</v>
      </c>
      <c r="E1718" s="98" t="str">
        <f t="shared" si="55"/>
        <v>Error</v>
      </c>
    </row>
    <row r="1719" spans="1:5" x14ac:dyDescent="0.25">
      <c r="A1719" s="95">
        <f>'Site Data'!B1721</f>
        <v>0</v>
      </c>
      <c r="B1719">
        <f>'Raw Data'!B1721</f>
        <v>354.53</v>
      </c>
      <c r="C1719">
        <f>'Site Data'!E1721</f>
        <v>0</v>
      </c>
      <c r="D1719" s="97">
        <f t="shared" si="54"/>
        <v>354.53</v>
      </c>
      <c r="E1719" s="98" t="str">
        <f t="shared" si="55"/>
        <v>Error</v>
      </c>
    </row>
    <row r="1720" spans="1:5" x14ac:dyDescent="0.25">
      <c r="A1720" s="95">
        <f>'Site Data'!B1722</f>
        <v>0</v>
      </c>
      <c r="B1720">
        <f>'Raw Data'!B1722</f>
        <v>354.53</v>
      </c>
      <c r="C1720">
        <f>'Site Data'!E1722</f>
        <v>0</v>
      </c>
      <c r="D1720" s="97">
        <f t="shared" si="54"/>
        <v>354.53</v>
      </c>
      <c r="E1720" s="98" t="str">
        <f t="shared" si="55"/>
        <v>Error</v>
      </c>
    </row>
    <row r="1721" spans="1:5" x14ac:dyDescent="0.25">
      <c r="A1721" s="95">
        <f>'Site Data'!B1723</f>
        <v>0</v>
      </c>
      <c r="B1721">
        <f>'Raw Data'!B1723</f>
        <v>354.47</v>
      </c>
      <c r="C1721">
        <f>'Site Data'!E1723</f>
        <v>0</v>
      </c>
      <c r="D1721" s="97">
        <f t="shared" si="54"/>
        <v>354.47</v>
      </c>
      <c r="E1721" s="98" t="str">
        <f t="shared" si="55"/>
        <v>Error</v>
      </c>
    </row>
    <row r="1722" spans="1:5" x14ac:dyDescent="0.25">
      <c r="A1722" s="95">
        <f>'Site Data'!B1724</f>
        <v>0</v>
      </c>
      <c r="B1722">
        <f>'Raw Data'!B1724</f>
        <v>354.47</v>
      </c>
      <c r="C1722">
        <f>'Site Data'!E1724</f>
        <v>0</v>
      </c>
      <c r="D1722" s="97">
        <f t="shared" si="54"/>
        <v>354.47</v>
      </c>
      <c r="E1722" s="98" t="str">
        <f t="shared" si="55"/>
        <v>Error</v>
      </c>
    </row>
    <row r="1723" spans="1:5" x14ac:dyDescent="0.25">
      <c r="A1723" s="95">
        <f>'Site Data'!B1725</f>
        <v>0</v>
      </c>
      <c r="B1723">
        <f>'Raw Data'!B1725</f>
        <v>354.47</v>
      </c>
      <c r="C1723">
        <f>'Site Data'!E1725</f>
        <v>0</v>
      </c>
      <c r="D1723" s="97">
        <f t="shared" si="54"/>
        <v>354.47</v>
      </c>
      <c r="E1723" s="98" t="str">
        <f t="shared" si="55"/>
        <v>Error</v>
      </c>
    </row>
    <row r="1724" spans="1:5" x14ac:dyDescent="0.25">
      <c r="A1724" s="95">
        <f>'Site Data'!B1726</f>
        <v>0</v>
      </c>
      <c r="B1724">
        <f>'Raw Data'!B1726</f>
        <v>354.47</v>
      </c>
      <c r="C1724">
        <f>'Site Data'!E1726</f>
        <v>0</v>
      </c>
      <c r="D1724" s="97">
        <f t="shared" si="54"/>
        <v>354.47</v>
      </c>
      <c r="E1724" s="98" t="str">
        <f t="shared" si="55"/>
        <v>Error</v>
      </c>
    </row>
    <row r="1725" spans="1:5" x14ac:dyDescent="0.25">
      <c r="A1725" s="95">
        <f>'Site Data'!B1727</f>
        <v>0</v>
      </c>
      <c r="B1725">
        <f>'Raw Data'!B1727</f>
        <v>354.47</v>
      </c>
      <c r="C1725">
        <f>'Site Data'!E1727</f>
        <v>0</v>
      </c>
      <c r="D1725" s="97">
        <f t="shared" si="54"/>
        <v>354.47</v>
      </c>
      <c r="E1725" s="98" t="str">
        <f t="shared" si="55"/>
        <v>Error</v>
      </c>
    </row>
    <row r="1726" spans="1:5" x14ac:dyDescent="0.25">
      <c r="A1726" s="95">
        <f>'Site Data'!B1728</f>
        <v>0</v>
      </c>
      <c r="B1726">
        <f>'Raw Data'!B1728</f>
        <v>354.47</v>
      </c>
      <c r="C1726">
        <f>'Site Data'!E1728</f>
        <v>0</v>
      </c>
      <c r="D1726" s="97">
        <f t="shared" si="54"/>
        <v>354.47</v>
      </c>
      <c r="E1726" s="98" t="str">
        <f t="shared" si="55"/>
        <v>Error</v>
      </c>
    </row>
    <row r="1727" spans="1:5" x14ac:dyDescent="0.25">
      <c r="A1727" s="95">
        <f>'Site Data'!B1729</f>
        <v>0</v>
      </c>
      <c r="B1727">
        <f>'Raw Data'!B1729</f>
        <v>354.47555848737863</v>
      </c>
      <c r="C1727">
        <f>'Site Data'!E1729</f>
        <v>0</v>
      </c>
      <c r="D1727" s="97">
        <f t="shared" si="54"/>
        <v>354.47555848737863</v>
      </c>
      <c r="E1727" s="98" t="str">
        <f t="shared" si="55"/>
        <v>Error</v>
      </c>
    </row>
    <row r="1728" spans="1:5" x14ac:dyDescent="0.25">
      <c r="A1728" s="95">
        <f>'Site Data'!B1730</f>
        <v>0</v>
      </c>
      <c r="B1728">
        <f>'Raw Data'!B1730</f>
        <v>354.56</v>
      </c>
      <c r="C1728">
        <f>'Site Data'!E1730</f>
        <v>0</v>
      </c>
      <c r="D1728" s="97">
        <f t="shared" si="54"/>
        <v>354.56</v>
      </c>
      <c r="E1728" s="98" t="str">
        <f t="shared" si="55"/>
        <v>Error</v>
      </c>
    </row>
    <row r="1729" spans="1:5" x14ac:dyDescent="0.25">
      <c r="A1729" s="95">
        <f>'Site Data'!B1731</f>
        <v>0</v>
      </c>
      <c r="B1729">
        <f>'Raw Data'!B1731</f>
        <v>354.56273192467972</v>
      </c>
      <c r="C1729">
        <f>'Site Data'!E1731</f>
        <v>0</v>
      </c>
      <c r="D1729" s="97">
        <f t="shared" si="54"/>
        <v>354.56273192467972</v>
      </c>
      <c r="E1729" s="98" t="str">
        <f t="shared" si="55"/>
        <v>Error</v>
      </c>
    </row>
    <row r="1730" spans="1:5" x14ac:dyDescent="0.25">
      <c r="A1730" s="95">
        <f>'Site Data'!B1732</f>
        <v>0</v>
      </c>
      <c r="B1730">
        <f>'Raw Data'!B1732</f>
        <v>354.6</v>
      </c>
      <c r="C1730">
        <f>'Site Data'!E1732</f>
        <v>0</v>
      </c>
      <c r="D1730" s="97">
        <f t="shared" ref="D1730:D1793" si="56">B1730-C1730</f>
        <v>354.6</v>
      </c>
      <c r="E1730" s="98" t="str">
        <f t="shared" ref="E1730:E1793" si="57">IF(AND(D1730 &gt;= 50, D1730 &lt;= 60), "Valid", "Error")</f>
        <v>Error</v>
      </c>
    </row>
    <row r="1731" spans="1:5" x14ac:dyDescent="0.25">
      <c r="A1731" s="95">
        <f>'Site Data'!B1733</f>
        <v>0</v>
      </c>
      <c r="B1731">
        <f>'Raw Data'!B1733</f>
        <v>354.60759719129567</v>
      </c>
      <c r="C1731">
        <f>'Site Data'!E1733</f>
        <v>0</v>
      </c>
      <c r="D1731" s="97">
        <f t="shared" si="56"/>
        <v>354.60759719129567</v>
      </c>
      <c r="E1731" s="98" t="str">
        <f t="shared" si="57"/>
        <v>Error</v>
      </c>
    </row>
    <row r="1732" spans="1:5" x14ac:dyDescent="0.25">
      <c r="A1732" s="95">
        <f>'Site Data'!B1734</f>
        <v>0</v>
      </c>
      <c r="B1732">
        <f>'Raw Data'!B1734</f>
        <v>354.69</v>
      </c>
      <c r="C1732">
        <f>'Site Data'!E1734</f>
        <v>0</v>
      </c>
      <c r="D1732" s="97">
        <f t="shared" si="56"/>
        <v>354.69</v>
      </c>
      <c r="E1732" s="98" t="str">
        <f t="shared" si="57"/>
        <v>Error</v>
      </c>
    </row>
    <row r="1733" spans="1:5" x14ac:dyDescent="0.25">
      <c r="A1733" s="95">
        <f>'Site Data'!B1735</f>
        <v>0</v>
      </c>
      <c r="B1733">
        <f>'Raw Data'!B1735</f>
        <v>354.70169478234487</v>
      </c>
      <c r="C1733">
        <f>'Site Data'!E1735</f>
        <v>0</v>
      </c>
      <c r="D1733" s="97">
        <f t="shared" si="56"/>
        <v>354.70169478234487</v>
      </c>
      <c r="E1733" s="98" t="str">
        <f t="shared" si="57"/>
        <v>Error</v>
      </c>
    </row>
    <row r="1734" spans="1:5" x14ac:dyDescent="0.25">
      <c r="A1734" s="95">
        <f>'Site Data'!B1736</f>
        <v>0</v>
      </c>
      <c r="B1734">
        <f>'Raw Data'!B1736</f>
        <v>354.78</v>
      </c>
      <c r="C1734">
        <f>'Site Data'!E1736</f>
        <v>0</v>
      </c>
      <c r="D1734" s="97">
        <f t="shared" si="56"/>
        <v>354.78</v>
      </c>
      <c r="E1734" s="98" t="str">
        <f t="shared" si="57"/>
        <v>Error</v>
      </c>
    </row>
    <row r="1735" spans="1:5" x14ac:dyDescent="0.25">
      <c r="A1735" s="95">
        <f>'Site Data'!B1737</f>
        <v>0</v>
      </c>
      <c r="B1735">
        <f>'Raw Data'!B1737</f>
        <v>354.79013591691216</v>
      </c>
      <c r="C1735">
        <f>'Site Data'!E1737</f>
        <v>0</v>
      </c>
      <c r="D1735" s="97">
        <f t="shared" si="56"/>
        <v>354.79013591691216</v>
      </c>
      <c r="E1735" s="98" t="str">
        <f t="shared" si="57"/>
        <v>Error</v>
      </c>
    </row>
    <row r="1736" spans="1:5" x14ac:dyDescent="0.25">
      <c r="A1736" s="95">
        <f>'Site Data'!B1738</f>
        <v>0</v>
      </c>
      <c r="B1736">
        <f>'Raw Data'!B1738</f>
        <v>354.85</v>
      </c>
      <c r="C1736">
        <f>'Site Data'!E1738</f>
        <v>0</v>
      </c>
      <c r="D1736" s="97">
        <f t="shared" si="56"/>
        <v>354.85</v>
      </c>
      <c r="E1736" s="98" t="str">
        <f t="shared" si="57"/>
        <v>Error</v>
      </c>
    </row>
    <row r="1737" spans="1:5" x14ac:dyDescent="0.25">
      <c r="A1737" s="95">
        <f>'Site Data'!B1739</f>
        <v>0</v>
      </c>
      <c r="B1737">
        <f>'Raw Data'!B1739</f>
        <v>354.85</v>
      </c>
      <c r="C1737">
        <f>'Site Data'!E1739</f>
        <v>0</v>
      </c>
      <c r="D1737" s="97">
        <f t="shared" si="56"/>
        <v>354.85</v>
      </c>
      <c r="E1737" s="98" t="str">
        <f t="shared" si="57"/>
        <v>Error</v>
      </c>
    </row>
    <row r="1738" spans="1:5" x14ac:dyDescent="0.25">
      <c r="A1738" s="95">
        <f>'Site Data'!B1740</f>
        <v>0</v>
      </c>
      <c r="B1738">
        <f>'Raw Data'!B1740</f>
        <v>354.85</v>
      </c>
      <c r="C1738">
        <f>'Site Data'!E1740</f>
        <v>0</v>
      </c>
      <c r="D1738" s="97">
        <f t="shared" si="56"/>
        <v>354.85</v>
      </c>
      <c r="E1738" s="98" t="str">
        <f t="shared" si="57"/>
        <v>Error</v>
      </c>
    </row>
    <row r="1739" spans="1:5" x14ac:dyDescent="0.25">
      <c r="A1739" s="95">
        <f>'Site Data'!B1741</f>
        <v>0</v>
      </c>
      <c r="B1739">
        <f>'Raw Data'!B1741</f>
        <v>354.85</v>
      </c>
      <c r="C1739">
        <f>'Site Data'!E1741</f>
        <v>0</v>
      </c>
      <c r="D1739" s="97">
        <f t="shared" si="56"/>
        <v>354.85</v>
      </c>
      <c r="E1739" s="98" t="str">
        <f t="shared" si="57"/>
        <v>Error</v>
      </c>
    </row>
    <row r="1740" spans="1:5" x14ac:dyDescent="0.25">
      <c r="A1740" s="95">
        <f>'Site Data'!B1742</f>
        <v>0</v>
      </c>
      <c r="B1740">
        <f>'Raw Data'!B1742</f>
        <v>354.85</v>
      </c>
      <c r="C1740">
        <f>'Site Data'!E1742</f>
        <v>0</v>
      </c>
      <c r="D1740" s="97">
        <f t="shared" si="56"/>
        <v>354.85</v>
      </c>
      <c r="E1740" s="98" t="str">
        <f t="shared" si="57"/>
        <v>Error</v>
      </c>
    </row>
    <row r="1741" spans="1:5" x14ac:dyDescent="0.25">
      <c r="A1741" s="95">
        <f>'Site Data'!B1743</f>
        <v>0</v>
      </c>
      <c r="B1741">
        <f>'Raw Data'!B1743</f>
        <v>354.86703516114579</v>
      </c>
      <c r="C1741">
        <f>'Site Data'!E1743</f>
        <v>0</v>
      </c>
      <c r="D1741" s="97">
        <f t="shared" si="56"/>
        <v>354.86703516114579</v>
      </c>
      <c r="E1741" s="98" t="str">
        <f t="shared" si="57"/>
        <v>Error</v>
      </c>
    </row>
    <row r="1742" spans="1:5" x14ac:dyDescent="0.25">
      <c r="A1742" s="95">
        <f>'Site Data'!B1744</f>
        <v>0</v>
      </c>
      <c r="B1742">
        <f>'Raw Data'!B1744</f>
        <v>354.96</v>
      </c>
      <c r="C1742">
        <f>'Site Data'!E1744</f>
        <v>0</v>
      </c>
      <c r="D1742" s="97">
        <f t="shared" si="56"/>
        <v>354.96</v>
      </c>
      <c r="E1742" s="98" t="str">
        <f t="shared" si="57"/>
        <v>Error</v>
      </c>
    </row>
    <row r="1743" spans="1:5" x14ac:dyDescent="0.25">
      <c r="A1743" s="95">
        <f>'Site Data'!B1745</f>
        <v>0</v>
      </c>
      <c r="B1743">
        <f>'Raw Data'!B1745</f>
        <v>354.96492035177863</v>
      </c>
      <c r="C1743">
        <f>'Site Data'!E1745</f>
        <v>0</v>
      </c>
      <c r="D1743" s="97">
        <f t="shared" si="56"/>
        <v>354.96492035177863</v>
      </c>
      <c r="E1743" s="98" t="str">
        <f t="shared" si="57"/>
        <v>Error</v>
      </c>
    </row>
    <row r="1744" spans="1:5" x14ac:dyDescent="0.25">
      <c r="A1744" s="95">
        <f>'Site Data'!B1746</f>
        <v>0</v>
      </c>
      <c r="B1744">
        <f>'Raw Data'!B1746</f>
        <v>354.99</v>
      </c>
      <c r="C1744">
        <f>'Site Data'!E1746</f>
        <v>0</v>
      </c>
      <c r="D1744" s="97">
        <f t="shared" si="56"/>
        <v>354.99</v>
      </c>
      <c r="E1744" s="98" t="str">
        <f t="shared" si="57"/>
        <v>Error</v>
      </c>
    </row>
    <row r="1745" spans="1:5" x14ac:dyDescent="0.25">
      <c r="A1745" s="95">
        <f>'Site Data'!B1747</f>
        <v>0</v>
      </c>
      <c r="B1745">
        <f>'Raw Data'!B1747</f>
        <v>354.99767975560246</v>
      </c>
      <c r="C1745">
        <f>'Site Data'!E1747</f>
        <v>0</v>
      </c>
      <c r="D1745" s="97">
        <f t="shared" si="56"/>
        <v>354.99767975560246</v>
      </c>
      <c r="E1745" s="98" t="str">
        <f t="shared" si="57"/>
        <v>Error</v>
      </c>
    </row>
    <row r="1746" spans="1:5" x14ac:dyDescent="0.25">
      <c r="A1746" s="95">
        <f>'Site Data'!B1748</f>
        <v>0</v>
      </c>
      <c r="B1746">
        <f>'Raw Data'!B1748</f>
        <v>355.01</v>
      </c>
      <c r="C1746">
        <f>'Site Data'!E1748</f>
        <v>0</v>
      </c>
      <c r="D1746" s="97">
        <f t="shared" si="56"/>
        <v>355.01</v>
      </c>
      <c r="E1746" s="98" t="str">
        <f t="shared" si="57"/>
        <v>Error</v>
      </c>
    </row>
    <row r="1747" spans="1:5" x14ac:dyDescent="0.25">
      <c r="A1747" s="95">
        <f>'Site Data'!B1749</f>
        <v>0</v>
      </c>
      <c r="B1747">
        <f>'Raw Data'!B1749</f>
        <v>355.03005277373353</v>
      </c>
      <c r="C1747">
        <f>'Site Data'!E1749</f>
        <v>0</v>
      </c>
      <c r="D1747" s="97">
        <f t="shared" si="56"/>
        <v>355.03005277373353</v>
      </c>
      <c r="E1747" s="98" t="str">
        <f t="shared" si="57"/>
        <v>Error</v>
      </c>
    </row>
    <row r="1748" spans="1:5" x14ac:dyDescent="0.25">
      <c r="A1748" s="95">
        <f>'Site Data'!B1750</f>
        <v>0</v>
      </c>
      <c r="B1748">
        <f>'Raw Data'!B1750</f>
        <v>355.04</v>
      </c>
      <c r="C1748">
        <f>'Site Data'!E1750</f>
        <v>0</v>
      </c>
      <c r="D1748" s="97">
        <f t="shared" si="56"/>
        <v>355.04</v>
      </c>
      <c r="E1748" s="98" t="str">
        <f t="shared" si="57"/>
        <v>Error</v>
      </c>
    </row>
    <row r="1749" spans="1:5" x14ac:dyDescent="0.25">
      <c r="A1749" s="95">
        <f>'Site Data'!B1751</f>
        <v>0</v>
      </c>
      <c r="B1749">
        <f>'Raw Data'!B1751</f>
        <v>355.05343448474156</v>
      </c>
      <c r="C1749">
        <f>'Site Data'!E1751</f>
        <v>0</v>
      </c>
      <c r="D1749" s="97">
        <f t="shared" si="56"/>
        <v>355.05343448474156</v>
      </c>
      <c r="E1749" s="98" t="str">
        <f t="shared" si="57"/>
        <v>Error</v>
      </c>
    </row>
    <row r="1750" spans="1:5" x14ac:dyDescent="0.25">
      <c r="A1750" s="95">
        <f>'Site Data'!B1752</f>
        <v>0</v>
      </c>
      <c r="B1750">
        <f>'Raw Data'!B1752</f>
        <v>355.06</v>
      </c>
      <c r="C1750">
        <f>'Site Data'!E1752</f>
        <v>0</v>
      </c>
      <c r="D1750" s="97">
        <f t="shared" si="56"/>
        <v>355.06</v>
      </c>
      <c r="E1750" s="98" t="str">
        <f t="shared" si="57"/>
        <v>Error</v>
      </c>
    </row>
    <row r="1751" spans="1:5" x14ac:dyDescent="0.25">
      <c r="A1751" s="95">
        <f>'Site Data'!B1753</f>
        <v>0</v>
      </c>
      <c r="B1751">
        <f>'Raw Data'!B1753</f>
        <v>355.06</v>
      </c>
      <c r="C1751">
        <f>'Site Data'!E1753</f>
        <v>0</v>
      </c>
      <c r="D1751" s="97">
        <f t="shared" si="56"/>
        <v>355.06</v>
      </c>
      <c r="E1751" s="98" t="str">
        <f t="shared" si="57"/>
        <v>Error</v>
      </c>
    </row>
    <row r="1752" spans="1:5" x14ac:dyDescent="0.25">
      <c r="A1752" s="95">
        <f>'Site Data'!B1754</f>
        <v>0</v>
      </c>
      <c r="B1752">
        <f>'Raw Data'!B1754</f>
        <v>355.06</v>
      </c>
      <c r="C1752">
        <f>'Site Data'!E1754</f>
        <v>0</v>
      </c>
      <c r="D1752" s="97">
        <f t="shared" si="56"/>
        <v>355.06</v>
      </c>
      <c r="E1752" s="98" t="str">
        <f t="shared" si="57"/>
        <v>Error</v>
      </c>
    </row>
    <row r="1753" spans="1:5" x14ac:dyDescent="0.25">
      <c r="A1753" s="95">
        <f>'Site Data'!B1755</f>
        <v>0</v>
      </c>
      <c r="B1753">
        <f>'Raw Data'!B1755</f>
        <v>355.06</v>
      </c>
      <c r="C1753">
        <f>'Site Data'!E1755</f>
        <v>0</v>
      </c>
      <c r="D1753" s="97">
        <f t="shared" si="56"/>
        <v>355.06</v>
      </c>
      <c r="E1753" s="98" t="str">
        <f t="shared" si="57"/>
        <v>Error</v>
      </c>
    </row>
    <row r="1754" spans="1:5" x14ac:dyDescent="0.25">
      <c r="A1754" s="95">
        <f>'Site Data'!B1756</f>
        <v>0</v>
      </c>
      <c r="B1754">
        <f>'Raw Data'!B1756</f>
        <v>355.06</v>
      </c>
      <c r="C1754">
        <f>'Site Data'!E1756</f>
        <v>0</v>
      </c>
      <c r="D1754" s="97">
        <f t="shared" si="56"/>
        <v>355.06</v>
      </c>
      <c r="E1754" s="98" t="str">
        <f t="shared" si="57"/>
        <v>Error</v>
      </c>
    </row>
    <row r="1755" spans="1:5" x14ac:dyDescent="0.25">
      <c r="A1755" s="95">
        <f>'Site Data'!B1757</f>
        <v>0</v>
      </c>
      <c r="B1755">
        <f>'Raw Data'!B1757</f>
        <v>355.10057962828017</v>
      </c>
      <c r="C1755">
        <f>'Site Data'!E1757</f>
        <v>0</v>
      </c>
      <c r="D1755" s="97">
        <f t="shared" si="56"/>
        <v>355.10057962828017</v>
      </c>
      <c r="E1755" s="98" t="str">
        <f t="shared" si="57"/>
        <v>Error</v>
      </c>
    </row>
    <row r="1756" spans="1:5" x14ac:dyDescent="0.25">
      <c r="A1756" s="95">
        <f>'Site Data'!B1758</f>
        <v>0</v>
      </c>
      <c r="B1756">
        <f>'Raw Data'!B1758</f>
        <v>355.12</v>
      </c>
      <c r="C1756">
        <f>'Site Data'!E1758</f>
        <v>0</v>
      </c>
      <c r="D1756" s="97">
        <f t="shared" si="56"/>
        <v>355.12</v>
      </c>
      <c r="E1756" s="98" t="str">
        <f t="shared" si="57"/>
        <v>Error</v>
      </c>
    </row>
    <row r="1757" spans="1:5" x14ac:dyDescent="0.25">
      <c r="A1757" s="95">
        <f>'Site Data'!B1759</f>
        <v>0</v>
      </c>
      <c r="B1757">
        <f>'Raw Data'!B1759</f>
        <v>355.13381162380642</v>
      </c>
      <c r="C1757">
        <f>'Site Data'!E1759</f>
        <v>0</v>
      </c>
      <c r="D1757" s="97">
        <f t="shared" si="56"/>
        <v>355.13381162380642</v>
      </c>
      <c r="E1757" s="98" t="str">
        <f t="shared" si="57"/>
        <v>Error</v>
      </c>
    </row>
    <row r="1758" spans="1:5" x14ac:dyDescent="0.25">
      <c r="A1758" s="95">
        <f>'Site Data'!B1760</f>
        <v>0</v>
      </c>
      <c r="B1758">
        <f>'Raw Data'!B1760</f>
        <v>355.14</v>
      </c>
      <c r="C1758">
        <f>'Site Data'!E1760</f>
        <v>0</v>
      </c>
      <c r="D1758" s="97">
        <f t="shared" si="56"/>
        <v>355.14</v>
      </c>
      <c r="E1758" s="98" t="str">
        <f t="shared" si="57"/>
        <v>Error</v>
      </c>
    </row>
    <row r="1759" spans="1:5" x14ac:dyDescent="0.25">
      <c r="A1759" s="95">
        <f>'Site Data'!B1761</f>
        <v>0</v>
      </c>
      <c r="B1759">
        <f>'Raw Data'!B1761</f>
        <v>355.1427243704502</v>
      </c>
      <c r="C1759">
        <f>'Site Data'!E1761</f>
        <v>0</v>
      </c>
      <c r="D1759" s="97">
        <f t="shared" si="56"/>
        <v>355.1427243704502</v>
      </c>
      <c r="E1759" s="98" t="str">
        <f t="shared" si="57"/>
        <v>Error</v>
      </c>
    </row>
    <row r="1760" spans="1:5" x14ac:dyDescent="0.25">
      <c r="A1760" s="95">
        <f>'Site Data'!B1762</f>
        <v>0</v>
      </c>
      <c r="B1760">
        <f>'Raw Data'!B1762</f>
        <v>355.16</v>
      </c>
      <c r="C1760">
        <f>'Site Data'!E1762</f>
        <v>0</v>
      </c>
      <c r="D1760" s="97">
        <f t="shared" si="56"/>
        <v>355.16</v>
      </c>
      <c r="E1760" s="98" t="str">
        <f t="shared" si="57"/>
        <v>Error</v>
      </c>
    </row>
    <row r="1761" spans="1:5" x14ac:dyDescent="0.25">
      <c r="A1761" s="95">
        <f>'Site Data'!B1763</f>
        <v>0</v>
      </c>
      <c r="B1761">
        <f>'Raw Data'!B1763</f>
        <v>355.16151944761765</v>
      </c>
      <c r="C1761">
        <f>'Site Data'!E1763</f>
        <v>0</v>
      </c>
      <c r="D1761" s="97">
        <f t="shared" si="56"/>
        <v>355.16151944761765</v>
      </c>
      <c r="E1761" s="98" t="str">
        <f t="shared" si="57"/>
        <v>Error</v>
      </c>
    </row>
    <row r="1762" spans="1:5" x14ac:dyDescent="0.25">
      <c r="A1762" s="95">
        <f>'Site Data'!B1764</f>
        <v>0</v>
      </c>
      <c r="B1762">
        <f>'Raw Data'!B1764</f>
        <v>355.17</v>
      </c>
      <c r="C1762">
        <f>'Site Data'!E1764</f>
        <v>0</v>
      </c>
      <c r="D1762" s="97">
        <f t="shared" si="56"/>
        <v>355.17</v>
      </c>
      <c r="E1762" s="98" t="str">
        <f t="shared" si="57"/>
        <v>Error</v>
      </c>
    </row>
    <row r="1763" spans="1:5" x14ac:dyDescent="0.25">
      <c r="A1763" s="95">
        <f>'Site Data'!B1765</f>
        <v>0</v>
      </c>
      <c r="B1763">
        <f>'Raw Data'!B1765</f>
        <v>355.17</v>
      </c>
      <c r="C1763">
        <f>'Site Data'!E1765</f>
        <v>0</v>
      </c>
      <c r="D1763" s="97">
        <f t="shared" si="56"/>
        <v>355.17</v>
      </c>
      <c r="E1763" s="98" t="str">
        <f t="shared" si="57"/>
        <v>Error</v>
      </c>
    </row>
    <row r="1764" spans="1:5" x14ac:dyDescent="0.25">
      <c r="A1764" s="95">
        <f>'Site Data'!B1766</f>
        <v>0</v>
      </c>
      <c r="B1764">
        <f>'Raw Data'!B1766</f>
        <v>355.17</v>
      </c>
      <c r="C1764">
        <f>'Site Data'!E1766</f>
        <v>0</v>
      </c>
      <c r="D1764" s="97">
        <f t="shared" si="56"/>
        <v>355.17</v>
      </c>
      <c r="E1764" s="98" t="str">
        <f t="shared" si="57"/>
        <v>Error</v>
      </c>
    </row>
    <row r="1765" spans="1:5" x14ac:dyDescent="0.25">
      <c r="A1765" s="95">
        <f>'Site Data'!B1767</f>
        <v>0</v>
      </c>
      <c r="B1765">
        <f>'Raw Data'!B1767</f>
        <v>355.17</v>
      </c>
      <c r="C1765">
        <f>'Site Data'!E1767</f>
        <v>0</v>
      </c>
      <c r="D1765" s="97">
        <f t="shared" si="56"/>
        <v>355.17</v>
      </c>
      <c r="E1765" s="98" t="str">
        <f t="shared" si="57"/>
        <v>Error</v>
      </c>
    </row>
    <row r="1766" spans="1:5" x14ac:dyDescent="0.25">
      <c r="A1766" s="95">
        <f>'Site Data'!B1768</f>
        <v>0</v>
      </c>
      <c r="B1766">
        <f>'Raw Data'!B1768</f>
        <v>355.17</v>
      </c>
      <c r="C1766">
        <f>'Site Data'!E1768</f>
        <v>0</v>
      </c>
      <c r="D1766" s="97">
        <f t="shared" si="56"/>
        <v>355.17</v>
      </c>
      <c r="E1766" s="98" t="str">
        <f t="shared" si="57"/>
        <v>Error</v>
      </c>
    </row>
    <row r="1767" spans="1:5" x14ac:dyDescent="0.25">
      <c r="A1767" s="95">
        <f>'Site Data'!B1769</f>
        <v>0</v>
      </c>
      <c r="B1767">
        <f>'Raw Data'!B1769</f>
        <v>355.17</v>
      </c>
      <c r="C1767">
        <f>'Site Data'!E1769</f>
        <v>0</v>
      </c>
      <c r="D1767" s="97">
        <f t="shared" si="56"/>
        <v>355.17</v>
      </c>
      <c r="E1767" s="98" t="str">
        <f t="shared" si="57"/>
        <v>Error</v>
      </c>
    </row>
    <row r="1768" spans="1:5" x14ac:dyDescent="0.25">
      <c r="A1768" s="95">
        <f>'Site Data'!B1770</f>
        <v>0</v>
      </c>
      <c r="B1768">
        <f>'Raw Data'!B1770</f>
        <v>355.17</v>
      </c>
      <c r="C1768">
        <f>'Site Data'!E1770</f>
        <v>0</v>
      </c>
      <c r="D1768" s="97">
        <f t="shared" si="56"/>
        <v>355.17</v>
      </c>
      <c r="E1768" s="98" t="str">
        <f t="shared" si="57"/>
        <v>Error</v>
      </c>
    </row>
    <row r="1769" spans="1:5" x14ac:dyDescent="0.25">
      <c r="A1769" s="95">
        <f>'Site Data'!B1771</f>
        <v>0</v>
      </c>
      <c r="B1769">
        <f>'Raw Data'!B1771</f>
        <v>355.1931646404646</v>
      </c>
      <c r="C1769">
        <f>'Site Data'!E1771</f>
        <v>0</v>
      </c>
      <c r="D1769" s="97">
        <f t="shared" si="56"/>
        <v>355.1931646404646</v>
      </c>
      <c r="E1769" s="98" t="str">
        <f t="shared" si="57"/>
        <v>Error</v>
      </c>
    </row>
    <row r="1770" spans="1:5" x14ac:dyDescent="0.25">
      <c r="A1770" s="95">
        <f>'Site Data'!B1772</f>
        <v>0</v>
      </c>
      <c r="B1770">
        <f>'Raw Data'!B1772</f>
        <v>355.32</v>
      </c>
      <c r="C1770">
        <f>'Site Data'!E1772</f>
        <v>0</v>
      </c>
      <c r="D1770" s="97">
        <f t="shared" si="56"/>
        <v>355.32</v>
      </c>
      <c r="E1770" s="98" t="str">
        <f t="shared" si="57"/>
        <v>Error</v>
      </c>
    </row>
    <row r="1771" spans="1:5" x14ac:dyDescent="0.25">
      <c r="A1771" s="95">
        <f>'Site Data'!B1773</f>
        <v>0</v>
      </c>
      <c r="B1771">
        <f>'Raw Data'!B1773</f>
        <v>355.32321475670108</v>
      </c>
      <c r="C1771">
        <f>'Site Data'!E1773</f>
        <v>0</v>
      </c>
      <c r="D1771" s="97">
        <f t="shared" si="56"/>
        <v>355.32321475670108</v>
      </c>
      <c r="E1771" s="98" t="str">
        <f t="shared" si="57"/>
        <v>Error</v>
      </c>
    </row>
    <row r="1772" spans="1:5" x14ac:dyDescent="0.25">
      <c r="A1772" s="95">
        <f>'Site Data'!B1774</f>
        <v>0</v>
      </c>
      <c r="B1772">
        <f>'Raw Data'!B1774</f>
        <v>355.34</v>
      </c>
      <c r="C1772">
        <f>'Site Data'!E1774</f>
        <v>0</v>
      </c>
      <c r="D1772" s="97">
        <f t="shared" si="56"/>
        <v>355.34</v>
      </c>
      <c r="E1772" s="98" t="str">
        <f t="shared" si="57"/>
        <v>Error</v>
      </c>
    </row>
    <row r="1773" spans="1:5" x14ac:dyDescent="0.25">
      <c r="A1773" s="95">
        <f>'Site Data'!B1775</f>
        <v>0</v>
      </c>
      <c r="B1773">
        <f>'Raw Data'!B1775</f>
        <v>355.34497460854971</v>
      </c>
      <c r="C1773">
        <f>'Site Data'!E1775</f>
        <v>0</v>
      </c>
      <c r="D1773" s="97">
        <f t="shared" si="56"/>
        <v>355.34497460854971</v>
      </c>
      <c r="E1773" s="98" t="str">
        <f t="shared" si="57"/>
        <v>Error</v>
      </c>
    </row>
    <row r="1774" spans="1:5" x14ac:dyDescent="0.25">
      <c r="A1774" s="95">
        <f>'Site Data'!B1776</f>
        <v>0</v>
      </c>
      <c r="B1774">
        <f>'Raw Data'!B1776</f>
        <v>355.37</v>
      </c>
      <c r="C1774">
        <f>'Site Data'!E1776</f>
        <v>0</v>
      </c>
      <c r="D1774" s="97">
        <f t="shared" si="56"/>
        <v>355.37</v>
      </c>
      <c r="E1774" s="98" t="str">
        <f t="shared" si="57"/>
        <v>Error</v>
      </c>
    </row>
    <row r="1775" spans="1:5" x14ac:dyDescent="0.25">
      <c r="A1775" s="95">
        <f>'Site Data'!B1777</f>
        <v>0</v>
      </c>
      <c r="B1775">
        <f>'Raw Data'!B1777</f>
        <v>355.3752065176281</v>
      </c>
      <c r="C1775">
        <f>'Site Data'!E1777</f>
        <v>0</v>
      </c>
      <c r="D1775" s="97">
        <f t="shared" si="56"/>
        <v>355.3752065176281</v>
      </c>
      <c r="E1775" s="98" t="str">
        <f t="shared" si="57"/>
        <v>Error</v>
      </c>
    </row>
    <row r="1776" spans="1:5" x14ac:dyDescent="0.25">
      <c r="A1776" s="95">
        <f>'Site Data'!B1778</f>
        <v>0</v>
      </c>
      <c r="B1776">
        <f>'Raw Data'!B1778</f>
        <v>355.4</v>
      </c>
      <c r="C1776">
        <f>'Site Data'!E1778</f>
        <v>0</v>
      </c>
      <c r="D1776" s="97">
        <f t="shared" si="56"/>
        <v>355.4</v>
      </c>
      <c r="E1776" s="98" t="str">
        <f t="shared" si="57"/>
        <v>Error</v>
      </c>
    </row>
    <row r="1777" spans="1:5" x14ac:dyDescent="0.25">
      <c r="A1777" s="95">
        <f>'Site Data'!B1779</f>
        <v>0</v>
      </c>
      <c r="B1777">
        <f>'Raw Data'!B1779</f>
        <v>355.4</v>
      </c>
      <c r="C1777">
        <f>'Site Data'!E1779</f>
        <v>0</v>
      </c>
      <c r="D1777" s="97">
        <f t="shared" si="56"/>
        <v>355.4</v>
      </c>
      <c r="E1777" s="98" t="str">
        <f t="shared" si="57"/>
        <v>Error</v>
      </c>
    </row>
    <row r="1778" spans="1:5" x14ac:dyDescent="0.25">
      <c r="A1778" s="95">
        <f>'Site Data'!B1780</f>
        <v>0</v>
      </c>
      <c r="B1778">
        <f>'Raw Data'!B1780</f>
        <v>355.4</v>
      </c>
      <c r="C1778">
        <f>'Site Data'!E1780</f>
        <v>0</v>
      </c>
      <c r="D1778" s="97">
        <f t="shared" si="56"/>
        <v>355.4</v>
      </c>
      <c r="E1778" s="98" t="str">
        <f t="shared" si="57"/>
        <v>Error</v>
      </c>
    </row>
    <row r="1779" spans="1:5" x14ac:dyDescent="0.25">
      <c r="A1779" s="95">
        <f>'Site Data'!B1781</f>
        <v>0</v>
      </c>
      <c r="B1779">
        <f>'Raw Data'!B1781</f>
        <v>355.4</v>
      </c>
      <c r="C1779">
        <f>'Site Data'!E1781</f>
        <v>0</v>
      </c>
      <c r="D1779" s="97">
        <f t="shared" si="56"/>
        <v>355.4</v>
      </c>
      <c r="E1779" s="98" t="str">
        <f t="shared" si="57"/>
        <v>Error</v>
      </c>
    </row>
    <row r="1780" spans="1:5" x14ac:dyDescent="0.25">
      <c r="A1780" s="95">
        <f>'Site Data'!B1782</f>
        <v>0</v>
      </c>
      <c r="B1780">
        <f>'Raw Data'!B1782</f>
        <v>355.4</v>
      </c>
      <c r="C1780">
        <f>'Site Data'!E1782</f>
        <v>0</v>
      </c>
      <c r="D1780" s="97">
        <f t="shared" si="56"/>
        <v>355.4</v>
      </c>
      <c r="E1780" s="98" t="str">
        <f t="shared" si="57"/>
        <v>Error</v>
      </c>
    </row>
    <row r="1781" spans="1:5" x14ac:dyDescent="0.25">
      <c r="A1781" s="95">
        <f>'Site Data'!B1783</f>
        <v>0</v>
      </c>
      <c r="B1781">
        <f>'Raw Data'!B1783</f>
        <v>355.4</v>
      </c>
      <c r="C1781">
        <f>'Site Data'!E1783</f>
        <v>0</v>
      </c>
      <c r="D1781" s="97">
        <f t="shared" si="56"/>
        <v>355.4</v>
      </c>
      <c r="E1781" s="98" t="str">
        <f t="shared" si="57"/>
        <v>Error</v>
      </c>
    </row>
    <row r="1782" spans="1:5" x14ac:dyDescent="0.25">
      <c r="A1782" s="95">
        <f>'Site Data'!B1784</f>
        <v>0</v>
      </c>
      <c r="B1782">
        <f>'Raw Data'!B1784</f>
        <v>355.4</v>
      </c>
      <c r="C1782">
        <f>'Site Data'!E1784</f>
        <v>0</v>
      </c>
      <c r="D1782" s="97">
        <f t="shared" si="56"/>
        <v>355.4</v>
      </c>
      <c r="E1782" s="98" t="str">
        <f t="shared" si="57"/>
        <v>Error</v>
      </c>
    </row>
    <row r="1783" spans="1:5" x14ac:dyDescent="0.25">
      <c r="A1783" s="95">
        <f>'Site Data'!B1785</f>
        <v>0</v>
      </c>
      <c r="B1783">
        <f>'Raw Data'!B1785</f>
        <v>355.4</v>
      </c>
      <c r="C1783">
        <f>'Site Data'!E1785</f>
        <v>0</v>
      </c>
      <c r="D1783" s="97">
        <f t="shared" si="56"/>
        <v>355.4</v>
      </c>
      <c r="E1783" s="98" t="str">
        <f t="shared" si="57"/>
        <v>Error</v>
      </c>
    </row>
    <row r="1784" spans="1:5" x14ac:dyDescent="0.25">
      <c r="A1784" s="95">
        <f>'Site Data'!B1786</f>
        <v>0</v>
      </c>
      <c r="B1784">
        <f>'Raw Data'!B1786</f>
        <v>355.4</v>
      </c>
      <c r="C1784">
        <f>'Site Data'!E1786</f>
        <v>0</v>
      </c>
      <c r="D1784" s="97">
        <f t="shared" si="56"/>
        <v>355.4</v>
      </c>
      <c r="E1784" s="98" t="str">
        <f t="shared" si="57"/>
        <v>Error</v>
      </c>
    </row>
    <row r="1785" spans="1:5" x14ac:dyDescent="0.25">
      <c r="A1785" s="95">
        <f>'Site Data'!B1787</f>
        <v>0</v>
      </c>
      <c r="B1785">
        <f>'Raw Data'!B1787</f>
        <v>355.4</v>
      </c>
      <c r="C1785">
        <f>'Site Data'!E1787</f>
        <v>0</v>
      </c>
      <c r="D1785" s="97">
        <f t="shared" si="56"/>
        <v>355.4</v>
      </c>
      <c r="E1785" s="98" t="str">
        <f t="shared" si="57"/>
        <v>Error</v>
      </c>
    </row>
    <row r="1786" spans="1:5" x14ac:dyDescent="0.25">
      <c r="A1786" s="95">
        <f>'Site Data'!B1788</f>
        <v>0</v>
      </c>
      <c r="B1786">
        <f>'Raw Data'!B1788</f>
        <v>355.4</v>
      </c>
      <c r="C1786">
        <f>'Site Data'!E1788</f>
        <v>0</v>
      </c>
      <c r="D1786" s="97">
        <f t="shared" si="56"/>
        <v>355.4</v>
      </c>
      <c r="E1786" s="98" t="str">
        <f t="shared" si="57"/>
        <v>Error</v>
      </c>
    </row>
    <row r="1787" spans="1:5" x14ac:dyDescent="0.25">
      <c r="A1787" s="95">
        <f>'Site Data'!B1789</f>
        <v>0</v>
      </c>
      <c r="B1787">
        <f>'Raw Data'!B1789</f>
        <v>355.4</v>
      </c>
      <c r="C1787">
        <f>'Site Data'!E1789</f>
        <v>0</v>
      </c>
      <c r="D1787" s="97">
        <f t="shared" si="56"/>
        <v>355.4</v>
      </c>
      <c r="E1787" s="98" t="str">
        <f t="shared" si="57"/>
        <v>Error</v>
      </c>
    </row>
    <row r="1788" spans="1:5" x14ac:dyDescent="0.25">
      <c r="A1788" s="95">
        <f>'Site Data'!B1790</f>
        <v>0</v>
      </c>
      <c r="B1788">
        <f>'Raw Data'!B1790</f>
        <v>355.4</v>
      </c>
      <c r="C1788">
        <f>'Site Data'!E1790</f>
        <v>0</v>
      </c>
      <c r="D1788" s="97">
        <f t="shared" si="56"/>
        <v>355.4</v>
      </c>
      <c r="E1788" s="98" t="str">
        <f t="shared" si="57"/>
        <v>Error</v>
      </c>
    </row>
    <row r="1789" spans="1:5" x14ac:dyDescent="0.25">
      <c r="A1789" s="95">
        <f>'Site Data'!B1791</f>
        <v>0</v>
      </c>
      <c r="B1789">
        <f>'Raw Data'!B1791</f>
        <v>355.4</v>
      </c>
      <c r="C1789">
        <f>'Site Data'!E1791</f>
        <v>0</v>
      </c>
      <c r="D1789" s="97">
        <f t="shared" si="56"/>
        <v>355.4</v>
      </c>
      <c r="E1789" s="98" t="str">
        <f t="shared" si="57"/>
        <v>Error</v>
      </c>
    </row>
    <row r="1790" spans="1:5" x14ac:dyDescent="0.25">
      <c r="A1790" s="95">
        <f>'Site Data'!B1792</f>
        <v>0</v>
      </c>
      <c r="B1790">
        <f>'Raw Data'!B1792</f>
        <v>355.4</v>
      </c>
      <c r="C1790">
        <f>'Site Data'!E1792</f>
        <v>0</v>
      </c>
      <c r="D1790" s="97">
        <f t="shared" si="56"/>
        <v>355.4</v>
      </c>
      <c r="E1790" s="98" t="str">
        <f t="shared" si="57"/>
        <v>Error</v>
      </c>
    </row>
    <row r="1791" spans="1:5" x14ac:dyDescent="0.25">
      <c r="A1791" s="95">
        <f>'Site Data'!B1793</f>
        <v>0</v>
      </c>
      <c r="B1791">
        <f>'Raw Data'!B1793</f>
        <v>355.4</v>
      </c>
      <c r="C1791">
        <f>'Site Data'!E1793</f>
        <v>0</v>
      </c>
      <c r="D1791" s="97">
        <f t="shared" si="56"/>
        <v>355.4</v>
      </c>
      <c r="E1791" s="98" t="str">
        <f t="shared" si="57"/>
        <v>Error</v>
      </c>
    </row>
    <row r="1792" spans="1:5" x14ac:dyDescent="0.25">
      <c r="A1792" s="95">
        <f>'Site Data'!B1794</f>
        <v>0</v>
      </c>
      <c r="B1792">
        <f>'Raw Data'!B1794</f>
        <v>355.4</v>
      </c>
      <c r="C1792">
        <f>'Site Data'!E1794</f>
        <v>0</v>
      </c>
      <c r="D1792" s="97">
        <f t="shared" si="56"/>
        <v>355.4</v>
      </c>
      <c r="E1792" s="98" t="str">
        <f t="shared" si="57"/>
        <v>Error</v>
      </c>
    </row>
    <row r="1793" spans="1:5" x14ac:dyDescent="0.25">
      <c r="A1793" s="95">
        <f>'Site Data'!B1795</f>
        <v>0</v>
      </c>
      <c r="B1793">
        <f>'Raw Data'!B1795</f>
        <v>355.4</v>
      </c>
      <c r="C1793">
        <f>'Site Data'!E1795</f>
        <v>0</v>
      </c>
      <c r="D1793" s="97">
        <f t="shared" si="56"/>
        <v>355.4</v>
      </c>
      <c r="E1793" s="98" t="str">
        <f t="shared" si="57"/>
        <v>Error</v>
      </c>
    </row>
    <row r="1794" spans="1:5" x14ac:dyDescent="0.25">
      <c r="A1794" s="95">
        <f>'Site Data'!B1796</f>
        <v>0</v>
      </c>
      <c r="B1794">
        <f>'Raw Data'!B1796</f>
        <v>355.4</v>
      </c>
      <c r="C1794">
        <f>'Site Data'!E1796</f>
        <v>0</v>
      </c>
      <c r="D1794" s="97">
        <f t="shared" ref="D1794:D1857" si="58">B1794-C1794</f>
        <v>355.4</v>
      </c>
      <c r="E1794" s="98" t="str">
        <f t="shared" ref="E1794:E1857" si="59">IF(AND(D1794 &gt;= 50, D1794 &lt;= 60), "Valid", "Error")</f>
        <v>Error</v>
      </c>
    </row>
    <row r="1795" spans="1:5" x14ac:dyDescent="0.25">
      <c r="A1795" s="95">
        <f>'Site Data'!B1797</f>
        <v>0</v>
      </c>
      <c r="B1795">
        <f>'Raw Data'!B1797</f>
        <v>355.4</v>
      </c>
      <c r="C1795">
        <f>'Site Data'!E1797</f>
        <v>0</v>
      </c>
      <c r="D1795" s="97">
        <f t="shared" si="58"/>
        <v>355.4</v>
      </c>
      <c r="E1795" s="98" t="str">
        <f t="shared" si="59"/>
        <v>Error</v>
      </c>
    </row>
    <row r="1796" spans="1:5" x14ac:dyDescent="0.25">
      <c r="A1796" s="95">
        <f>'Site Data'!B1798</f>
        <v>0</v>
      </c>
      <c r="B1796">
        <f>'Raw Data'!B1798</f>
        <v>355.4</v>
      </c>
      <c r="C1796">
        <f>'Site Data'!E1798</f>
        <v>0</v>
      </c>
      <c r="D1796" s="97">
        <f t="shared" si="58"/>
        <v>355.4</v>
      </c>
      <c r="E1796" s="98" t="str">
        <f t="shared" si="59"/>
        <v>Error</v>
      </c>
    </row>
    <row r="1797" spans="1:5" x14ac:dyDescent="0.25">
      <c r="A1797" s="95">
        <f>'Site Data'!B1799</f>
        <v>0</v>
      </c>
      <c r="B1797">
        <f>'Raw Data'!B1799</f>
        <v>355.4</v>
      </c>
      <c r="C1797">
        <f>'Site Data'!E1799</f>
        <v>0</v>
      </c>
      <c r="D1797" s="97">
        <f t="shared" si="58"/>
        <v>355.4</v>
      </c>
      <c r="E1797" s="98" t="str">
        <f t="shared" si="59"/>
        <v>Error</v>
      </c>
    </row>
    <row r="1798" spans="1:5" x14ac:dyDescent="0.25">
      <c r="A1798" s="95">
        <f>'Site Data'!B1800</f>
        <v>0</v>
      </c>
      <c r="B1798">
        <f>'Raw Data'!B1800</f>
        <v>355.99</v>
      </c>
      <c r="C1798">
        <f>'Site Data'!E1800</f>
        <v>0</v>
      </c>
      <c r="D1798" s="97">
        <f t="shared" si="58"/>
        <v>355.99</v>
      </c>
      <c r="E1798" s="98" t="str">
        <f t="shared" si="59"/>
        <v>Error</v>
      </c>
    </row>
    <row r="1799" spans="1:5" x14ac:dyDescent="0.25">
      <c r="A1799" s="95">
        <f>'Site Data'!B1801</f>
        <v>0</v>
      </c>
      <c r="B1799">
        <f>'Raw Data'!B1801</f>
        <v>356.03</v>
      </c>
      <c r="C1799">
        <f>'Site Data'!E1801</f>
        <v>0</v>
      </c>
      <c r="D1799" s="97">
        <f t="shared" si="58"/>
        <v>356.03</v>
      </c>
      <c r="E1799" s="98" t="str">
        <f t="shared" si="59"/>
        <v>Error</v>
      </c>
    </row>
    <row r="1800" spans="1:5" x14ac:dyDescent="0.25">
      <c r="A1800" s="95">
        <f>'Site Data'!B1802</f>
        <v>0</v>
      </c>
      <c r="B1800">
        <f>'Raw Data'!B1802</f>
        <v>356.03</v>
      </c>
      <c r="C1800">
        <f>'Site Data'!E1802</f>
        <v>0</v>
      </c>
      <c r="D1800" s="97">
        <f t="shared" si="58"/>
        <v>356.03</v>
      </c>
      <c r="E1800" s="98" t="str">
        <f t="shared" si="59"/>
        <v>Error</v>
      </c>
    </row>
    <row r="1801" spans="1:5" x14ac:dyDescent="0.25">
      <c r="A1801" s="95">
        <f>'Site Data'!B1803</f>
        <v>0</v>
      </c>
      <c r="B1801">
        <f>'Raw Data'!B1803</f>
        <v>356.07</v>
      </c>
      <c r="C1801">
        <f>'Site Data'!E1803</f>
        <v>0</v>
      </c>
      <c r="D1801" s="97">
        <f t="shared" si="58"/>
        <v>356.07</v>
      </c>
      <c r="E1801" s="98" t="str">
        <f t="shared" si="59"/>
        <v>Error</v>
      </c>
    </row>
    <row r="1802" spans="1:5" x14ac:dyDescent="0.25">
      <c r="A1802" s="95">
        <f>'Site Data'!B1804</f>
        <v>0</v>
      </c>
      <c r="B1802">
        <f>'Raw Data'!B1804</f>
        <v>356.07</v>
      </c>
      <c r="C1802">
        <f>'Site Data'!E1804</f>
        <v>0</v>
      </c>
      <c r="D1802" s="97">
        <f t="shared" si="58"/>
        <v>356.07</v>
      </c>
      <c r="E1802" s="98" t="str">
        <f t="shared" si="59"/>
        <v>Error</v>
      </c>
    </row>
    <row r="1803" spans="1:5" x14ac:dyDescent="0.25">
      <c r="A1803" s="95">
        <f>'Site Data'!B1805</f>
        <v>0</v>
      </c>
      <c r="B1803">
        <f>'Raw Data'!B1805</f>
        <v>356.11</v>
      </c>
      <c r="C1803">
        <f>'Site Data'!E1805</f>
        <v>0</v>
      </c>
      <c r="D1803" s="97">
        <f t="shared" si="58"/>
        <v>356.11</v>
      </c>
      <c r="E1803" s="98" t="str">
        <f t="shared" si="59"/>
        <v>Error</v>
      </c>
    </row>
    <row r="1804" spans="1:5" x14ac:dyDescent="0.25">
      <c r="A1804" s="95">
        <f>'Site Data'!B1806</f>
        <v>0</v>
      </c>
      <c r="B1804">
        <f>'Raw Data'!B1806</f>
        <v>356.11</v>
      </c>
      <c r="C1804">
        <f>'Site Data'!E1806</f>
        <v>0</v>
      </c>
      <c r="D1804" s="97">
        <f t="shared" si="58"/>
        <v>356.11</v>
      </c>
      <c r="E1804" s="98" t="str">
        <f t="shared" si="59"/>
        <v>Error</v>
      </c>
    </row>
    <row r="1805" spans="1:5" x14ac:dyDescent="0.25">
      <c r="A1805" s="95">
        <f>'Site Data'!B1807</f>
        <v>0</v>
      </c>
      <c r="B1805">
        <f>'Raw Data'!B1807</f>
        <v>356.11179091636296</v>
      </c>
      <c r="C1805">
        <f>'Site Data'!E1807</f>
        <v>0</v>
      </c>
      <c r="D1805" s="97">
        <f t="shared" si="58"/>
        <v>356.11179091636296</v>
      </c>
      <c r="E1805" s="98" t="str">
        <f t="shared" si="59"/>
        <v>Error</v>
      </c>
    </row>
    <row r="1806" spans="1:5" x14ac:dyDescent="0.25">
      <c r="A1806" s="95">
        <f>'Site Data'!B1808</f>
        <v>0</v>
      </c>
      <c r="B1806">
        <f>'Raw Data'!B1808</f>
        <v>356.14</v>
      </c>
      <c r="C1806">
        <f>'Site Data'!E1808</f>
        <v>0</v>
      </c>
      <c r="D1806" s="97">
        <f t="shared" si="58"/>
        <v>356.14</v>
      </c>
      <c r="E1806" s="98" t="str">
        <f t="shared" si="59"/>
        <v>Error</v>
      </c>
    </row>
    <row r="1807" spans="1:5" x14ac:dyDescent="0.25">
      <c r="A1807" s="95">
        <f>'Site Data'!B1809</f>
        <v>0</v>
      </c>
      <c r="B1807">
        <f>'Raw Data'!B1809</f>
        <v>356.14</v>
      </c>
      <c r="C1807">
        <f>'Site Data'!E1809</f>
        <v>0</v>
      </c>
      <c r="D1807" s="97">
        <f t="shared" si="58"/>
        <v>356.14</v>
      </c>
      <c r="E1807" s="98" t="str">
        <f t="shared" si="59"/>
        <v>Error</v>
      </c>
    </row>
    <row r="1808" spans="1:5" x14ac:dyDescent="0.25">
      <c r="A1808" s="95">
        <f>'Site Data'!B1810</f>
        <v>0</v>
      </c>
      <c r="B1808">
        <f>'Raw Data'!B1810</f>
        <v>356.14</v>
      </c>
      <c r="C1808">
        <f>'Site Data'!E1810</f>
        <v>0</v>
      </c>
      <c r="D1808" s="97">
        <f t="shared" si="58"/>
        <v>356.14</v>
      </c>
      <c r="E1808" s="98" t="str">
        <f t="shared" si="59"/>
        <v>Error</v>
      </c>
    </row>
    <row r="1809" spans="1:5" x14ac:dyDescent="0.25">
      <c r="A1809" s="95">
        <f>'Site Data'!B1811</f>
        <v>0</v>
      </c>
      <c r="B1809">
        <f>'Raw Data'!B1811</f>
        <v>356.14</v>
      </c>
      <c r="C1809">
        <f>'Site Data'!E1811</f>
        <v>0</v>
      </c>
      <c r="D1809" s="97">
        <f t="shared" si="58"/>
        <v>356.14</v>
      </c>
      <c r="E1809" s="98" t="str">
        <f t="shared" si="59"/>
        <v>Error</v>
      </c>
    </row>
    <row r="1810" spans="1:5" x14ac:dyDescent="0.25">
      <c r="A1810" s="95">
        <f>'Site Data'!B1812</f>
        <v>0</v>
      </c>
      <c r="B1810">
        <f>'Raw Data'!B1812</f>
        <v>356.14</v>
      </c>
      <c r="C1810">
        <f>'Site Data'!E1812</f>
        <v>0</v>
      </c>
      <c r="D1810" s="97">
        <f t="shared" si="58"/>
        <v>356.14</v>
      </c>
      <c r="E1810" s="98" t="str">
        <f t="shared" si="59"/>
        <v>Error</v>
      </c>
    </row>
    <row r="1811" spans="1:5" x14ac:dyDescent="0.25">
      <c r="A1811" s="95">
        <f>'Site Data'!B1813</f>
        <v>0</v>
      </c>
      <c r="B1811">
        <f>'Raw Data'!B1813</f>
        <v>356.14658891656205</v>
      </c>
      <c r="C1811">
        <f>'Site Data'!E1813</f>
        <v>0</v>
      </c>
      <c r="D1811" s="97">
        <f t="shared" si="58"/>
        <v>356.14658891656205</v>
      </c>
      <c r="E1811" s="98" t="str">
        <f t="shared" si="59"/>
        <v>Error</v>
      </c>
    </row>
    <row r="1812" spans="1:5" x14ac:dyDescent="0.25">
      <c r="A1812" s="95">
        <f>'Site Data'!B1814</f>
        <v>0</v>
      </c>
      <c r="B1812">
        <f>'Raw Data'!B1814</f>
        <v>356.23</v>
      </c>
      <c r="C1812">
        <f>'Site Data'!E1814</f>
        <v>0</v>
      </c>
      <c r="D1812" s="97">
        <f t="shared" si="58"/>
        <v>356.23</v>
      </c>
      <c r="E1812" s="98" t="str">
        <f t="shared" si="59"/>
        <v>Error</v>
      </c>
    </row>
    <row r="1813" spans="1:5" x14ac:dyDescent="0.25">
      <c r="A1813" s="95">
        <f>'Site Data'!B1815</f>
        <v>0</v>
      </c>
      <c r="B1813">
        <f>'Raw Data'!B1815</f>
        <v>356.23242771730895</v>
      </c>
      <c r="C1813">
        <f>'Site Data'!E1815</f>
        <v>0</v>
      </c>
      <c r="D1813" s="97">
        <f t="shared" si="58"/>
        <v>356.23242771730895</v>
      </c>
      <c r="E1813" s="98" t="str">
        <f t="shared" si="59"/>
        <v>Error</v>
      </c>
    </row>
    <row r="1814" spans="1:5" x14ac:dyDescent="0.25">
      <c r="A1814" s="95">
        <f>'Site Data'!B1816</f>
        <v>0</v>
      </c>
      <c r="B1814">
        <f>'Raw Data'!B1816</f>
        <v>356.26</v>
      </c>
      <c r="C1814">
        <f>'Site Data'!E1816</f>
        <v>0</v>
      </c>
      <c r="D1814" s="97">
        <f t="shared" si="58"/>
        <v>356.26</v>
      </c>
      <c r="E1814" s="98" t="str">
        <f t="shared" si="59"/>
        <v>Error</v>
      </c>
    </row>
    <row r="1815" spans="1:5" x14ac:dyDescent="0.25">
      <c r="A1815" s="95">
        <f>'Site Data'!B1817</f>
        <v>0</v>
      </c>
      <c r="B1815">
        <f>'Raw Data'!B1817</f>
        <v>356.26189199039936</v>
      </c>
      <c r="C1815">
        <f>'Site Data'!E1817</f>
        <v>0</v>
      </c>
      <c r="D1815" s="97">
        <f t="shared" si="58"/>
        <v>356.26189199039936</v>
      </c>
      <c r="E1815" s="98" t="str">
        <f t="shared" si="59"/>
        <v>Error</v>
      </c>
    </row>
    <row r="1816" spans="1:5" x14ac:dyDescent="0.25">
      <c r="A1816" s="95">
        <f>'Site Data'!B1818</f>
        <v>0</v>
      </c>
      <c r="B1816">
        <f>'Raw Data'!B1818</f>
        <v>356.28</v>
      </c>
      <c r="C1816">
        <f>'Site Data'!E1818</f>
        <v>0</v>
      </c>
      <c r="D1816" s="97">
        <f t="shared" si="58"/>
        <v>356.28</v>
      </c>
      <c r="E1816" s="98" t="str">
        <f t="shared" si="59"/>
        <v>Error</v>
      </c>
    </row>
    <row r="1817" spans="1:5" x14ac:dyDescent="0.25">
      <c r="A1817" s="95">
        <f>'Site Data'!B1819</f>
        <v>0</v>
      </c>
      <c r="B1817">
        <f>'Raw Data'!B1819</f>
        <v>356.28209186170631</v>
      </c>
      <c r="C1817">
        <f>'Site Data'!E1819</f>
        <v>0</v>
      </c>
      <c r="D1817" s="97">
        <f t="shared" si="58"/>
        <v>356.28209186170631</v>
      </c>
      <c r="E1817" s="98" t="str">
        <f t="shared" si="59"/>
        <v>Error</v>
      </c>
    </row>
    <row r="1818" spans="1:5" x14ac:dyDescent="0.25">
      <c r="A1818" s="95">
        <f>'Site Data'!B1820</f>
        <v>0</v>
      </c>
      <c r="B1818">
        <f>'Raw Data'!B1820</f>
        <v>356.3</v>
      </c>
      <c r="C1818">
        <f>'Site Data'!E1820</f>
        <v>0</v>
      </c>
      <c r="D1818" s="97">
        <f t="shared" si="58"/>
        <v>356.3</v>
      </c>
      <c r="E1818" s="98" t="str">
        <f t="shared" si="59"/>
        <v>Error</v>
      </c>
    </row>
    <row r="1819" spans="1:5" x14ac:dyDescent="0.25">
      <c r="A1819" s="95">
        <f>'Site Data'!B1821</f>
        <v>0</v>
      </c>
      <c r="B1819">
        <f>'Raw Data'!B1821</f>
        <v>356.30218831980034</v>
      </c>
      <c r="C1819">
        <f>'Site Data'!E1821</f>
        <v>0</v>
      </c>
      <c r="D1819" s="97">
        <f t="shared" si="58"/>
        <v>356.30218831980034</v>
      </c>
      <c r="E1819" s="98" t="str">
        <f t="shared" si="59"/>
        <v>Error</v>
      </c>
    </row>
    <row r="1820" spans="1:5" x14ac:dyDescent="0.25">
      <c r="A1820" s="95">
        <f>'Site Data'!B1822</f>
        <v>0</v>
      </c>
      <c r="B1820">
        <f>'Raw Data'!B1822</f>
        <v>356.32</v>
      </c>
      <c r="C1820">
        <f>'Site Data'!E1822</f>
        <v>0</v>
      </c>
      <c r="D1820" s="97">
        <f t="shared" si="58"/>
        <v>356.32</v>
      </c>
      <c r="E1820" s="98" t="str">
        <f t="shared" si="59"/>
        <v>Error</v>
      </c>
    </row>
    <row r="1821" spans="1:5" x14ac:dyDescent="0.25">
      <c r="A1821" s="95">
        <f>'Site Data'!B1823</f>
        <v>0</v>
      </c>
      <c r="B1821">
        <f>'Raw Data'!B1823</f>
        <v>356.32</v>
      </c>
      <c r="C1821">
        <f>'Site Data'!E1823</f>
        <v>0</v>
      </c>
      <c r="D1821" s="97">
        <f t="shared" si="58"/>
        <v>356.32</v>
      </c>
      <c r="E1821" s="98" t="str">
        <f t="shared" si="59"/>
        <v>Error</v>
      </c>
    </row>
    <row r="1822" spans="1:5" x14ac:dyDescent="0.25">
      <c r="A1822" s="95">
        <f>'Site Data'!B1824</f>
        <v>0</v>
      </c>
      <c r="B1822">
        <f>'Raw Data'!B1824</f>
        <v>356.32</v>
      </c>
      <c r="C1822">
        <f>'Site Data'!E1824</f>
        <v>0</v>
      </c>
      <c r="D1822" s="97">
        <f t="shared" si="58"/>
        <v>356.32</v>
      </c>
      <c r="E1822" s="98" t="str">
        <f t="shared" si="59"/>
        <v>Error</v>
      </c>
    </row>
    <row r="1823" spans="1:5" x14ac:dyDescent="0.25">
      <c r="A1823" s="95">
        <f>'Site Data'!B1825</f>
        <v>0</v>
      </c>
      <c r="B1823">
        <f>'Raw Data'!B1825</f>
        <v>356.32</v>
      </c>
      <c r="C1823">
        <f>'Site Data'!E1825</f>
        <v>0</v>
      </c>
      <c r="D1823" s="97">
        <f t="shared" si="58"/>
        <v>356.32</v>
      </c>
      <c r="E1823" s="98" t="str">
        <f t="shared" si="59"/>
        <v>Error</v>
      </c>
    </row>
    <row r="1824" spans="1:5" x14ac:dyDescent="0.25">
      <c r="A1824" s="95">
        <f>'Site Data'!B1826</f>
        <v>0</v>
      </c>
      <c r="B1824">
        <f>'Raw Data'!B1826</f>
        <v>356.32</v>
      </c>
      <c r="C1824">
        <f>'Site Data'!E1826</f>
        <v>0</v>
      </c>
      <c r="D1824" s="97">
        <f t="shared" si="58"/>
        <v>356.32</v>
      </c>
      <c r="E1824" s="98" t="str">
        <f t="shared" si="59"/>
        <v>Error</v>
      </c>
    </row>
    <row r="1825" spans="1:5" x14ac:dyDescent="0.25">
      <c r="A1825" s="95">
        <f>'Site Data'!B1827</f>
        <v>0</v>
      </c>
      <c r="B1825">
        <f>'Raw Data'!B1827</f>
        <v>356.32811998060356</v>
      </c>
      <c r="C1825">
        <f>'Site Data'!E1827</f>
        <v>0</v>
      </c>
      <c r="D1825" s="97">
        <f t="shared" si="58"/>
        <v>356.32811998060356</v>
      </c>
      <c r="E1825" s="98" t="str">
        <f t="shared" si="59"/>
        <v>Error</v>
      </c>
    </row>
    <row r="1826" spans="1:5" x14ac:dyDescent="0.25">
      <c r="A1826" s="95">
        <f>'Site Data'!B1828</f>
        <v>0</v>
      </c>
      <c r="B1826">
        <f>'Raw Data'!B1828</f>
        <v>356.39</v>
      </c>
      <c r="C1826">
        <f>'Site Data'!E1828</f>
        <v>0</v>
      </c>
      <c r="D1826" s="97">
        <f t="shared" si="58"/>
        <v>356.39</v>
      </c>
      <c r="E1826" s="98" t="str">
        <f t="shared" si="59"/>
        <v>Error</v>
      </c>
    </row>
    <row r="1827" spans="1:5" x14ac:dyDescent="0.25">
      <c r="A1827" s="95">
        <f>'Site Data'!B1829</f>
        <v>0</v>
      </c>
      <c r="B1827">
        <f>'Raw Data'!B1829</f>
        <v>356.39257473761319</v>
      </c>
      <c r="C1827">
        <f>'Site Data'!E1829</f>
        <v>0</v>
      </c>
      <c r="D1827" s="97">
        <f t="shared" si="58"/>
        <v>356.39257473761319</v>
      </c>
      <c r="E1827" s="98" t="str">
        <f t="shared" si="59"/>
        <v>Error</v>
      </c>
    </row>
    <row r="1828" spans="1:5" x14ac:dyDescent="0.25">
      <c r="A1828" s="95">
        <f>'Site Data'!B1830</f>
        <v>0</v>
      </c>
      <c r="B1828">
        <f>'Raw Data'!B1830</f>
        <v>356.41</v>
      </c>
      <c r="C1828">
        <f>'Site Data'!E1830</f>
        <v>0</v>
      </c>
      <c r="D1828" s="97">
        <f t="shared" si="58"/>
        <v>356.41</v>
      </c>
      <c r="E1828" s="98" t="str">
        <f t="shared" si="59"/>
        <v>Error</v>
      </c>
    </row>
    <row r="1829" spans="1:5" x14ac:dyDescent="0.25">
      <c r="A1829" s="95">
        <f>'Site Data'!B1831</f>
        <v>0</v>
      </c>
      <c r="B1829">
        <f>'Raw Data'!B1831</f>
        <v>356.41290662886848</v>
      </c>
      <c r="C1829">
        <f>'Site Data'!E1831</f>
        <v>0</v>
      </c>
      <c r="D1829" s="97">
        <f t="shared" si="58"/>
        <v>356.41290662886848</v>
      </c>
      <c r="E1829" s="98" t="str">
        <f t="shared" si="59"/>
        <v>Error</v>
      </c>
    </row>
    <row r="1830" spans="1:5" x14ac:dyDescent="0.25">
      <c r="A1830" s="95">
        <f>'Site Data'!B1832</f>
        <v>0</v>
      </c>
      <c r="B1830">
        <f>'Raw Data'!B1832</f>
        <v>356.43</v>
      </c>
      <c r="C1830">
        <f>'Site Data'!E1832</f>
        <v>0</v>
      </c>
      <c r="D1830" s="97">
        <f t="shared" si="58"/>
        <v>356.43</v>
      </c>
      <c r="E1830" s="98" t="str">
        <f t="shared" si="59"/>
        <v>Error</v>
      </c>
    </row>
    <row r="1831" spans="1:5" x14ac:dyDescent="0.25">
      <c r="A1831" s="95">
        <f>'Site Data'!B1833</f>
        <v>0</v>
      </c>
      <c r="B1831">
        <f>'Raw Data'!B1833</f>
        <v>356.4333231031913</v>
      </c>
      <c r="C1831">
        <f>'Site Data'!E1833</f>
        <v>0</v>
      </c>
      <c r="D1831" s="97">
        <f t="shared" si="58"/>
        <v>356.4333231031913</v>
      </c>
      <c r="E1831" s="98" t="str">
        <f t="shared" si="59"/>
        <v>Error</v>
      </c>
    </row>
    <row r="1832" spans="1:5" x14ac:dyDescent="0.25">
      <c r="A1832" s="95">
        <f>'Site Data'!B1834</f>
        <v>0</v>
      </c>
      <c r="B1832">
        <f>'Raw Data'!B1834</f>
        <v>356.45</v>
      </c>
      <c r="C1832">
        <f>'Site Data'!E1834</f>
        <v>0</v>
      </c>
      <c r="D1832" s="97">
        <f t="shared" si="58"/>
        <v>356.45</v>
      </c>
      <c r="E1832" s="98" t="str">
        <f t="shared" si="59"/>
        <v>Error</v>
      </c>
    </row>
    <row r="1833" spans="1:5" x14ac:dyDescent="0.25">
      <c r="A1833" s="95">
        <f>'Site Data'!B1835</f>
        <v>0</v>
      </c>
      <c r="B1833">
        <f>'Raw Data'!B1835</f>
        <v>356.45</v>
      </c>
      <c r="C1833">
        <f>'Site Data'!E1835</f>
        <v>0</v>
      </c>
      <c r="D1833" s="97">
        <f t="shared" si="58"/>
        <v>356.45</v>
      </c>
      <c r="E1833" s="98" t="str">
        <f t="shared" si="59"/>
        <v>Error</v>
      </c>
    </row>
    <row r="1834" spans="1:5" x14ac:dyDescent="0.25">
      <c r="A1834" s="95">
        <f>'Site Data'!B1836</f>
        <v>0</v>
      </c>
      <c r="B1834">
        <f>'Raw Data'!B1836</f>
        <v>356.45</v>
      </c>
      <c r="C1834">
        <f>'Site Data'!E1836</f>
        <v>0</v>
      </c>
      <c r="D1834" s="97">
        <f t="shared" si="58"/>
        <v>356.45</v>
      </c>
      <c r="E1834" s="98" t="str">
        <f t="shared" si="59"/>
        <v>Error</v>
      </c>
    </row>
    <row r="1835" spans="1:5" x14ac:dyDescent="0.25">
      <c r="A1835" s="95">
        <f>'Site Data'!B1837</f>
        <v>0</v>
      </c>
      <c r="B1835">
        <f>'Raw Data'!B1837</f>
        <v>356.45</v>
      </c>
      <c r="C1835">
        <f>'Site Data'!E1837</f>
        <v>0</v>
      </c>
      <c r="D1835" s="97">
        <f t="shared" si="58"/>
        <v>356.45</v>
      </c>
      <c r="E1835" s="98" t="str">
        <f t="shared" si="59"/>
        <v>Error</v>
      </c>
    </row>
    <row r="1836" spans="1:5" x14ac:dyDescent="0.25">
      <c r="A1836" s="95">
        <f>'Site Data'!B1838</f>
        <v>0</v>
      </c>
      <c r="B1836">
        <f>'Raw Data'!B1838</f>
        <v>356.45</v>
      </c>
      <c r="C1836">
        <f>'Site Data'!E1838</f>
        <v>0</v>
      </c>
      <c r="D1836" s="97">
        <f t="shared" si="58"/>
        <v>356.45</v>
      </c>
      <c r="E1836" s="98" t="str">
        <f t="shared" si="59"/>
        <v>Error</v>
      </c>
    </row>
    <row r="1837" spans="1:5" x14ac:dyDescent="0.25">
      <c r="A1837" s="95">
        <f>'Site Data'!B1839</f>
        <v>0</v>
      </c>
      <c r="B1837">
        <f>'Raw Data'!B1839</f>
        <v>356.45</v>
      </c>
      <c r="C1837">
        <f>'Site Data'!E1839</f>
        <v>0</v>
      </c>
      <c r="D1837" s="97">
        <f t="shared" si="58"/>
        <v>356.45</v>
      </c>
      <c r="E1837" s="98" t="str">
        <f t="shared" si="59"/>
        <v>Error</v>
      </c>
    </row>
    <row r="1838" spans="1:5" x14ac:dyDescent="0.25">
      <c r="A1838" s="95">
        <f>'Site Data'!B1840</f>
        <v>0</v>
      </c>
      <c r="B1838">
        <f>'Raw Data'!B1840</f>
        <v>356.45</v>
      </c>
      <c r="C1838">
        <f>'Site Data'!E1840</f>
        <v>0</v>
      </c>
      <c r="D1838" s="97">
        <f t="shared" si="58"/>
        <v>356.45</v>
      </c>
      <c r="E1838" s="98" t="str">
        <f t="shared" si="59"/>
        <v>Error</v>
      </c>
    </row>
    <row r="1839" spans="1:5" x14ac:dyDescent="0.25">
      <c r="A1839" s="95">
        <f>'Site Data'!B1841</f>
        <v>0</v>
      </c>
      <c r="B1839">
        <f>'Raw Data'!B1841</f>
        <v>356.46101349314006</v>
      </c>
      <c r="C1839">
        <f>'Site Data'!E1841</f>
        <v>0</v>
      </c>
      <c r="D1839" s="97">
        <f t="shared" si="58"/>
        <v>356.46101349314006</v>
      </c>
      <c r="E1839" s="98" t="str">
        <f t="shared" si="59"/>
        <v>Error</v>
      </c>
    </row>
    <row r="1840" spans="1:5" x14ac:dyDescent="0.25">
      <c r="A1840" s="95">
        <f>'Site Data'!B1842</f>
        <v>0</v>
      </c>
      <c r="B1840">
        <f>'Raw Data'!B1842</f>
        <v>356.51</v>
      </c>
      <c r="C1840">
        <f>'Site Data'!E1842</f>
        <v>0</v>
      </c>
      <c r="D1840" s="97">
        <f t="shared" si="58"/>
        <v>356.51</v>
      </c>
      <c r="E1840" s="98" t="str">
        <f t="shared" si="59"/>
        <v>Error</v>
      </c>
    </row>
    <row r="1841" spans="1:5" x14ac:dyDescent="0.25">
      <c r="A1841" s="95">
        <f>'Site Data'!B1843</f>
        <v>0</v>
      </c>
      <c r="B1841">
        <f>'Raw Data'!B1843</f>
        <v>356.51</v>
      </c>
      <c r="C1841">
        <f>'Site Data'!E1843</f>
        <v>0</v>
      </c>
      <c r="D1841" s="97">
        <f t="shared" si="58"/>
        <v>356.51</v>
      </c>
      <c r="E1841" s="98" t="str">
        <f t="shared" si="59"/>
        <v>Error</v>
      </c>
    </row>
    <row r="1842" spans="1:5" x14ac:dyDescent="0.25">
      <c r="A1842" s="95">
        <f>'Site Data'!B1844</f>
        <v>0</v>
      </c>
      <c r="B1842">
        <f>'Raw Data'!B1844</f>
        <v>356.51</v>
      </c>
      <c r="C1842">
        <f>'Site Data'!E1844</f>
        <v>0</v>
      </c>
      <c r="D1842" s="97">
        <f t="shared" si="58"/>
        <v>356.51</v>
      </c>
      <c r="E1842" s="98" t="str">
        <f t="shared" si="59"/>
        <v>Error</v>
      </c>
    </row>
    <row r="1843" spans="1:5" x14ac:dyDescent="0.25">
      <c r="A1843" s="95">
        <f>'Site Data'!B1845</f>
        <v>0</v>
      </c>
      <c r="B1843">
        <f>'Raw Data'!B1845</f>
        <v>356.52759691771496</v>
      </c>
      <c r="C1843">
        <f>'Site Data'!E1845</f>
        <v>0</v>
      </c>
      <c r="D1843" s="97">
        <f t="shared" si="58"/>
        <v>356.52759691771496</v>
      </c>
      <c r="E1843" s="98" t="str">
        <f t="shared" si="59"/>
        <v>Error</v>
      </c>
    </row>
    <row r="1844" spans="1:5" x14ac:dyDescent="0.25">
      <c r="A1844" s="95">
        <f>'Site Data'!B1846</f>
        <v>0</v>
      </c>
      <c r="B1844">
        <f>'Raw Data'!B1846</f>
        <v>356.6</v>
      </c>
      <c r="C1844">
        <f>'Site Data'!E1846</f>
        <v>0</v>
      </c>
      <c r="D1844" s="97">
        <f t="shared" si="58"/>
        <v>356.6</v>
      </c>
      <c r="E1844" s="98" t="str">
        <f t="shared" si="59"/>
        <v>Error</v>
      </c>
    </row>
    <row r="1845" spans="1:5" x14ac:dyDescent="0.25">
      <c r="A1845" s="95">
        <f>'Site Data'!B1847</f>
        <v>0</v>
      </c>
      <c r="B1845">
        <f>'Raw Data'!B1847</f>
        <v>356.6</v>
      </c>
      <c r="C1845">
        <f>'Site Data'!E1847</f>
        <v>0</v>
      </c>
      <c r="D1845" s="97">
        <f t="shared" si="58"/>
        <v>356.6</v>
      </c>
      <c r="E1845" s="98" t="str">
        <f t="shared" si="59"/>
        <v>Error</v>
      </c>
    </row>
    <row r="1846" spans="1:5" x14ac:dyDescent="0.25">
      <c r="A1846" s="95">
        <f>'Site Data'!B1848</f>
        <v>0</v>
      </c>
      <c r="B1846">
        <f>'Raw Data'!B1848</f>
        <v>356.6</v>
      </c>
      <c r="C1846">
        <f>'Site Data'!E1848</f>
        <v>0</v>
      </c>
      <c r="D1846" s="97">
        <f t="shared" si="58"/>
        <v>356.6</v>
      </c>
      <c r="E1846" s="98" t="str">
        <f t="shared" si="59"/>
        <v>Error</v>
      </c>
    </row>
    <row r="1847" spans="1:5" x14ac:dyDescent="0.25">
      <c r="A1847" s="95">
        <f>'Site Data'!B1849</f>
        <v>0</v>
      </c>
      <c r="B1847">
        <f>'Raw Data'!B1849</f>
        <v>356.6</v>
      </c>
      <c r="C1847">
        <f>'Site Data'!E1849</f>
        <v>0</v>
      </c>
      <c r="D1847" s="97">
        <f t="shared" si="58"/>
        <v>356.6</v>
      </c>
      <c r="E1847" s="98" t="str">
        <f t="shared" si="59"/>
        <v>Error</v>
      </c>
    </row>
    <row r="1848" spans="1:5" x14ac:dyDescent="0.25">
      <c r="A1848" s="95">
        <f>'Site Data'!B1850</f>
        <v>0</v>
      </c>
      <c r="B1848">
        <f>'Raw Data'!B1850</f>
        <v>356.6</v>
      </c>
      <c r="C1848">
        <f>'Site Data'!E1850</f>
        <v>0</v>
      </c>
      <c r="D1848" s="97">
        <f t="shared" si="58"/>
        <v>356.6</v>
      </c>
      <c r="E1848" s="98" t="str">
        <f t="shared" si="59"/>
        <v>Error</v>
      </c>
    </row>
    <row r="1849" spans="1:5" x14ac:dyDescent="0.25">
      <c r="A1849" s="95">
        <f>'Site Data'!B1851</f>
        <v>0</v>
      </c>
      <c r="B1849">
        <f>'Raw Data'!B1851</f>
        <v>356.6</v>
      </c>
      <c r="C1849">
        <f>'Site Data'!E1851</f>
        <v>0</v>
      </c>
      <c r="D1849" s="97">
        <f t="shared" si="58"/>
        <v>356.6</v>
      </c>
      <c r="E1849" s="98" t="str">
        <f t="shared" si="59"/>
        <v>Error</v>
      </c>
    </row>
    <row r="1850" spans="1:5" x14ac:dyDescent="0.25">
      <c r="A1850" s="95">
        <f>'Site Data'!B1852</f>
        <v>0</v>
      </c>
      <c r="B1850">
        <f>'Raw Data'!B1852</f>
        <v>356.6</v>
      </c>
      <c r="C1850">
        <f>'Site Data'!E1852</f>
        <v>0</v>
      </c>
      <c r="D1850" s="97">
        <f t="shared" si="58"/>
        <v>356.6</v>
      </c>
      <c r="E1850" s="98" t="str">
        <f t="shared" si="59"/>
        <v>Error</v>
      </c>
    </row>
    <row r="1851" spans="1:5" x14ac:dyDescent="0.25">
      <c r="A1851" s="95">
        <f>'Site Data'!B1853</f>
        <v>0</v>
      </c>
      <c r="B1851">
        <f>'Raw Data'!B1853</f>
        <v>356.6</v>
      </c>
      <c r="C1851">
        <f>'Site Data'!E1853</f>
        <v>0</v>
      </c>
      <c r="D1851" s="97">
        <f t="shared" si="58"/>
        <v>356.6</v>
      </c>
      <c r="E1851" s="98" t="str">
        <f t="shared" si="59"/>
        <v>Error</v>
      </c>
    </row>
    <row r="1852" spans="1:5" x14ac:dyDescent="0.25">
      <c r="A1852" s="95">
        <f>'Site Data'!B1854</f>
        <v>0</v>
      </c>
      <c r="B1852">
        <f>'Raw Data'!B1854</f>
        <v>356.6</v>
      </c>
      <c r="C1852">
        <f>'Site Data'!E1854</f>
        <v>0</v>
      </c>
      <c r="D1852" s="97">
        <f t="shared" si="58"/>
        <v>356.6</v>
      </c>
      <c r="E1852" s="98" t="str">
        <f t="shared" si="59"/>
        <v>Error</v>
      </c>
    </row>
    <row r="1853" spans="1:5" x14ac:dyDescent="0.25">
      <c r="A1853" s="95">
        <f>'Site Data'!B1855</f>
        <v>0</v>
      </c>
      <c r="B1853">
        <f>'Raw Data'!B1855</f>
        <v>356.6</v>
      </c>
      <c r="C1853">
        <f>'Site Data'!E1855</f>
        <v>0</v>
      </c>
      <c r="D1853" s="97">
        <f t="shared" si="58"/>
        <v>356.6</v>
      </c>
      <c r="E1853" s="98" t="str">
        <f t="shared" si="59"/>
        <v>Error</v>
      </c>
    </row>
    <row r="1854" spans="1:5" x14ac:dyDescent="0.25">
      <c r="A1854" s="95">
        <f>'Site Data'!B1856</f>
        <v>0</v>
      </c>
      <c r="B1854">
        <f>'Raw Data'!B1856</f>
        <v>356.6</v>
      </c>
      <c r="C1854">
        <f>'Site Data'!E1856</f>
        <v>0</v>
      </c>
      <c r="D1854" s="97">
        <f t="shared" si="58"/>
        <v>356.6</v>
      </c>
      <c r="E1854" s="98" t="str">
        <f t="shared" si="59"/>
        <v>Error</v>
      </c>
    </row>
    <row r="1855" spans="1:5" x14ac:dyDescent="0.25">
      <c r="A1855" s="95">
        <f>'Site Data'!B1857</f>
        <v>0</v>
      </c>
      <c r="B1855">
        <f>'Raw Data'!B1857</f>
        <v>356.6</v>
      </c>
      <c r="C1855">
        <f>'Site Data'!E1857</f>
        <v>0</v>
      </c>
      <c r="D1855" s="97">
        <f t="shared" si="58"/>
        <v>356.6</v>
      </c>
      <c r="E1855" s="98" t="str">
        <f t="shared" si="59"/>
        <v>Error</v>
      </c>
    </row>
    <row r="1856" spans="1:5" x14ac:dyDescent="0.25">
      <c r="A1856" s="95">
        <f>'Site Data'!B1858</f>
        <v>0</v>
      </c>
      <c r="B1856">
        <f>'Raw Data'!B1858</f>
        <v>356.6</v>
      </c>
      <c r="C1856">
        <f>'Site Data'!E1858</f>
        <v>0</v>
      </c>
      <c r="D1856" s="97">
        <f t="shared" si="58"/>
        <v>356.6</v>
      </c>
      <c r="E1856" s="98" t="str">
        <f t="shared" si="59"/>
        <v>Error</v>
      </c>
    </row>
    <row r="1857" spans="1:5" x14ac:dyDescent="0.25">
      <c r="A1857" s="95">
        <f>'Site Data'!B1859</f>
        <v>0</v>
      </c>
      <c r="B1857">
        <f>'Raw Data'!B1859</f>
        <v>356.6</v>
      </c>
      <c r="C1857">
        <f>'Site Data'!E1859</f>
        <v>0</v>
      </c>
      <c r="D1857" s="97">
        <f t="shared" si="58"/>
        <v>356.6</v>
      </c>
      <c r="E1857" s="98" t="str">
        <f t="shared" si="59"/>
        <v>Error</v>
      </c>
    </row>
    <row r="1858" spans="1:5" x14ac:dyDescent="0.25">
      <c r="A1858" s="95">
        <f>'Site Data'!B1860</f>
        <v>0</v>
      </c>
      <c r="B1858">
        <f>'Raw Data'!B1860</f>
        <v>356.6</v>
      </c>
      <c r="C1858">
        <f>'Site Data'!E1860</f>
        <v>0</v>
      </c>
      <c r="D1858" s="97">
        <f t="shared" ref="D1858:D1921" si="60">B1858-C1858</f>
        <v>356.6</v>
      </c>
      <c r="E1858" s="98" t="str">
        <f t="shared" ref="E1858:E1921" si="61">IF(AND(D1858 &gt;= 50, D1858 &lt;= 60), "Valid", "Error")</f>
        <v>Error</v>
      </c>
    </row>
    <row r="1859" spans="1:5" x14ac:dyDescent="0.25">
      <c r="A1859" s="95">
        <f>'Site Data'!B1861</f>
        <v>0</v>
      </c>
      <c r="B1859">
        <f>'Raw Data'!B1861</f>
        <v>356.6</v>
      </c>
      <c r="C1859">
        <f>'Site Data'!E1861</f>
        <v>0</v>
      </c>
      <c r="D1859" s="97">
        <f t="shared" si="60"/>
        <v>356.6</v>
      </c>
      <c r="E1859" s="98" t="str">
        <f t="shared" si="61"/>
        <v>Error</v>
      </c>
    </row>
    <row r="1860" spans="1:5" x14ac:dyDescent="0.25">
      <c r="A1860" s="95">
        <f>'Site Data'!B1862</f>
        <v>0</v>
      </c>
      <c r="B1860">
        <f>'Raw Data'!B1862</f>
        <v>356.6</v>
      </c>
      <c r="C1860">
        <f>'Site Data'!E1862</f>
        <v>0</v>
      </c>
      <c r="D1860" s="97">
        <f t="shared" si="60"/>
        <v>356.6</v>
      </c>
      <c r="E1860" s="98" t="str">
        <f t="shared" si="61"/>
        <v>Error</v>
      </c>
    </row>
    <row r="1861" spans="1:5" x14ac:dyDescent="0.25">
      <c r="A1861" s="95">
        <f>'Site Data'!B1863</f>
        <v>0</v>
      </c>
      <c r="B1861">
        <f>'Raw Data'!B1863</f>
        <v>356.6</v>
      </c>
      <c r="C1861">
        <f>'Site Data'!E1863</f>
        <v>0</v>
      </c>
      <c r="D1861" s="97">
        <f t="shared" si="60"/>
        <v>356.6</v>
      </c>
      <c r="E1861" s="98" t="str">
        <f t="shared" si="61"/>
        <v>Error</v>
      </c>
    </row>
    <row r="1862" spans="1:5" x14ac:dyDescent="0.25">
      <c r="A1862" s="95">
        <f>'Site Data'!B1864</f>
        <v>0</v>
      </c>
      <c r="B1862">
        <f>'Raw Data'!B1864</f>
        <v>356.6</v>
      </c>
      <c r="C1862">
        <f>'Site Data'!E1864</f>
        <v>0</v>
      </c>
      <c r="D1862" s="97">
        <f t="shared" si="60"/>
        <v>356.6</v>
      </c>
      <c r="E1862" s="98" t="str">
        <f t="shared" si="61"/>
        <v>Error</v>
      </c>
    </row>
    <row r="1863" spans="1:5" x14ac:dyDescent="0.25">
      <c r="A1863" s="95">
        <f>'Site Data'!B1865</f>
        <v>0</v>
      </c>
      <c r="B1863">
        <f>'Raw Data'!B1865</f>
        <v>356.6</v>
      </c>
      <c r="C1863">
        <f>'Site Data'!E1865</f>
        <v>0</v>
      </c>
      <c r="D1863" s="97">
        <f t="shared" si="60"/>
        <v>356.6</v>
      </c>
      <c r="E1863" s="98" t="str">
        <f t="shared" si="61"/>
        <v>Error</v>
      </c>
    </row>
    <row r="1864" spans="1:5" x14ac:dyDescent="0.25">
      <c r="A1864" s="95">
        <f>'Site Data'!B1866</f>
        <v>0</v>
      </c>
      <c r="B1864">
        <f>'Raw Data'!B1866</f>
        <v>356.6</v>
      </c>
      <c r="C1864">
        <f>'Site Data'!E1866</f>
        <v>0</v>
      </c>
      <c r="D1864" s="97">
        <f t="shared" si="60"/>
        <v>356.6</v>
      </c>
      <c r="E1864" s="98" t="str">
        <f t="shared" si="61"/>
        <v>Error</v>
      </c>
    </row>
    <row r="1865" spans="1:5" x14ac:dyDescent="0.25">
      <c r="A1865" s="95">
        <f>'Site Data'!B1867</f>
        <v>0</v>
      </c>
      <c r="B1865">
        <f>'Raw Data'!B1867</f>
        <v>356.6</v>
      </c>
      <c r="C1865">
        <f>'Site Data'!E1867</f>
        <v>0</v>
      </c>
      <c r="D1865" s="97">
        <f t="shared" si="60"/>
        <v>356.6</v>
      </c>
      <c r="E1865" s="98" t="str">
        <f t="shared" si="61"/>
        <v>Error</v>
      </c>
    </row>
    <row r="1866" spans="1:5" x14ac:dyDescent="0.25">
      <c r="A1866" s="95">
        <f>'Site Data'!B1868</f>
        <v>0</v>
      </c>
      <c r="B1866">
        <f>'Raw Data'!B1868</f>
        <v>356.6</v>
      </c>
      <c r="C1866">
        <f>'Site Data'!E1868</f>
        <v>0</v>
      </c>
      <c r="D1866" s="97">
        <f t="shared" si="60"/>
        <v>356.6</v>
      </c>
      <c r="E1866" s="98" t="str">
        <f t="shared" si="61"/>
        <v>Error</v>
      </c>
    </row>
    <row r="1867" spans="1:5" x14ac:dyDescent="0.25">
      <c r="A1867" s="95">
        <f>'Site Data'!B1869</f>
        <v>0</v>
      </c>
      <c r="B1867">
        <f>'Raw Data'!B1869</f>
        <v>357.02</v>
      </c>
      <c r="C1867">
        <f>'Site Data'!E1869</f>
        <v>0</v>
      </c>
      <c r="D1867" s="97">
        <f t="shared" si="60"/>
        <v>357.02</v>
      </c>
      <c r="E1867" s="98" t="str">
        <f t="shared" si="61"/>
        <v>Error</v>
      </c>
    </row>
    <row r="1868" spans="1:5" x14ac:dyDescent="0.25">
      <c r="A1868" s="95">
        <f>'Site Data'!B1870</f>
        <v>0</v>
      </c>
      <c r="B1868">
        <f>'Raw Data'!B1870</f>
        <v>357.02</v>
      </c>
      <c r="C1868">
        <f>'Site Data'!E1870</f>
        <v>0</v>
      </c>
      <c r="D1868" s="97">
        <f t="shared" si="60"/>
        <v>357.02</v>
      </c>
      <c r="E1868" s="98" t="str">
        <f t="shared" si="61"/>
        <v>Error</v>
      </c>
    </row>
    <row r="1869" spans="1:5" x14ac:dyDescent="0.25">
      <c r="A1869" s="95">
        <f>'Site Data'!B1871</f>
        <v>0</v>
      </c>
      <c r="B1869">
        <f>'Raw Data'!B1871</f>
        <v>357.05</v>
      </c>
      <c r="C1869">
        <f>'Site Data'!E1871</f>
        <v>0</v>
      </c>
      <c r="D1869" s="97">
        <f t="shared" si="60"/>
        <v>357.05</v>
      </c>
      <c r="E1869" s="98" t="str">
        <f t="shared" si="61"/>
        <v>Error</v>
      </c>
    </row>
    <row r="1870" spans="1:5" x14ac:dyDescent="0.25">
      <c r="A1870" s="95">
        <f>'Site Data'!B1872</f>
        <v>0</v>
      </c>
      <c r="B1870">
        <f>'Raw Data'!B1872</f>
        <v>357.05</v>
      </c>
      <c r="C1870">
        <f>'Site Data'!E1872</f>
        <v>0</v>
      </c>
      <c r="D1870" s="97">
        <f t="shared" si="60"/>
        <v>357.05</v>
      </c>
      <c r="E1870" s="98" t="str">
        <f t="shared" si="61"/>
        <v>Error</v>
      </c>
    </row>
    <row r="1871" spans="1:5" x14ac:dyDescent="0.25">
      <c r="A1871" s="95">
        <f>'Site Data'!B1873</f>
        <v>0</v>
      </c>
      <c r="B1871">
        <f>'Raw Data'!B1873</f>
        <v>357.050593527714</v>
      </c>
      <c r="C1871">
        <f>'Site Data'!E1873</f>
        <v>0</v>
      </c>
      <c r="D1871" s="97">
        <f t="shared" si="60"/>
        <v>357.050593527714</v>
      </c>
      <c r="E1871" s="98" t="str">
        <f t="shared" si="61"/>
        <v>Error</v>
      </c>
    </row>
    <row r="1872" spans="1:5" x14ac:dyDescent="0.25">
      <c r="A1872" s="95">
        <f>'Site Data'!B1874</f>
        <v>0</v>
      </c>
      <c r="B1872">
        <f>'Raw Data'!B1874</f>
        <v>357.06</v>
      </c>
      <c r="C1872">
        <f>'Site Data'!E1874</f>
        <v>0</v>
      </c>
      <c r="D1872" s="97">
        <f t="shared" si="60"/>
        <v>357.06</v>
      </c>
      <c r="E1872" s="98" t="str">
        <f t="shared" si="61"/>
        <v>Error</v>
      </c>
    </row>
    <row r="1873" spans="1:5" x14ac:dyDescent="0.25">
      <c r="A1873" s="95">
        <f>'Site Data'!B1875</f>
        <v>0</v>
      </c>
      <c r="B1873">
        <f>'Raw Data'!B1875</f>
        <v>357.0607124663178</v>
      </c>
      <c r="C1873">
        <f>'Site Data'!E1875</f>
        <v>0</v>
      </c>
      <c r="D1873" s="97">
        <f t="shared" si="60"/>
        <v>357.0607124663178</v>
      </c>
      <c r="E1873" s="98" t="str">
        <f t="shared" si="61"/>
        <v>Error</v>
      </c>
    </row>
    <row r="1874" spans="1:5" x14ac:dyDescent="0.25">
      <c r="A1874" s="95">
        <f>'Site Data'!B1876</f>
        <v>0</v>
      </c>
      <c r="B1874">
        <f>'Raw Data'!B1876</f>
        <v>357.07</v>
      </c>
      <c r="C1874">
        <f>'Site Data'!E1876</f>
        <v>0</v>
      </c>
      <c r="D1874" s="97">
        <f t="shared" si="60"/>
        <v>357.07</v>
      </c>
      <c r="E1874" s="98" t="str">
        <f t="shared" si="61"/>
        <v>Error</v>
      </c>
    </row>
    <row r="1875" spans="1:5" x14ac:dyDescent="0.25">
      <c r="A1875" s="95">
        <f>'Site Data'!B1877</f>
        <v>0</v>
      </c>
      <c r="B1875">
        <f>'Raw Data'!B1877</f>
        <v>357.07</v>
      </c>
      <c r="C1875">
        <f>'Site Data'!E1877</f>
        <v>0</v>
      </c>
      <c r="D1875" s="97">
        <f t="shared" si="60"/>
        <v>357.07</v>
      </c>
      <c r="E1875" s="98" t="str">
        <f t="shared" si="61"/>
        <v>Error</v>
      </c>
    </row>
    <row r="1876" spans="1:5" x14ac:dyDescent="0.25">
      <c r="A1876" s="95">
        <f>'Site Data'!B1878</f>
        <v>0</v>
      </c>
      <c r="B1876">
        <f>'Raw Data'!B1878</f>
        <v>357.07</v>
      </c>
      <c r="C1876">
        <f>'Site Data'!E1878</f>
        <v>0</v>
      </c>
      <c r="D1876" s="97">
        <f t="shared" si="60"/>
        <v>357.07</v>
      </c>
      <c r="E1876" s="98" t="str">
        <f t="shared" si="61"/>
        <v>Error</v>
      </c>
    </row>
    <row r="1877" spans="1:5" x14ac:dyDescent="0.25">
      <c r="A1877" s="95">
        <f>'Site Data'!B1879</f>
        <v>0</v>
      </c>
      <c r="B1877">
        <f>'Raw Data'!B1879</f>
        <v>357.07</v>
      </c>
      <c r="C1877">
        <f>'Site Data'!E1879</f>
        <v>0</v>
      </c>
      <c r="D1877" s="97">
        <f t="shared" si="60"/>
        <v>357.07</v>
      </c>
      <c r="E1877" s="98" t="str">
        <f t="shared" si="61"/>
        <v>Error</v>
      </c>
    </row>
    <row r="1878" spans="1:5" x14ac:dyDescent="0.25">
      <c r="A1878" s="95">
        <f>'Site Data'!B1880</f>
        <v>0</v>
      </c>
      <c r="B1878">
        <f>'Raw Data'!B1880</f>
        <v>357.07</v>
      </c>
      <c r="C1878">
        <f>'Site Data'!E1880</f>
        <v>0</v>
      </c>
      <c r="D1878" s="97">
        <f t="shared" si="60"/>
        <v>357.07</v>
      </c>
      <c r="E1878" s="98" t="str">
        <f t="shared" si="61"/>
        <v>Error</v>
      </c>
    </row>
    <row r="1879" spans="1:5" x14ac:dyDescent="0.25">
      <c r="A1879" s="95">
        <f>'Site Data'!B1881</f>
        <v>0</v>
      </c>
      <c r="B1879">
        <f>'Raw Data'!B1881</f>
        <v>357.07</v>
      </c>
      <c r="C1879">
        <f>'Site Data'!E1881</f>
        <v>0</v>
      </c>
      <c r="D1879" s="97">
        <f t="shared" si="60"/>
        <v>357.07</v>
      </c>
      <c r="E1879" s="98" t="str">
        <f t="shared" si="61"/>
        <v>Error</v>
      </c>
    </row>
    <row r="1880" spans="1:5" x14ac:dyDescent="0.25">
      <c r="A1880" s="95">
        <f>'Site Data'!B1882</f>
        <v>0</v>
      </c>
      <c r="B1880">
        <f>'Raw Data'!B1882</f>
        <v>357.07</v>
      </c>
      <c r="C1880">
        <f>'Site Data'!E1882</f>
        <v>0</v>
      </c>
      <c r="D1880" s="97">
        <f t="shared" si="60"/>
        <v>357.07</v>
      </c>
      <c r="E1880" s="98" t="str">
        <f t="shared" si="61"/>
        <v>Error</v>
      </c>
    </row>
    <row r="1881" spans="1:5" x14ac:dyDescent="0.25">
      <c r="A1881" s="95">
        <f>'Site Data'!B1883</f>
        <v>0</v>
      </c>
      <c r="B1881">
        <f>'Raw Data'!B1883</f>
        <v>357.07</v>
      </c>
      <c r="C1881">
        <f>'Site Data'!E1883</f>
        <v>0</v>
      </c>
      <c r="D1881" s="97">
        <f t="shared" si="60"/>
        <v>357.07</v>
      </c>
      <c r="E1881" s="98" t="str">
        <f t="shared" si="61"/>
        <v>Error</v>
      </c>
    </row>
    <row r="1882" spans="1:5" x14ac:dyDescent="0.25">
      <c r="A1882" s="95">
        <f>'Site Data'!B1884</f>
        <v>0</v>
      </c>
      <c r="B1882">
        <f>'Raw Data'!B1884</f>
        <v>357.07</v>
      </c>
      <c r="C1882">
        <f>'Site Data'!E1884</f>
        <v>0</v>
      </c>
      <c r="D1882" s="97">
        <f t="shared" si="60"/>
        <v>357.07</v>
      </c>
      <c r="E1882" s="98" t="str">
        <f t="shared" si="61"/>
        <v>Error</v>
      </c>
    </row>
    <row r="1883" spans="1:5" x14ac:dyDescent="0.25">
      <c r="A1883" s="95">
        <f>'Site Data'!B1885</f>
        <v>0</v>
      </c>
      <c r="B1883">
        <f>'Raw Data'!B1885</f>
        <v>357.07</v>
      </c>
      <c r="C1883">
        <f>'Site Data'!E1885</f>
        <v>0</v>
      </c>
      <c r="D1883" s="97">
        <f t="shared" si="60"/>
        <v>357.07</v>
      </c>
      <c r="E1883" s="98" t="str">
        <f t="shared" si="61"/>
        <v>Error</v>
      </c>
    </row>
    <row r="1884" spans="1:5" x14ac:dyDescent="0.25">
      <c r="A1884" s="95">
        <f>'Site Data'!B1886</f>
        <v>0</v>
      </c>
      <c r="B1884">
        <f>'Raw Data'!B1886</f>
        <v>357.07</v>
      </c>
      <c r="C1884">
        <f>'Site Data'!E1886</f>
        <v>0</v>
      </c>
      <c r="D1884" s="97">
        <f t="shared" si="60"/>
        <v>357.07</v>
      </c>
      <c r="E1884" s="98" t="str">
        <f t="shared" si="61"/>
        <v>Error</v>
      </c>
    </row>
    <row r="1885" spans="1:5" x14ac:dyDescent="0.25">
      <c r="A1885" s="95">
        <f>'Site Data'!B1887</f>
        <v>0</v>
      </c>
      <c r="B1885">
        <f>'Raw Data'!B1887</f>
        <v>357.07</v>
      </c>
      <c r="C1885">
        <f>'Site Data'!E1887</f>
        <v>0</v>
      </c>
      <c r="D1885" s="97">
        <f t="shared" si="60"/>
        <v>357.07</v>
      </c>
      <c r="E1885" s="98" t="str">
        <f t="shared" si="61"/>
        <v>Error</v>
      </c>
    </row>
    <row r="1886" spans="1:5" x14ac:dyDescent="0.25">
      <c r="A1886" s="95">
        <f>'Site Data'!B1888</f>
        <v>0</v>
      </c>
      <c r="B1886">
        <f>'Raw Data'!B1888</f>
        <v>357.07</v>
      </c>
      <c r="C1886">
        <f>'Site Data'!E1888</f>
        <v>0</v>
      </c>
      <c r="D1886" s="97">
        <f t="shared" si="60"/>
        <v>357.07</v>
      </c>
      <c r="E1886" s="98" t="str">
        <f t="shared" si="61"/>
        <v>Error</v>
      </c>
    </row>
    <row r="1887" spans="1:5" x14ac:dyDescent="0.25">
      <c r="A1887" s="95">
        <f>'Site Data'!B1889</f>
        <v>0</v>
      </c>
      <c r="B1887">
        <f>'Raw Data'!B1889</f>
        <v>357.07</v>
      </c>
      <c r="C1887">
        <f>'Site Data'!E1889</f>
        <v>0</v>
      </c>
      <c r="D1887" s="97">
        <f t="shared" si="60"/>
        <v>357.07</v>
      </c>
      <c r="E1887" s="98" t="str">
        <f t="shared" si="61"/>
        <v>Error</v>
      </c>
    </row>
    <row r="1888" spans="1:5" x14ac:dyDescent="0.25">
      <c r="A1888" s="95">
        <f>'Site Data'!B1890</f>
        <v>0</v>
      </c>
      <c r="B1888">
        <f>'Raw Data'!B1890</f>
        <v>357.07</v>
      </c>
      <c r="C1888">
        <f>'Site Data'!E1890</f>
        <v>0</v>
      </c>
      <c r="D1888" s="97">
        <f t="shared" si="60"/>
        <v>357.07</v>
      </c>
      <c r="E1888" s="98" t="str">
        <f t="shared" si="61"/>
        <v>Error</v>
      </c>
    </row>
    <row r="1889" spans="1:5" x14ac:dyDescent="0.25">
      <c r="A1889" s="95">
        <f>'Site Data'!B1891</f>
        <v>0</v>
      </c>
      <c r="B1889">
        <f>'Raw Data'!B1891</f>
        <v>357.07</v>
      </c>
      <c r="C1889">
        <f>'Site Data'!E1891</f>
        <v>0</v>
      </c>
      <c r="D1889" s="97">
        <f t="shared" si="60"/>
        <v>357.07</v>
      </c>
      <c r="E1889" s="98" t="str">
        <f t="shared" si="61"/>
        <v>Error</v>
      </c>
    </row>
    <row r="1890" spans="1:5" x14ac:dyDescent="0.25">
      <c r="A1890" s="95">
        <f>'Site Data'!B1892</f>
        <v>0</v>
      </c>
      <c r="B1890">
        <f>'Raw Data'!B1892</f>
        <v>357.07</v>
      </c>
      <c r="C1890">
        <f>'Site Data'!E1892</f>
        <v>0</v>
      </c>
      <c r="D1890" s="97">
        <f t="shared" si="60"/>
        <v>357.07</v>
      </c>
      <c r="E1890" s="98" t="str">
        <f t="shared" si="61"/>
        <v>Error</v>
      </c>
    </row>
    <row r="1891" spans="1:5" x14ac:dyDescent="0.25">
      <c r="A1891" s="95">
        <f>'Site Data'!B1893</f>
        <v>0</v>
      </c>
      <c r="B1891">
        <f>'Raw Data'!B1893</f>
        <v>357.07</v>
      </c>
      <c r="C1891">
        <f>'Site Data'!E1893</f>
        <v>0</v>
      </c>
      <c r="D1891" s="97">
        <f t="shared" si="60"/>
        <v>357.07</v>
      </c>
      <c r="E1891" s="98" t="str">
        <f t="shared" si="61"/>
        <v>Error</v>
      </c>
    </row>
    <row r="1892" spans="1:5" x14ac:dyDescent="0.25">
      <c r="A1892" s="95">
        <f>'Site Data'!B1894</f>
        <v>0</v>
      </c>
      <c r="B1892">
        <f>'Raw Data'!B1894</f>
        <v>357.07</v>
      </c>
      <c r="C1892">
        <f>'Site Data'!E1894</f>
        <v>0</v>
      </c>
      <c r="D1892" s="97">
        <f t="shared" si="60"/>
        <v>357.07</v>
      </c>
      <c r="E1892" s="98" t="str">
        <f t="shared" si="61"/>
        <v>Error</v>
      </c>
    </row>
    <row r="1893" spans="1:5" x14ac:dyDescent="0.25">
      <c r="A1893" s="95">
        <f>'Site Data'!B1895</f>
        <v>0</v>
      </c>
      <c r="B1893">
        <f>'Raw Data'!B1895</f>
        <v>357.07</v>
      </c>
      <c r="C1893">
        <f>'Site Data'!E1895</f>
        <v>0</v>
      </c>
      <c r="D1893" s="97">
        <f t="shared" si="60"/>
        <v>357.07</v>
      </c>
      <c r="E1893" s="98" t="str">
        <f t="shared" si="61"/>
        <v>Error</v>
      </c>
    </row>
    <row r="1894" spans="1:5" x14ac:dyDescent="0.25">
      <c r="A1894" s="95">
        <f>'Site Data'!B1896</f>
        <v>0</v>
      </c>
      <c r="B1894">
        <f>'Raw Data'!B1896</f>
        <v>357.07</v>
      </c>
      <c r="C1894">
        <f>'Site Data'!E1896</f>
        <v>0</v>
      </c>
      <c r="D1894" s="97">
        <f t="shared" si="60"/>
        <v>357.07</v>
      </c>
      <c r="E1894" s="98" t="str">
        <f t="shared" si="61"/>
        <v>Error</v>
      </c>
    </row>
    <row r="1895" spans="1:5" x14ac:dyDescent="0.25">
      <c r="A1895" s="95">
        <f>'Site Data'!B1897</f>
        <v>0</v>
      </c>
      <c r="B1895">
        <f>'Raw Data'!B1897</f>
        <v>357.35</v>
      </c>
      <c r="C1895">
        <f>'Site Data'!E1897</f>
        <v>0</v>
      </c>
      <c r="D1895" s="97">
        <f t="shared" si="60"/>
        <v>357.35</v>
      </c>
      <c r="E1895" s="98" t="str">
        <f t="shared" si="61"/>
        <v>Error</v>
      </c>
    </row>
    <row r="1896" spans="1:5" x14ac:dyDescent="0.25">
      <c r="A1896" s="95">
        <f>'Site Data'!B1898</f>
        <v>0</v>
      </c>
      <c r="B1896">
        <f>'Raw Data'!B1898</f>
        <v>357.35</v>
      </c>
      <c r="C1896">
        <f>'Site Data'!E1898</f>
        <v>0</v>
      </c>
      <c r="D1896" s="97">
        <f t="shared" si="60"/>
        <v>357.35</v>
      </c>
      <c r="E1896" s="98" t="str">
        <f t="shared" si="61"/>
        <v>Error</v>
      </c>
    </row>
    <row r="1897" spans="1:5" x14ac:dyDescent="0.25">
      <c r="A1897" s="95">
        <f>'Site Data'!B1899</f>
        <v>0</v>
      </c>
      <c r="B1897">
        <f>'Raw Data'!B1899</f>
        <v>357.37</v>
      </c>
      <c r="C1897">
        <f>'Site Data'!E1899</f>
        <v>0</v>
      </c>
      <c r="D1897" s="97">
        <f t="shared" si="60"/>
        <v>357.37</v>
      </c>
      <c r="E1897" s="98" t="str">
        <f t="shared" si="61"/>
        <v>Error</v>
      </c>
    </row>
    <row r="1898" spans="1:5" x14ac:dyDescent="0.25">
      <c r="A1898" s="95">
        <f>'Site Data'!B1900</f>
        <v>0</v>
      </c>
      <c r="B1898">
        <f>'Raw Data'!B1900</f>
        <v>357.37</v>
      </c>
      <c r="C1898">
        <f>'Site Data'!E1900</f>
        <v>0</v>
      </c>
      <c r="D1898" s="97">
        <f t="shared" si="60"/>
        <v>357.37</v>
      </c>
      <c r="E1898" s="98" t="str">
        <f t="shared" si="61"/>
        <v>Error</v>
      </c>
    </row>
    <row r="1899" spans="1:5" x14ac:dyDescent="0.25">
      <c r="A1899" s="95">
        <f>'Site Data'!B1901</f>
        <v>0</v>
      </c>
      <c r="B1899">
        <f>'Raw Data'!B1901</f>
        <v>357.39</v>
      </c>
      <c r="C1899">
        <f>'Site Data'!E1901</f>
        <v>0</v>
      </c>
      <c r="D1899" s="97">
        <f t="shared" si="60"/>
        <v>357.39</v>
      </c>
      <c r="E1899" s="98" t="str">
        <f t="shared" si="61"/>
        <v>Error</v>
      </c>
    </row>
    <row r="1900" spans="1:5" x14ac:dyDescent="0.25">
      <c r="A1900" s="95">
        <f>'Site Data'!B1902</f>
        <v>0</v>
      </c>
      <c r="B1900">
        <f>'Raw Data'!B1902</f>
        <v>357.39</v>
      </c>
      <c r="C1900">
        <f>'Site Data'!E1902</f>
        <v>0</v>
      </c>
      <c r="D1900" s="97">
        <f t="shared" si="60"/>
        <v>357.39</v>
      </c>
      <c r="E1900" s="98" t="str">
        <f t="shared" si="61"/>
        <v>Error</v>
      </c>
    </row>
    <row r="1901" spans="1:5" x14ac:dyDescent="0.25">
      <c r="A1901" s="95">
        <f>'Site Data'!B1903</f>
        <v>0</v>
      </c>
      <c r="B1901">
        <f>'Raw Data'!B1903</f>
        <v>357.39243500839359</v>
      </c>
      <c r="C1901">
        <f>'Site Data'!E1903</f>
        <v>0</v>
      </c>
      <c r="D1901" s="97">
        <f t="shared" si="60"/>
        <v>357.39243500839359</v>
      </c>
      <c r="E1901" s="98" t="str">
        <f t="shared" si="61"/>
        <v>Error</v>
      </c>
    </row>
    <row r="1902" spans="1:5" x14ac:dyDescent="0.25">
      <c r="A1902" s="95">
        <f>'Site Data'!B1904</f>
        <v>0</v>
      </c>
      <c r="B1902">
        <f>'Raw Data'!B1904</f>
        <v>357.41</v>
      </c>
      <c r="C1902">
        <f>'Site Data'!E1904</f>
        <v>0</v>
      </c>
      <c r="D1902" s="97">
        <f t="shared" si="60"/>
        <v>357.41</v>
      </c>
      <c r="E1902" s="98" t="str">
        <f t="shared" si="61"/>
        <v>Error</v>
      </c>
    </row>
    <row r="1903" spans="1:5" x14ac:dyDescent="0.25">
      <c r="A1903" s="95">
        <f>'Site Data'!B1905</f>
        <v>0</v>
      </c>
      <c r="B1903">
        <f>'Raw Data'!B1905</f>
        <v>357.41</v>
      </c>
      <c r="C1903">
        <f>'Site Data'!E1905</f>
        <v>0</v>
      </c>
      <c r="D1903" s="97">
        <f t="shared" si="60"/>
        <v>357.41</v>
      </c>
      <c r="E1903" s="98" t="str">
        <f t="shared" si="61"/>
        <v>Error</v>
      </c>
    </row>
    <row r="1904" spans="1:5" x14ac:dyDescent="0.25">
      <c r="A1904" s="95">
        <f>'Site Data'!B1906</f>
        <v>0</v>
      </c>
      <c r="B1904">
        <f>'Raw Data'!B1906</f>
        <v>357.41</v>
      </c>
      <c r="C1904">
        <f>'Site Data'!E1906</f>
        <v>0</v>
      </c>
      <c r="D1904" s="97">
        <f t="shared" si="60"/>
        <v>357.41</v>
      </c>
      <c r="E1904" s="98" t="str">
        <f t="shared" si="61"/>
        <v>Error</v>
      </c>
    </row>
    <row r="1905" spans="1:5" x14ac:dyDescent="0.25">
      <c r="A1905" s="95">
        <f>'Site Data'!B1907</f>
        <v>0</v>
      </c>
      <c r="B1905">
        <f>'Raw Data'!B1907</f>
        <v>357.41</v>
      </c>
      <c r="C1905">
        <f>'Site Data'!E1907</f>
        <v>0</v>
      </c>
      <c r="D1905" s="97">
        <f t="shared" si="60"/>
        <v>357.41</v>
      </c>
      <c r="E1905" s="98" t="str">
        <f t="shared" si="61"/>
        <v>Error</v>
      </c>
    </row>
    <row r="1906" spans="1:5" x14ac:dyDescent="0.25">
      <c r="A1906" s="95">
        <f>'Site Data'!B1908</f>
        <v>0</v>
      </c>
      <c r="B1906">
        <f>'Raw Data'!B1908</f>
        <v>357.41</v>
      </c>
      <c r="C1906">
        <f>'Site Data'!E1908</f>
        <v>0</v>
      </c>
      <c r="D1906" s="97">
        <f t="shared" si="60"/>
        <v>357.41</v>
      </c>
      <c r="E1906" s="98" t="str">
        <f t="shared" si="61"/>
        <v>Error</v>
      </c>
    </row>
    <row r="1907" spans="1:5" x14ac:dyDescent="0.25">
      <c r="A1907" s="95">
        <f>'Site Data'!B1909</f>
        <v>0</v>
      </c>
      <c r="B1907">
        <f>'Raw Data'!B1909</f>
        <v>357.41</v>
      </c>
      <c r="C1907">
        <f>'Site Data'!E1909</f>
        <v>0</v>
      </c>
      <c r="D1907" s="97">
        <f t="shared" si="60"/>
        <v>357.41</v>
      </c>
      <c r="E1907" s="98" t="str">
        <f t="shared" si="61"/>
        <v>Error</v>
      </c>
    </row>
    <row r="1908" spans="1:5" x14ac:dyDescent="0.25">
      <c r="A1908" s="95">
        <f>'Site Data'!B1910</f>
        <v>0</v>
      </c>
      <c r="B1908">
        <f>'Raw Data'!B1910</f>
        <v>357.41</v>
      </c>
      <c r="C1908">
        <f>'Site Data'!E1910</f>
        <v>0</v>
      </c>
      <c r="D1908" s="97">
        <f t="shared" si="60"/>
        <v>357.41</v>
      </c>
      <c r="E1908" s="98" t="str">
        <f t="shared" si="61"/>
        <v>Error</v>
      </c>
    </row>
    <row r="1909" spans="1:5" x14ac:dyDescent="0.25">
      <c r="A1909" s="95">
        <f>'Site Data'!B1911</f>
        <v>0</v>
      </c>
      <c r="B1909">
        <f>'Raw Data'!B1911</f>
        <v>357.45821973911455</v>
      </c>
      <c r="C1909">
        <f>'Site Data'!E1911</f>
        <v>0</v>
      </c>
      <c r="D1909" s="97">
        <f t="shared" si="60"/>
        <v>357.45821973911455</v>
      </c>
      <c r="E1909" s="98" t="str">
        <f t="shared" si="61"/>
        <v>Error</v>
      </c>
    </row>
    <row r="1910" spans="1:5" x14ac:dyDescent="0.25">
      <c r="A1910" s="95">
        <f>'Site Data'!B1912</f>
        <v>0</v>
      </c>
      <c r="B1910">
        <f>'Raw Data'!B1912</f>
        <v>357.5</v>
      </c>
      <c r="C1910">
        <f>'Site Data'!E1912</f>
        <v>0</v>
      </c>
      <c r="D1910" s="97">
        <f t="shared" si="60"/>
        <v>357.5</v>
      </c>
      <c r="E1910" s="98" t="str">
        <f t="shared" si="61"/>
        <v>Error</v>
      </c>
    </row>
    <row r="1911" spans="1:5" x14ac:dyDescent="0.25">
      <c r="A1911" s="95">
        <f>'Site Data'!B1913</f>
        <v>0</v>
      </c>
      <c r="B1911">
        <f>'Raw Data'!B1913</f>
        <v>357.51846278225406</v>
      </c>
      <c r="C1911">
        <f>'Site Data'!E1913</f>
        <v>0</v>
      </c>
      <c r="D1911" s="97">
        <f t="shared" si="60"/>
        <v>357.51846278225406</v>
      </c>
      <c r="E1911" s="98" t="str">
        <f t="shared" si="61"/>
        <v>Error</v>
      </c>
    </row>
    <row r="1912" spans="1:5" x14ac:dyDescent="0.25">
      <c r="A1912" s="95">
        <f>'Site Data'!B1914</f>
        <v>0</v>
      </c>
      <c r="B1912">
        <f>'Raw Data'!B1914</f>
        <v>357.53</v>
      </c>
      <c r="C1912">
        <f>'Site Data'!E1914</f>
        <v>0</v>
      </c>
      <c r="D1912" s="97">
        <f t="shared" si="60"/>
        <v>357.53</v>
      </c>
      <c r="E1912" s="98" t="str">
        <f t="shared" si="61"/>
        <v>Error</v>
      </c>
    </row>
    <row r="1913" spans="1:5" x14ac:dyDescent="0.25">
      <c r="A1913" s="95">
        <f>'Site Data'!B1915</f>
        <v>0</v>
      </c>
      <c r="B1913">
        <f>'Raw Data'!B1915</f>
        <v>357.53520042583347</v>
      </c>
      <c r="C1913">
        <f>'Site Data'!E1915</f>
        <v>0</v>
      </c>
      <c r="D1913" s="97">
        <f t="shared" si="60"/>
        <v>357.53520042583347</v>
      </c>
      <c r="E1913" s="98" t="str">
        <f t="shared" si="61"/>
        <v>Error</v>
      </c>
    </row>
    <row r="1914" spans="1:5" x14ac:dyDescent="0.25">
      <c r="A1914" s="95">
        <f>'Site Data'!B1916</f>
        <v>0</v>
      </c>
      <c r="B1914">
        <f>'Raw Data'!B1916</f>
        <v>357.55</v>
      </c>
      <c r="C1914">
        <f>'Site Data'!E1916</f>
        <v>0</v>
      </c>
      <c r="D1914" s="97">
        <f t="shared" si="60"/>
        <v>357.55</v>
      </c>
      <c r="E1914" s="98" t="str">
        <f t="shared" si="61"/>
        <v>Error</v>
      </c>
    </row>
    <row r="1915" spans="1:5" x14ac:dyDescent="0.25">
      <c r="A1915" s="95">
        <f>'Site Data'!B1917</f>
        <v>0</v>
      </c>
      <c r="B1915">
        <f>'Raw Data'!B1917</f>
        <v>357.55798930422867</v>
      </c>
      <c r="C1915">
        <f>'Site Data'!E1917</f>
        <v>0</v>
      </c>
      <c r="D1915" s="97">
        <f t="shared" si="60"/>
        <v>357.55798930422867</v>
      </c>
      <c r="E1915" s="98" t="str">
        <f t="shared" si="61"/>
        <v>Error</v>
      </c>
    </row>
    <row r="1916" spans="1:5" x14ac:dyDescent="0.25">
      <c r="A1916" s="95">
        <f>'Site Data'!B1918</f>
        <v>0</v>
      </c>
      <c r="B1916">
        <f>'Raw Data'!B1918</f>
        <v>357.58</v>
      </c>
      <c r="C1916">
        <f>'Site Data'!E1918</f>
        <v>0</v>
      </c>
      <c r="D1916" s="97">
        <f t="shared" si="60"/>
        <v>357.58</v>
      </c>
      <c r="E1916" s="98" t="str">
        <f t="shared" si="61"/>
        <v>Error</v>
      </c>
    </row>
    <row r="1917" spans="1:5" x14ac:dyDescent="0.25">
      <c r="A1917" s="95">
        <f>'Site Data'!B1919</f>
        <v>0</v>
      </c>
      <c r="B1917">
        <f>'Raw Data'!B1919</f>
        <v>357.58</v>
      </c>
      <c r="C1917">
        <f>'Site Data'!E1919</f>
        <v>0</v>
      </c>
      <c r="D1917" s="97">
        <f t="shared" si="60"/>
        <v>357.58</v>
      </c>
      <c r="E1917" s="98" t="str">
        <f t="shared" si="61"/>
        <v>Error</v>
      </c>
    </row>
    <row r="1918" spans="1:5" x14ac:dyDescent="0.25">
      <c r="A1918" s="95">
        <f>'Site Data'!B1920</f>
        <v>0</v>
      </c>
      <c r="B1918">
        <f>'Raw Data'!B1920</f>
        <v>357.58</v>
      </c>
      <c r="C1918">
        <f>'Site Data'!E1920</f>
        <v>0</v>
      </c>
      <c r="D1918" s="97">
        <f t="shared" si="60"/>
        <v>357.58</v>
      </c>
      <c r="E1918" s="98" t="str">
        <f t="shared" si="61"/>
        <v>Error</v>
      </c>
    </row>
    <row r="1919" spans="1:5" x14ac:dyDescent="0.25">
      <c r="A1919" s="95">
        <f>'Site Data'!B1921</f>
        <v>0</v>
      </c>
      <c r="B1919">
        <f>'Raw Data'!B1921</f>
        <v>357.58</v>
      </c>
      <c r="C1919">
        <f>'Site Data'!E1921</f>
        <v>0</v>
      </c>
      <c r="D1919" s="97">
        <f t="shared" si="60"/>
        <v>357.58</v>
      </c>
      <c r="E1919" s="98" t="str">
        <f t="shared" si="61"/>
        <v>Error</v>
      </c>
    </row>
    <row r="1920" spans="1:5" x14ac:dyDescent="0.25">
      <c r="A1920" s="95">
        <f>'Site Data'!B1922</f>
        <v>0</v>
      </c>
      <c r="B1920">
        <f>'Raw Data'!B1922</f>
        <v>357.58</v>
      </c>
      <c r="C1920">
        <f>'Site Data'!E1922</f>
        <v>0</v>
      </c>
      <c r="D1920" s="97">
        <f t="shared" si="60"/>
        <v>357.58</v>
      </c>
      <c r="E1920" s="98" t="str">
        <f t="shared" si="61"/>
        <v>Error</v>
      </c>
    </row>
    <row r="1921" spans="1:5" x14ac:dyDescent="0.25">
      <c r="A1921" s="95">
        <f>'Site Data'!B1923</f>
        <v>0</v>
      </c>
      <c r="B1921">
        <f>'Raw Data'!B1923</f>
        <v>357.58</v>
      </c>
      <c r="C1921">
        <f>'Site Data'!E1923</f>
        <v>0</v>
      </c>
      <c r="D1921" s="97">
        <f t="shared" si="60"/>
        <v>357.58</v>
      </c>
      <c r="E1921" s="98" t="str">
        <f t="shared" si="61"/>
        <v>Error</v>
      </c>
    </row>
    <row r="1922" spans="1:5" x14ac:dyDescent="0.25">
      <c r="A1922" s="95">
        <f>'Site Data'!B1924</f>
        <v>0</v>
      </c>
      <c r="B1922">
        <f>'Raw Data'!B1924</f>
        <v>357.58</v>
      </c>
      <c r="C1922">
        <f>'Site Data'!E1924</f>
        <v>0</v>
      </c>
      <c r="D1922" s="97">
        <f t="shared" ref="D1922:D1985" si="62">B1922-C1922</f>
        <v>357.58</v>
      </c>
      <c r="E1922" s="98" t="str">
        <f t="shared" ref="E1922:E1985" si="63">IF(AND(D1922 &gt;= 50, D1922 &lt;= 60), "Valid", "Error")</f>
        <v>Error</v>
      </c>
    </row>
    <row r="1923" spans="1:5" x14ac:dyDescent="0.25">
      <c r="A1923" s="95">
        <f>'Site Data'!B1925</f>
        <v>0</v>
      </c>
      <c r="B1923">
        <f>'Raw Data'!B1925</f>
        <v>357.61079978234068</v>
      </c>
      <c r="C1923">
        <f>'Site Data'!E1925</f>
        <v>0</v>
      </c>
      <c r="D1923" s="97">
        <f t="shared" si="62"/>
        <v>357.61079978234068</v>
      </c>
      <c r="E1923" s="98" t="str">
        <f t="shared" si="63"/>
        <v>Error</v>
      </c>
    </row>
    <row r="1924" spans="1:5" x14ac:dyDescent="0.25">
      <c r="A1924" s="95">
        <f>'Site Data'!B1926</f>
        <v>0</v>
      </c>
      <c r="B1924">
        <f>'Raw Data'!B1926</f>
        <v>357.69</v>
      </c>
      <c r="C1924">
        <f>'Site Data'!E1926</f>
        <v>0</v>
      </c>
      <c r="D1924" s="97">
        <f t="shared" si="62"/>
        <v>357.69</v>
      </c>
      <c r="E1924" s="98" t="str">
        <f t="shared" si="63"/>
        <v>Error</v>
      </c>
    </row>
    <row r="1925" spans="1:5" x14ac:dyDescent="0.25">
      <c r="A1925" s="95">
        <f>'Site Data'!B1927</f>
        <v>0</v>
      </c>
      <c r="B1925">
        <f>'Raw Data'!B1927</f>
        <v>357.69579495043752</v>
      </c>
      <c r="C1925">
        <f>'Site Data'!E1927</f>
        <v>0</v>
      </c>
      <c r="D1925" s="97">
        <f t="shared" si="62"/>
        <v>357.69579495043752</v>
      </c>
      <c r="E1925" s="98" t="str">
        <f t="shared" si="63"/>
        <v>Error</v>
      </c>
    </row>
    <row r="1926" spans="1:5" x14ac:dyDescent="0.25">
      <c r="A1926" s="95">
        <f>'Site Data'!B1928</f>
        <v>0</v>
      </c>
      <c r="B1926">
        <f>'Raw Data'!B1928</f>
        <v>357.71</v>
      </c>
      <c r="C1926">
        <f>'Site Data'!E1928</f>
        <v>0</v>
      </c>
      <c r="D1926" s="97">
        <f t="shared" si="62"/>
        <v>357.71</v>
      </c>
      <c r="E1926" s="98" t="str">
        <f t="shared" si="63"/>
        <v>Error</v>
      </c>
    </row>
    <row r="1927" spans="1:5" x14ac:dyDescent="0.25">
      <c r="A1927" s="95">
        <f>'Site Data'!B1929</f>
        <v>0</v>
      </c>
      <c r="B1927">
        <f>'Raw Data'!B1929</f>
        <v>357.71585023568355</v>
      </c>
      <c r="C1927">
        <f>'Site Data'!E1929</f>
        <v>0</v>
      </c>
      <c r="D1927" s="97">
        <f t="shared" si="62"/>
        <v>357.71585023568355</v>
      </c>
      <c r="E1927" s="98" t="str">
        <f t="shared" si="63"/>
        <v>Error</v>
      </c>
    </row>
    <row r="1928" spans="1:5" x14ac:dyDescent="0.25">
      <c r="A1928" s="95">
        <f>'Site Data'!B1930</f>
        <v>0</v>
      </c>
      <c r="B1928">
        <f>'Raw Data'!B1930</f>
        <v>357.73</v>
      </c>
      <c r="C1928">
        <f>'Site Data'!E1930</f>
        <v>0</v>
      </c>
      <c r="D1928" s="97">
        <f t="shared" si="62"/>
        <v>357.73</v>
      </c>
      <c r="E1928" s="98" t="str">
        <f t="shared" si="63"/>
        <v>Error</v>
      </c>
    </row>
    <row r="1929" spans="1:5" x14ac:dyDescent="0.25">
      <c r="A1929" s="95">
        <f>'Site Data'!B1931</f>
        <v>0</v>
      </c>
      <c r="B1929">
        <f>'Raw Data'!B1931</f>
        <v>357.73595598203087</v>
      </c>
      <c r="C1929">
        <f>'Site Data'!E1931</f>
        <v>0</v>
      </c>
      <c r="D1929" s="97">
        <f t="shared" si="62"/>
        <v>357.73595598203087</v>
      </c>
      <c r="E1929" s="98" t="str">
        <f t="shared" si="63"/>
        <v>Error</v>
      </c>
    </row>
    <row r="1930" spans="1:5" x14ac:dyDescent="0.25">
      <c r="A1930" s="95">
        <f>'Site Data'!B1932</f>
        <v>0</v>
      </c>
      <c r="B1930">
        <f>'Raw Data'!B1932</f>
        <v>357.75</v>
      </c>
      <c r="C1930">
        <f>'Site Data'!E1932</f>
        <v>0</v>
      </c>
      <c r="D1930" s="97">
        <f t="shared" si="62"/>
        <v>357.75</v>
      </c>
      <c r="E1930" s="98" t="str">
        <f t="shared" si="63"/>
        <v>Error</v>
      </c>
    </row>
    <row r="1931" spans="1:5" x14ac:dyDescent="0.25">
      <c r="A1931" s="95">
        <f>'Site Data'!B1933</f>
        <v>0</v>
      </c>
      <c r="B1931">
        <f>'Raw Data'!B1933</f>
        <v>357.75</v>
      </c>
      <c r="C1931">
        <f>'Site Data'!E1933</f>
        <v>0</v>
      </c>
      <c r="D1931" s="97">
        <f t="shared" si="62"/>
        <v>357.75</v>
      </c>
      <c r="E1931" s="98" t="str">
        <f t="shared" si="63"/>
        <v>Error</v>
      </c>
    </row>
    <row r="1932" spans="1:5" x14ac:dyDescent="0.25">
      <c r="A1932" s="95">
        <f>'Site Data'!B1934</f>
        <v>0</v>
      </c>
      <c r="B1932">
        <f>'Raw Data'!B1934</f>
        <v>357.75</v>
      </c>
      <c r="C1932">
        <f>'Site Data'!E1934</f>
        <v>0</v>
      </c>
      <c r="D1932" s="97">
        <f t="shared" si="62"/>
        <v>357.75</v>
      </c>
      <c r="E1932" s="98" t="str">
        <f t="shared" si="63"/>
        <v>Error</v>
      </c>
    </row>
    <row r="1933" spans="1:5" x14ac:dyDescent="0.25">
      <c r="A1933" s="95">
        <f>'Site Data'!B1935</f>
        <v>0</v>
      </c>
      <c r="B1933">
        <f>'Raw Data'!B1935</f>
        <v>357.75</v>
      </c>
      <c r="C1933">
        <f>'Site Data'!E1935</f>
        <v>0</v>
      </c>
      <c r="D1933" s="97">
        <f t="shared" si="62"/>
        <v>357.75</v>
      </c>
      <c r="E1933" s="98" t="str">
        <f t="shared" si="63"/>
        <v>Error</v>
      </c>
    </row>
    <row r="1934" spans="1:5" x14ac:dyDescent="0.25">
      <c r="A1934" s="95">
        <f>'Site Data'!B1936</f>
        <v>0</v>
      </c>
      <c r="B1934">
        <f>'Raw Data'!B1936</f>
        <v>357.75</v>
      </c>
      <c r="C1934">
        <f>'Site Data'!E1936</f>
        <v>0</v>
      </c>
      <c r="D1934" s="97">
        <f t="shared" si="62"/>
        <v>357.75</v>
      </c>
      <c r="E1934" s="98" t="str">
        <f t="shared" si="63"/>
        <v>Error</v>
      </c>
    </row>
    <row r="1935" spans="1:5" x14ac:dyDescent="0.25">
      <c r="A1935" s="95">
        <f>'Site Data'!B1937</f>
        <v>0</v>
      </c>
      <c r="B1935">
        <f>'Raw Data'!B1937</f>
        <v>357.75</v>
      </c>
      <c r="C1935">
        <f>'Site Data'!E1937</f>
        <v>0</v>
      </c>
      <c r="D1935" s="97">
        <f t="shared" si="62"/>
        <v>357.75</v>
      </c>
      <c r="E1935" s="98" t="str">
        <f t="shared" si="63"/>
        <v>Error</v>
      </c>
    </row>
    <row r="1936" spans="1:5" x14ac:dyDescent="0.25">
      <c r="A1936" s="95">
        <f>'Site Data'!B1938</f>
        <v>0</v>
      </c>
      <c r="B1936">
        <f>'Raw Data'!B1938</f>
        <v>357.75</v>
      </c>
      <c r="C1936">
        <f>'Site Data'!E1938</f>
        <v>0</v>
      </c>
      <c r="D1936" s="97">
        <f t="shared" si="62"/>
        <v>357.75</v>
      </c>
      <c r="E1936" s="98" t="str">
        <f t="shared" si="63"/>
        <v>Error</v>
      </c>
    </row>
    <row r="1937" spans="1:5" x14ac:dyDescent="0.25">
      <c r="A1937" s="95">
        <f>'Site Data'!B1939</f>
        <v>0</v>
      </c>
      <c r="B1937">
        <f>'Raw Data'!B1939</f>
        <v>357.75</v>
      </c>
      <c r="C1937">
        <f>'Site Data'!E1939</f>
        <v>0</v>
      </c>
      <c r="D1937" s="97">
        <f t="shared" si="62"/>
        <v>357.75</v>
      </c>
      <c r="E1937" s="98" t="str">
        <f t="shared" si="63"/>
        <v>Error</v>
      </c>
    </row>
    <row r="1938" spans="1:5" x14ac:dyDescent="0.25">
      <c r="A1938" s="95">
        <f>'Site Data'!B1940</f>
        <v>0</v>
      </c>
      <c r="B1938">
        <f>'Raw Data'!B1940</f>
        <v>357.75</v>
      </c>
      <c r="C1938">
        <f>'Site Data'!E1940</f>
        <v>0</v>
      </c>
      <c r="D1938" s="97">
        <f t="shared" si="62"/>
        <v>357.75</v>
      </c>
      <c r="E1938" s="98" t="str">
        <f t="shared" si="63"/>
        <v>Error</v>
      </c>
    </row>
    <row r="1939" spans="1:5" x14ac:dyDescent="0.25">
      <c r="A1939" s="95">
        <f>'Site Data'!B1941</f>
        <v>0</v>
      </c>
      <c r="B1939">
        <f>'Raw Data'!B1941</f>
        <v>357.75</v>
      </c>
      <c r="C1939">
        <f>'Site Data'!E1941</f>
        <v>0</v>
      </c>
      <c r="D1939" s="97">
        <f t="shared" si="62"/>
        <v>357.75</v>
      </c>
      <c r="E1939" s="98" t="str">
        <f t="shared" si="63"/>
        <v>Error</v>
      </c>
    </row>
    <row r="1940" spans="1:5" x14ac:dyDescent="0.25">
      <c r="A1940" s="95">
        <f>'Site Data'!B1942</f>
        <v>0</v>
      </c>
      <c r="B1940">
        <f>'Raw Data'!B1942</f>
        <v>357.75</v>
      </c>
      <c r="C1940">
        <f>'Site Data'!E1942</f>
        <v>0</v>
      </c>
      <c r="D1940" s="97">
        <f t="shared" si="62"/>
        <v>357.75</v>
      </c>
      <c r="E1940" s="98" t="str">
        <f t="shared" si="63"/>
        <v>Error</v>
      </c>
    </row>
    <row r="1941" spans="1:5" x14ac:dyDescent="0.25">
      <c r="A1941" s="95">
        <f>'Site Data'!B1943</f>
        <v>0</v>
      </c>
      <c r="B1941">
        <f>'Raw Data'!B1943</f>
        <v>357.81484570768913</v>
      </c>
      <c r="C1941">
        <f>'Site Data'!E1943</f>
        <v>0</v>
      </c>
      <c r="D1941" s="97">
        <f t="shared" si="62"/>
        <v>357.81484570768913</v>
      </c>
      <c r="E1941" s="98" t="str">
        <f t="shared" si="63"/>
        <v>Error</v>
      </c>
    </row>
    <row r="1942" spans="1:5" x14ac:dyDescent="0.25">
      <c r="A1942" s="95">
        <f>'Site Data'!B1944</f>
        <v>0</v>
      </c>
      <c r="B1942">
        <f>'Raw Data'!B1944</f>
        <v>357.96</v>
      </c>
      <c r="C1942">
        <f>'Site Data'!E1944</f>
        <v>0</v>
      </c>
      <c r="D1942" s="97">
        <f t="shared" si="62"/>
        <v>357.96</v>
      </c>
      <c r="E1942" s="98" t="str">
        <f t="shared" si="63"/>
        <v>Error</v>
      </c>
    </row>
    <row r="1943" spans="1:5" x14ac:dyDescent="0.25">
      <c r="A1943" s="95">
        <f>'Site Data'!B1945</f>
        <v>0</v>
      </c>
      <c r="B1943">
        <f>'Raw Data'!B1945</f>
        <v>357.96560855507585</v>
      </c>
      <c r="C1943">
        <f>'Site Data'!E1945</f>
        <v>0</v>
      </c>
      <c r="D1943" s="97">
        <f t="shared" si="62"/>
        <v>357.96560855507585</v>
      </c>
      <c r="E1943" s="98" t="str">
        <f t="shared" si="63"/>
        <v>Error</v>
      </c>
    </row>
    <row r="1944" spans="1:5" x14ac:dyDescent="0.25">
      <c r="A1944" s="95">
        <f>'Site Data'!B1946</f>
        <v>0</v>
      </c>
      <c r="B1944">
        <f>'Raw Data'!B1946</f>
        <v>357.99</v>
      </c>
      <c r="C1944">
        <f>'Site Data'!E1946</f>
        <v>0</v>
      </c>
      <c r="D1944" s="97">
        <f t="shared" si="62"/>
        <v>357.99</v>
      </c>
      <c r="E1944" s="98" t="str">
        <f t="shared" si="63"/>
        <v>Error</v>
      </c>
    </row>
    <row r="1945" spans="1:5" x14ac:dyDescent="0.25">
      <c r="A1945" s="95">
        <f>'Site Data'!B1947</f>
        <v>0</v>
      </c>
      <c r="B1945">
        <f>'Raw Data'!B1947</f>
        <v>357.99</v>
      </c>
      <c r="C1945">
        <f>'Site Data'!E1947</f>
        <v>0</v>
      </c>
      <c r="D1945" s="97">
        <f t="shared" si="62"/>
        <v>357.99</v>
      </c>
      <c r="E1945" s="98" t="str">
        <f t="shared" si="63"/>
        <v>Error</v>
      </c>
    </row>
    <row r="1946" spans="1:5" x14ac:dyDescent="0.25">
      <c r="A1946" s="95">
        <f>'Site Data'!B1948</f>
        <v>0</v>
      </c>
      <c r="B1946">
        <f>'Raw Data'!B1948</f>
        <v>357.99</v>
      </c>
      <c r="C1946">
        <f>'Site Data'!E1948</f>
        <v>0</v>
      </c>
      <c r="D1946" s="97">
        <f t="shared" si="62"/>
        <v>357.99</v>
      </c>
      <c r="E1946" s="98" t="str">
        <f t="shared" si="63"/>
        <v>Error</v>
      </c>
    </row>
    <row r="1947" spans="1:5" x14ac:dyDescent="0.25">
      <c r="A1947" s="95">
        <f>'Site Data'!B1949</f>
        <v>0</v>
      </c>
      <c r="B1947">
        <f>'Raw Data'!B1949</f>
        <v>357.99</v>
      </c>
      <c r="C1947">
        <f>'Site Data'!E1949</f>
        <v>0</v>
      </c>
      <c r="D1947" s="97">
        <f t="shared" si="62"/>
        <v>357.99</v>
      </c>
      <c r="E1947" s="98" t="str">
        <f t="shared" si="63"/>
        <v>Error</v>
      </c>
    </row>
    <row r="1948" spans="1:5" x14ac:dyDescent="0.25">
      <c r="A1948" s="95">
        <f>'Site Data'!B1950</f>
        <v>0</v>
      </c>
      <c r="B1948">
        <f>'Raw Data'!B1950</f>
        <v>357.99</v>
      </c>
      <c r="C1948">
        <f>'Site Data'!E1950</f>
        <v>0</v>
      </c>
      <c r="D1948" s="97">
        <f t="shared" si="62"/>
        <v>357.99</v>
      </c>
      <c r="E1948" s="98" t="str">
        <f t="shared" si="63"/>
        <v>Error</v>
      </c>
    </row>
    <row r="1949" spans="1:5" x14ac:dyDescent="0.25">
      <c r="A1949" s="95">
        <f>'Site Data'!B1951</f>
        <v>0</v>
      </c>
      <c r="B1949">
        <f>'Raw Data'!B1951</f>
        <v>357.99</v>
      </c>
      <c r="C1949">
        <f>'Site Data'!E1951</f>
        <v>0</v>
      </c>
      <c r="D1949" s="97">
        <f t="shared" si="62"/>
        <v>357.99</v>
      </c>
      <c r="E1949" s="98" t="str">
        <f t="shared" si="63"/>
        <v>Error</v>
      </c>
    </row>
    <row r="1950" spans="1:5" x14ac:dyDescent="0.25">
      <c r="A1950" s="95">
        <f>'Site Data'!B1952</f>
        <v>0</v>
      </c>
      <c r="B1950">
        <f>'Raw Data'!B1952</f>
        <v>357.99</v>
      </c>
      <c r="C1950">
        <f>'Site Data'!E1952</f>
        <v>0</v>
      </c>
      <c r="D1950" s="97">
        <f t="shared" si="62"/>
        <v>357.99</v>
      </c>
      <c r="E1950" s="98" t="str">
        <f t="shared" si="63"/>
        <v>Error</v>
      </c>
    </row>
    <row r="1951" spans="1:5" x14ac:dyDescent="0.25">
      <c r="A1951" s="95">
        <f>'Site Data'!B1953</f>
        <v>0</v>
      </c>
      <c r="B1951">
        <f>'Raw Data'!B1953</f>
        <v>357.99</v>
      </c>
      <c r="C1951">
        <f>'Site Data'!E1953</f>
        <v>0</v>
      </c>
      <c r="D1951" s="97">
        <f t="shared" si="62"/>
        <v>357.99</v>
      </c>
      <c r="E1951" s="98" t="str">
        <f t="shared" si="63"/>
        <v>Error</v>
      </c>
    </row>
    <row r="1952" spans="1:5" x14ac:dyDescent="0.25">
      <c r="A1952" s="95">
        <f>'Site Data'!B1954</f>
        <v>0</v>
      </c>
      <c r="B1952">
        <f>'Raw Data'!B1954</f>
        <v>357.99</v>
      </c>
      <c r="C1952">
        <f>'Site Data'!E1954</f>
        <v>0</v>
      </c>
      <c r="D1952" s="97">
        <f t="shared" si="62"/>
        <v>357.99</v>
      </c>
      <c r="E1952" s="98" t="str">
        <f t="shared" si="63"/>
        <v>Error</v>
      </c>
    </row>
    <row r="1953" spans="1:5" x14ac:dyDescent="0.25">
      <c r="A1953" s="95">
        <f>'Site Data'!B1955</f>
        <v>0</v>
      </c>
      <c r="B1953">
        <f>'Raw Data'!B1955</f>
        <v>358.128699674296</v>
      </c>
      <c r="C1953">
        <f>'Site Data'!E1955</f>
        <v>0</v>
      </c>
      <c r="D1953" s="97">
        <f t="shared" si="62"/>
        <v>358.128699674296</v>
      </c>
      <c r="E1953" s="98" t="str">
        <f t="shared" si="63"/>
        <v>Error</v>
      </c>
    </row>
    <row r="1954" spans="1:5" x14ac:dyDescent="0.25">
      <c r="A1954" s="95">
        <f>'Site Data'!B1956</f>
        <v>0</v>
      </c>
      <c r="B1954">
        <f>'Raw Data'!B1956</f>
        <v>358.15</v>
      </c>
      <c r="C1954">
        <f>'Site Data'!E1956</f>
        <v>0</v>
      </c>
      <c r="D1954" s="97">
        <f t="shared" si="62"/>
        <v>358.15</v>
      </c>
      <c r="E1954" s="98" t="str">
        <f t="shared" si="63"/>
        <v>Error</v>
      </c>
    </row>
    <row r="1955" spans="1:5" x14ac:dyDescent="0.25">
      <c r="A1955" s="95">
        <f>'Site Data'!B1957</f>
        <v>0</v>
      </c>
      <c r="B1955">
        <f>'Raw Data'!B1957</f>
        <v>358.17627008249769</v>
      </c>
      <c r="C1955">
        <f>'Site Data'!E1957</f>
        <v>0</v>
      </c>
      <c r="D1955" s="97">
        <f t="shared" si="62"/>
        <v>358.17627008249769</v>
      </c>
      <c r="E1955" s="98" t="str">
        <f t="shared" si="63"/>
        <v>Error</v>
      </c>
    </row>
    <row r="1956" spans="1:5" x14ac:dyDescent="0.25">
      <c r="A1956" s="95">
        <f>'Site Data'!B1958</f>
        <v>0</v>
      </c>
      <c r="B1956">
        <f>'Raw Data'!B1958</f>
        <v>358.18</v>
      </c>
      <c r="C1956">
        <f>'Site Data'!E1958</f>
        <v>0</v>
      </c>
      <c r="D1956" s="97">
        <f t="shared" si="62"/>
        <v>358.18</v>
      </c>
      <c r="E1956" s="98" t="str">
        <f t="shared" si="63"/>
        <v>Error</v>
      </c>
    </row>
    <row r="1957" spans="1:5" x14ac:dyDescent="0.25">
      <c r="A1957" s="95">
        <f>'Site Data'!B1959</f>
        <v>0</v>
      </c>
      <c r="B1957">
        <f>'Raw Data'!B1959</f>
        <v>358.1888937102475</v>
      </c>
      <c r="C1957">
        <f>'Site Data'!E1959</f>
        <v>0</v>
      </c>
      <c r="D1957" s="97">
        <f t="shared" si="62"/>
        <v>358.1888937102475</v>
      </c>
      <c r="E1957" s="98" t="str">
        <f t="shared" si="63"/>
        <v>Error</v>
      </c>
    </row>
    <row r="1958" spans="1:5" x14ac:dyDescent="0.25">
      <c r="A1958" s="95">
        <f>'Site Data'!B1960</f>
        <v>0</v>
      </c>
      <c r="B1958">
        <f>'Raw Data'!B1960</f>
        <v>358.19</v>
      </c>
      <c r="C1958">
        <f>'Site Data'!E1960</f>
        <v>0</v>
      </c>
      <c r="D1958" s="97">
        <f t="shared" si="62"/>
        <v>358.19</v>
      </c>
      <c r="E1958" s="98" t="str">
        <f t="shared" si="63"/>
        <v>Error</v>
      </c>
    </row>
    <row r="1959" spans="1:5" x14ac:dyDescent="0.25">
      <c r="A1959" s="95">
        <f>'Site Data'!B1961</f>
        <v>0</v>
      </c>
      <c r="B1959">
        <f>'Raw Data'!B1961</f>
        <v>358.19</v>
      </c>
      <c r="C1959">
        <f>'Site Data'!E1961</f>
        <v>0</v>
      </c>
      <c r="D1959" s="97">
        <f t="shared" si="62"/>
        <v>358.19</v>
      </c>
      <c r="E1959" s="98" t="str">
        <f t="shared" si="63"/>
        <v>Error</v>
      </c>
    </row>
    <row r="1960" spans="1:5" x14ac:dyDescent="0.25">
      <c r="A1960" s="95">
        <f>'Site Data'!B1962</f>
        <v>0</v>
      </c>
      <c r="B1960">
        <f>'Raw Data'!B1962</f>
        <v>358.19</v>
      </c>
      <c r="C1960">
        <f>'Site Data'!E1962</f>
        <v>0</v>
      </c>
      <c r="D1960" s="97">
        <f t="shared" si="62"/>
        <v>358.19</v>
      </c>
      <c r="E1960" s="98" t="str">
        <f t="shared" si="63"/>
        <v>Error</v>
      </c>
    </row>
    <row r="1961" spans="1:5" x14ac:dyDescent="0.25">
      <c r="A1961" s="95">
        <f>'Site Data'!B1963</f>
        <v>0</v>
      </c>
      <c r="B1961">
        <f>'Raw Data'!B1963</f>
        <v>358.19</v>
      </c>
      <c r="C1961">
        <f>'Site Data'!E1963</f>
        <v>0</v>
      </c>
      <c r="D1961" s="97">
        <f t="shared" si="62"/>
        <v>358.19</v>
      </c>
      <c r="E1961" s="98" t="str">
        <f t="shared" si="63"/>
        <v>Error</v>
      </c>
    </row>
    <row r="1962" spans="1:5" x14ac:dyDescent="0.25">
      <c r="A1962" s="95">
        <f>'Site Data'!B1964</f>
        <v>0</v>
      </c>
      <c r="B1962">
        <f>'Raw Data'!B1964</f>
        <v>358.19</v>
      </c>
      <c r="C1962">
        <f>'Site Data'!E1964</f>
        <v>0</v>
      </c>
      <c r="D1962" s="97">
        <f t="shared" si="62"/>
        <v>358.19</v>
      </c>
      <c r="E1962" s="98" t="str">
        <f t="shared" si="63"/>
        <v>Error</v>
      </c>
    </row>
    <row r="1963" spans="1:5" x14ac:dyDescent="0.25">
      <c r="A1963" s="95">
        <f>'Site Data'!B1965</f>
        <v>0</v>
      </c>
      <c r="B1963">
        <f>'Raw Data'!B1965</f>
        <v>358.19</v>
      </c>
      <c r="C1963">
        <f>'Site Data'!E1965</f>
        <v>0</v>
      </c>
      <c r="D1963" s="97">
        <f t="shared" si="62"/>
        <v>358.19</v>
      </c>
      <c r="E1963" s="98" t="str">
        <f t="shared" si="63"/>
        <v>Error</v>
      </c>
    </row>
    <row r="1964" spans="1:5" x14ac:dyDescent="0.25">
      <c r="A1964" s="95">
        <f>'Site Data'!B1966</f>
        <v>0</v>
      </c>
      <c r="B1964">
        <f>'Raw Data'!B1966</f>
        <v>358.19</v>
      </c>
      <c r="C1964">
        <f>'Site Data'!E1966</f>
        <v>0</v>
      </c>
      <c r="D1964" s="97">
        <f t="shared" si="62"/>
        <v>358.19</v>
      </c>
      <c r="E1964" s="98" t="str">
        <f t="shared" si="63"/>
        <v>Error</v>
      </c>
    </row>
    <row r="1965" spans="1:5" x14ac:dyDescent="0.25">
      <c r="A1965" s="95">
        <f>'Site Data'!B1967</f>
        <v>0</v>
      </c>
      <c r="B1965">
        <f>'Raw Data'!B1967</f>
        <v>358.19523325987029</v>
      </c>
      <c r="C1965">
        <f>'Site Data'!E1967</f>
        <v>0</v>
      </c>
      <c r="D1965" s="97">
        <f t="shared" si="62"/>
        <v>358.19523325987029</v>
      </c>
      <c r="E1965" s="98" t="str">
        <f t="shared" si="63"/>
        <v>Error</v>
      </c>
    </row>
    <row r="1966" spans="1:5" x14ac:dyDescent="0.25">
      <c r="A1966" s="95">
        <f>'Site Data'!B1968</f>
        <v>0</v>
      </c>
      <c r="B1966">
        <f>'Raw Data'!B1968</f>
        <v>358.21</v>
      </c>
      <c r="C1966">
        <f>'Site Data'!E1968</f>
        <v>0</v>
      </c>
      <c r="D1966" s="97">
        <f t="shared" si="62"/>
        <v>358.21</v>
      </c>
      <c r="E1966" s="98" t="str">
        <f t="shared" si="63"/>
        <v>Error</v>
      </c>
    </row>
    <row r="1967" spans="1:5" x14ac:dyDescent="0.25">
      <c r="A1967" s="95">
        <f>'Site Data'!B1969</f>
        <v>0</v>
      </c>
      <c r="B1967">
        <f>'Raw Data'!B1969</f>
        <v>358.21545912141818</v>
      </c>
      <c r="C1967">
        <f>'Site Data'!E1969</f>
        <v>0</v>
      </c>
      <c r="D1967" s="97">
        <f t="shared" si="62"/>
        <v>358.21545912141818</v>
      </c>
      <c r="E1967" s="98" t="str">
        <f t="shared" si="63"/>
        <v>Error</v>
      </c>
    </row>
    <row r="1968" spans="1:5" x14ac:dyDescent="0.25">
      <c r="A1968" s="95">
        <f>'Site Data'!B1970</f>
        <v>0</v>
      </c>
      <c r="B1968">
        <f>'Raw Data'!B1970</f>
        <v>358.23</v>
      </c>
      <c r="C1968">
        <f>'Site Data'!E1970</f>
        <v>0</v>
      </c>
      <c r="D1968" s="97">
        <f t="shared" si="62"/>
        <v>358.23</v>
      </c>
      <c r="E1968" s="98" t="str">
        <f t="shared" si="63"/>
        <v>Error</v>
      </c>
    </row>
    <row r="1969" spans="1:5" x14ac:dyDescent="0.25">
      <c r="A1969" s="95">
        <f>'Site Data'!B1971</f>
        <v>0</v>
      </c>
      <c r="B1969">
        <f>'Raw Data'!B1971</f>
        <v>358.23577801254828</v>
      </c>
      <c r="C1969">
        <f>'Site Data'!E1971</f>
        <v>0</v>
      </c>
      <c r="D1969" s="97">
        <f t="shared" si="62"/>
        <v>358.23577801254828</v>
      </c>
      <c r="E1969" s="98" t="str">
        <f t="shared" si="63"/>
        <v>Error</v>
      </c>
    </row>
    <row r="1970" spans="1:5" x14ac:dyDescent="0.25">
      <c r="A1970" s="95">
        <f>'Site Data'!B1972</f>
        <v>0</v>
      </c>
      <c r="B1970">
        <f>'Raw Data'!B1972</f>
        <v>358.25</v>
      </c>
      <c r="C1970">
        <f>'Site Data'!E1972</f>
        <v>0</v>
      </c>
      <c r="D1970" s="97">
        <f t="shared" si="62"/>
        <v>358.25</v>
      </c>
      <c r="E1970" s="98" t="str">
        <f t="shared" si="63"/>
        <v>Error</v>
      </c>
    </row>
    <row r="1971" spans="1:5" x14ac:dyDescent="0.25">
      <c r="A1971" s="95">
        <f>'Site Data'!B1973</f>
        <v>0</v>
      </c>
      <c r="B1971">
        <f>'Raw Data'!B1973</f>
        <v>358.25297421331845</v>
      </c>
      <c r="C1971">
        <f>'Site Data'!E1973</f>
        <v>0</v>
      </c>
      <c r="D1971" s="97">
        <f t="shared" si="62"/>
        <v>358.25297421331845</v>
      </c>
      <c r="E1971" s="98" t="str">
        <f t="shared" si="63"/>
        <v>Error</v>
      </c>
    </row>
    <row r="1972" spans="1:5" x14ac:dyDescent="0.25">
      <c r="A1972" s="95">
        <f>'Site Data'!B1974</f>
        <v>0</v>
      </c>
      <c r="B1972">
        <f>'Raw Data'!B1974</f>
        <v>358.26</v>
      </c>
      <c r="C1972">
        <f>'Site Data'!E1974</f>
        <v>0</v>
      </c>
      <c r="D1972" s="97">
        <f t="shared" si="62"/>
        <v>358.26</v>
      </c>
      <c r="E1972" s="98" t="str">
        <f t="shared" si="63"/>
        <v>Error</v>
      </c>
    </row>
    <row r="1973" spans="1:5" x14ac:dyDescent="0.25">
      <c r="A1973" s="95">
        <f>'Site Data'!B1975</f>
        <v>0</v>
      </c>
      <c r="B1973">
        <f>'Raw Data'!B1975</f>
        <v>358.26</v>
      </c>
      <c r="C1973">
        <f>'Site Data'!E1975</f>
        <v>0</v>
      </c>
      <c r="D1973" s="97">
        <f t="shared" si="62"/>
        <v>358.26</v>
      </c>
      <c r="E1973" s="98" t="str">
        <f t="shared" si="63"/>
        <v>Error</v>
      </c>
    </row>
    <row r="1974" spans="1:5" x14ac:dyDescent="0.25">
      <c r="A1974" s="95">
        <f>'Site Data'!B1976</f>
        <v>0</v>
      </c>
      <c r="B1974">
        <f>'Raw Data'!B1976</f>
        <v>358.26</v>
      </c>
      <c r="C1974">
        <f>'Site Data'!E1976</f>
        <v>0</v>
      </c>
      <c r="D1974" s="97">
        <f t="shared" si="62"/>
        <v>358.26</v>
      </c>
      <c r="E1974" s="98" t="str">
        <f t="shared" si="63"/>
        <v>Error</v>
      </c>
    </row>
    <row r="1975" spans="1:5" x14ac:dyDescent="0.25">
      <c r="A1975" s="95">
        <f>'Site Data'!B1977</f>
        <v>0</v>
      </c>
      <c r="B1975">
        <f>'Raw Data'!B1977</f>
        <v>358.26</v>
      </c>
      <c r="C1975">
        <f>'Site Data'!E1977</f>
        <v>0</v>
      </c>
      <c r="D1975" s="97">
        <f t="shared" si="62"/>
        <v>358.26</v>
      </c>
      <c r="E1975" s="98" t="str">
        <f t="shared" si="63"/>
        <v>Error</v>
      </c>
    </row>
    <row r="1976" spans="1:5" x14ac:dyDescent="0.25">
      <c r="A1976" s="95">
        <f>'Site Data'!B1978</f>
        <v>0</v>
      </c>
      <c r="B1976">
        <f>'Raw Data'!B1978</f>
        <v>358.26</v>
      </c>
      <c r="C1976">
        <f>'Site Data'!E1978</f>
        <v>0</v>
      </c>
      <c r="D1976" s="97">
        <f t="shared" si="62"/>
        <v>358.26</v>
      </c>
      <c r="E1976" s="98" t="str">
        <f t="shared" si="63"/>
        <v>Error</v>
      </c>
    </row>
    <row r="1977" spans="1:5" x14ac:dyDescent="0.25">
      <c r="A1977" s="95">
        <f>'Site Data'!B1979</f>
        <v>0</v>
      </c>
      <c r="B1977">
        <f>'Raw Data'!B1979</f>
        <v>358.26</v>
      </c>
      <c r="C1977">
        <f>'Site Data'!E1979</f>
        <v>0</v>
      </c>
      <c r="D1977" s="97">
        <f t="shared" si="62"/>
        <v>358.26</v>
      </c>
      <c r="E1977" s="98" t="str">
        <f t="shared" si="63"/>
        <v>Error</v>
      </c>
    </row>
    <row r="1978" spans="1:5" x14ac:dyDescent="0.25">
      <c r="A1978" s="95">
        <f>'Site Data'!B1980</f>
        <v>0</v>
      </c>
      <c r="B1978">
        <f>'Raw Data'!B1980</f>
        <v>358.26</v>
      </c>
      <c r="C1978">
        <f>'Site Data'!E1980</f>
        <v>0</v>
      </c>
      <c r="D1978" s="97">
        <f t="shared" si="62"/>
        <v>358.26</v>
      </c>
      <c r="E1978" s="98" t="str">
        <f t="shared" si="63"/>
        <v>Error</v>
      </c>
    </row>
    <row r="1979" spans="1:5" x14ac:dyDescent="0.25">
      <c r="A1979" s="95">
        <f>'Site Data'!B1981</f>
        <v>0</v>
      </c>
      <c r="B1979">
        <f>'Raw Data'!B1981</f>
        <v>358.27193287425615</v>
      </c>
      <c r="C1979">
        <f>'Site Data'!E1981</f>
        <v>0</v>
      </c>
      <c r="D1979" s="97">
        <f t="shared" si="62"/>
        <v>358.27193287425615</v>
      </c>
      <c r="E1979" s="98" t="str">
        <f t="shared" si="63"/>
        <v>Error</v>
      </c>
    </row>
    <row r="1980" spans="1:5" x14ac:dyDescent="0.25">
      <c r="A1980" s="95">
        <f>'Site Data'!B1982</f>
        <v>0</v>
      </c>
      <c r="B1980">
        <f>'Raw Data'!B1982</f>
        <v>358.3</v>
      </c>
      <c r="C1980">
        <f>'Site Data'!E1982</f>
        <v>0</v>
      </c>
      <c r="D1980" s="97">
        <f t="shared" si="62"/>
        <v>358.3</v>
      </c>
      <c r="E1980" s="98" t="str">
        <f t="shared" si="63"/>
        <v>Error</v>
      </c>
    </row>
    <row r="1981" spans="1:5" x14ac:dyDescent="0.25">
      <c r="A1981" s="95">
        <f>'Site Data'!B1983</f>
        <v>0</v>
      </c>
      <c r="B1981">
        <f>'Raw Data'!B1983</f>
        <v>358.30300483012115</v>
      </c>
      <c r="C1981">
        <f>'Site Data'!E1983</f>
        <v>0</v>
      </c>
      <c r="D1981" s="97">
        <f t="shared" si="62"/>
        <v>358.30300483012115</v>
      </c>
      <c r="E1981" s="98" t="str">
        <f t="shared" si="63"/>
        <v>Error</v>
      </c>
    </row>
    <row r="1982" spans="1:5" x14ac:dyDescent="0.25">
      <c r="A1982" s="95">
        <f>'Site Data'!B1984</f>
        <v>0</v>
      </c>
      <c r="B1982">
        <f>'Raw Data'!B1984</f>
        <v>358.31</v>
      </c>
      <c r="C1982">
        <f>'Site Data'!E1984</f>
        <v>0</v>
      </c>
      <c r="D1982" s="97">
        <f t="shared" si="62"/>
        <v>358.31</v>
      </c>
      <c r="E1982" s="98" t="str">
        <f t="shared" si="63"/>
        <v>Error</v>
      </c>
    </row>
    <row r="1983" spans="1:5" x14ac:dyDescent="0.25">
      <c r="A1983" s="95">
        <f>'Site Data'!B1985</f>
        <v>0</v>
      </c>
      <c r="B1983">
        <f>'Raw Data'!B1985</f>
        <v>358.31305311938598</v>
      </c>
      <c r="C1983">
        <f>'Site Data'!E1985</f>
        <v>0</v>
      </c>
      <c r="D1983" s="97">
        <f t="shared" si="62"/>
        <v>358.31305311938598</v>
      </c>
      <c r="E1983" s="98" t="str">
        <f t="shared" si="63"/>
        <v>Error</v>
      </c>
    </row>
    <row r="1984" spans="1:5" x14ac:dyDescent="0.25">
      <c r="A1984" s="95">
        <f>'Site Data'!B1986</f>
        <v>0</v>
      </c>
      <c r="B1984">
        <f>'Raw Data'!B1986</f>
        <v>358.32</v>
      </c>
      <c r="C1984">
        <f>'Site Data'!E1986</f>
        <v>0</v>
      </c>
      <c r="D1984" s="97">
        <f t="shared" si="62"/>
        <v>358.32</v>
      </c>
      <c r="E1984" s="98" t="str">
        <f t="shared" si="63"/>
        <v>Error</v>
      </c>
    </row>
    <row r="1985" spans="1:5" x14ac:dyDescent="0.25">
      <c r="A1985" s="95">
        <f>'Site Data'!B1987</f>
        <v>0</v>
      </c>
      <c r="B1985">
        <f>'Raw Data'!B1987</f>
        <v>358.32311975093279</v>
      </c>
      <c r="C1985">
        <f>'Site Data'!E1987</f>
        <v>0</v>
      </c>
      <c r="D1985" s="97">
        <f t="shared" si="62"/>
        <v>358.32311975093279</v>
      </c>
      <c r="E1985" s="98" t="str">
        <f t="shared" si="63"/>
        <v>Error</v>
      </c>
    </row>
    <row r="1986" spans="1:5" x14ac:dyDescent="0.25">
      <c r="A1986" s="95">
        <f>'Site Data'!B1988</f>
        <v>0</v>
      </c>
      <c r="B1986">
        <f>'Raw Data'!B1988</f>
        <v>358.33</v>
      </c>
      <c r="C1986">
        <f>'Site Data'!E1988</f>
        <v>0</v>
      </c>
      <c r="D1986" s="97">
        <f t="shared" ref="D1986:D2049" si="64">B1986-C1986</f>
        <v>358.33</v>
      </c>
      <c r="E1986" s="98" t="str">
        <f t="shared" ref="E1986:E2049" si="65">IF(AND(D1986 &gt;= 50, D1986 &lt;= 60), "Valid", "Error")</f>
        <v>Error</v>
      </c>
    </row>
    <row r="1987" spans="1:5" x14ac:dyDescent="0.25">
      <c r="A1987" s="95">
        <f>'Site Data'!B1989</f>
        <v>0</v>
      </c>
      <c r="B1987">
        <f>'Raw Data'!B1989</f>
        <v>358.33</v>
      </c>
      <c r="C1987">
        <f>'Site Data'!E1989</f>
        <v>0</v>
      </c>
      <c r="D1987" s="97">
        <f t="shared" si="64"/>
        <v>358.33</v>
      </c>
      <c r="E1987" s="98" t="str">
        <f t="shared" si="65"/>
        <v>Error</v>
      </c>
    </row>
    <row r="1988" spans="1:5" x14ac:dyDescent="0.25">
      <c r="A1988" s="95">
        <f>'Site Data'!B1990</f>
        <v>0</v>
      </c>
      <c r="B1988">
        <f>'Raw Data'!B1990</f>
        <v>358.33</v>
      </c>
      <c r="C1988">
        <f>'Site Data'!E1990</f>
        <v>0</v>
      </c>
      <c r="D1988" s="97">
        <f t="shared" si="64"/>
        <v>358.33</v>
      </c>
      <c r="E1988" s="98" t="str">
        <f t="shared" si="65"/>
        <v>Error</v>
      </c>
    </row>
    <row r="1989" spans="1:5" x14ac:dyDescent="0.25">
      <c r="A1989" s="95">
        <f>'Site Data'!B1991</f>
        <v>0</v>
      </c>
      <c r="B1989">
        <f>'Raw Data'!B1991</f>
        <v>358.33</v>
      </c>
      <c r="C1989">
        <f>'Site Data'!E1991</f>
        <v>0</v>
      </c>
      <c r="D1989" s="97">
        <f t="shared" si="64"/>
        <v>358.33</v>
      </c>
      <c r="E1989" s="98" t="str">
        <f t="shared" si="65"/>
        <v>Error</v>
      </c>
    </row>
    <row r="1990" spans="1:5" x14ac:dyDescent="0.25">
      <c r="A1990" s="95">
        <f>'Site Data'!B1992</f>
        <v>0</v>
      </c>
      <c r="B1990">
        <f>'Raw Data'!B1992</f>
        <v>358.33</v>
      </c>
      <c r="C1990">
        <f>'Site Data'!E1992</f>
        <v>0</v>
      </c>
      <c r="D1990" s="97">
        <f t="shared" si="64"/>
        <v>358.33</v>
      </c>
      <c r="E1990" s="98" t="str">
        <f t="shared" si="65"/>
        <v>Error</v>
      </c>
    </row>
    <row r="1991" spans="1:5" x14ac:dyDescent="0.25">
      <c r="A1991" s="95">
        <f>'Site Data'!B1993</f>
        <v>0</v>
      </c>
      <c r="B1991">
        <f>'Raw Data'!B1993</f>
        <v>358.33</v>
      </c>
      <c r="C1991">
        <f>'Site Data'!E1993</f>
        <v>0</v>
      </c>
      <c r="D1991" s="97">
        <f t="shared" si="64"/>
        <v>358.33</v>
      </c>
      <c r="E1991" s="98" t="str">
        <f t="shared" si="65"/>
        <v>Error</v>
      </c>
    </row>
    <row r="1992" spans="1:5" x14ac:dyDescent="0.25">
      <c r="A1992" s="95">
        <f>'Site Data'!B1994</f>
        <v>0</v>
      </c>
      <c r="B1992">
        <f>'Raw Data'!B1994</f>
        <v>358.33</v>
      </c>
      <c r="C1992">
        <f>'Site Data'!E1994</f>
        <v>0</v>
      </c>
      <c r="D1992" s="97">
        <f t="shared" si="64"/>
        <v>358.33</v>
      </c>
      <c r="E1992" s="98" t="str">
        <f t="shared" si="65"/>
        <v>Error</v>
      </c>
    </row>
    <row r="1993" spans="1:5" x14ac:dyDescent="0.25">
      <c r="A1993" s="95">
        <f>'Site Data'!B1995</f>
        <v>0</v>
      </c>
      <c r="B1993">
        <f>'Raw Data'!B1995</f>
        <v>358.33962683129681</v>
      </c>
      <c r="C1993">
        <f>'Site Data'!E1995</f>
        <v>0</v>
      </c>
      <c r="D1993" s="97">
        <f t="shared" si="64"/>
        <v>358.33962683129681</v>
      </c>
      <c r="E1993" s="98" t="str">
        <f t="shared" si="65"/>
        <v>Error</v>
      </c>
    </row>
    <row r="1994" spans="1:5" x14ac:dyDescent="0.25">
      <c r="A1994" s="95">
        <f>'Site Data'!B1996</f>
        <v>0</v>
      </c>
      <c r="B1994">
        <f>'Raw Data'!B1996</f>
        <v>358.36</v>
      </c>
      <c r="C1994">
        <f>'Site Data'!E1996</f>
        <v>0</v>
      </c>
      <c r="D1994" s="97">
        <f t="shared" si="64"/>
        <v>358.36</v>
      </c>
      <c r="E1994" s="98" t="str">
        <f t="shared" si="65"/>
        <v>Error</v>
      </c>
    </row>
    <row r="1995" spans="1:5" x14ac:dyDescent="0.25">
      <c r="A1995" s="95">
        <f>'Site Data'!B1997</f>
        <v>0</v>
      </c>
      <c r="B1995">
        <f>'Raw Data'!B1997</f>
        <v>358.36329047066693</v>
      </c>
      <c r="C1995">
        <f>'Site Data'!E1997</f>
        <v>0</v>
      </c>
      <c r="D1995" s="97">
        <f t="shared" si="64"/>
        <v>358.36329047066693</v>
      </c>
      <c r="E1995" s="98" t="str">
        <f t="shared" si="65"/>
        <v>Error</v>
      </c>
    </row>
    <row r="1996" spans="1:5" x14ac:dyDescent="0.25">
      <c r="A1996" s="95">
        <f>'Site Data'!B1998</f>
        <v>0</v>
      </c>
      <c r="B1996">
        <f>'Raw Data'!B1998</f>
        <v>358.37</v>
      </c>
      <c r="C1996">
        <f>'Site Data'!E1998</f>
        <v>0</v>
      </c>
      <c r="D1996" s="97">
        <f t="shared" si="64"/>
        <v>358.37</v>
      </c>
      <c r="E1996" s="98" t="str">
        <f t="shared" si="65"/>
        <v>Error</v>
      </c>
    </row>
    <row r="1997" spans="1:5" x14ac:dyDescent="0.25">
      <c r="A1997" s="95">
        <f>'Site Data'!B1999</f>
        <v>0</v>
      </c>
      <c r="B1997">
        <f>'Raw Data'!B1999</f>
        <v>358.37</v>
      </c>
      <c r="C1997">
        <f>'Site Data'!E1999</f>
        <v>0</v>
      </c>
      <c r="D1997" s="97">
        <f t="shared" si="64"/>
        <v>358.37</v>
      </c>
      <c r="E1997" s="98" t="str">
        <f t="shared" si="65"/>
        <v>Error</v>
      </c>
    </row>
    <row r="1998" spans="1:5" x14ac:dyDescent="0.25">
      <c r="A1998" s="95">
        <f>'Site Data'!B2000</f>
        <v>0</v>
      </c>
      <c r="B1998">
        <f>'Raw Data'!B2000</f>
        <v>358.37</v>
      </c>
      <c r="C1998">
        <f>'Site Data'!E2000</f>
        <v>0</v>
      </c>
      <c r="D1998" s="97">
        <f t="shared" si="64"/>
        <v>358.37</v>
      </c>
      <c r="E1998" s="98" t="str">
        <f t="shared" si="65"/>
        <v>Error</v>
      </c>
    </row>
    <row r="1999" spans="1:5" x14ac:dyDescent="0.25">
      <c r="A1999" s="95">
        <f>'Site Data'!B2001</f>
        <v>0</v>
      </c>
      <c r="B1999">
        <f>'Raw Data'!B2001</f>
        <v>358.42254935122133</v>
      </c>
      <c r="C1999">
        <f>'Site Data'!E2001</f>
        <v>0</v>
      </c>
      <c r="D1999" s="97">
        <f t="shared" si="64"/>
        <v>358.42254935122133</v>
      </c>
      <c r="E1999" s="98" t="str">
        <f t="shared" si="65"/>
        <v>Error</v>
      </c>
    </row>
    <row r="2000" spans="1:5" x14ac:dyDescent="0.25">
      <c r="A2000" s="95">
        <f>'Site Data'!B2002</f>
        <v>0</v>
      </c>
      <c r="B2000">
        <f>'Raw Data'!B2002</f>
        <v>358.43</v>
      </c>
      <c r="C2000">
        <f>'Site Data'!E2002</f>
        <v>0</v>
      </c>
      <c r="D2000" s="97">
        <f t="shared" si="64"/>
        <v>358.43</v>
      </c>
      <c r="E2000" s="98" t="str">
        <f t="shared" si="65"/>
        <v>Error</v>
      </c>
    </row>
    <row r="2001" spans="1:5" x14ac:dyDescent="0.25">
      <c r="A2001" s="95">
        <f>'Site Data'!B2003</f>
        <v>0</v>
      </c>
      <c r="B2001">
        <f>'Raw Data'!B2003</f>
        <v>358.43</v>
      </c>
      <c r="C2001">
        <f>'Site Data'!E2003</f>
        <v>0</v>
      </c>
      <c r="D2001" s="97">
        <f t="shared" si="64"/>
        <v>358.43</v>
      </c>
      <c r="E2001" s="98" t="str">
        <f t="shared" si="65"/>
        <v>Error</v>
      </c>
    </row>
    <row r="2002" spans="1:5" x14ac:dyDescent="0.25">
      <c r="A2002" s="95">
        <f>'Site Data'!B2004</f>
        <v>0</v>
      </c>
      <c r="B2002">
        <f>'Raw Data'!B2004</f>
        <v>358.43</v>
      </c>
      <c r="C2002">
        <f>'Site Data'!E2004</f>
        <v>0</v>
      </c>
      <c r="D2002" s="97">
        <f t="shared" si="64"/>
        <v>358.43</v>
      </c>
      <c r="E2002" s="98" t="str">
        <f t="shared" si="65"/>
        <v>Error</v>
      </c>
    </row>
    <row r="2003" spans="1:5" x14ac:dyDescent="0.25">
      <c r="A2003" s="95">
        <f>'Site Data'!B2005</f>
        <v>0</v>
      </c>
      <c r="B2003">
        <f>'Raw Data'!B2005</f>
        <v>358.43</v>
      </c>
      <c r="C2003">
        <f>'Site Data'!E2005</f>
        <v>0</v>
      </c>
      <c r="D2003" s="97">
        <f t="shared" si="64"/>
        <v>358.43</v>
      </c>
      <c r="E2003" s="98" t="str">
        <f t="shared" si="65"/>
        <v>Error</v>
      </c>
    </row>
    <row r="2004" spans="1:5" x14ac:dyDescent="0.25">
      <c r="A2004" s="95">
        <f>'Site Data'!B2006</f>
        <v>0</v>
      </c>
      <c r="B2004">
        <f>'Raw Data'!B2006</f>
        <v>358.43</v>
      </c>
      <c r="C2004">
        <f>'Site Data'!E2006</f>
        <v>0</v>
      </c>
      <c r="D2004" s="97">
        <f t="shared" si="64"/>
        <v>358.43</v>
      </c>
      <c r="E2004" s="98" t="str">
        <f t="shared" si="65"/>
        <v>Error</v>
      </c>
    </row>
    <row r="2005" spans="1:5" x14ac:dyDescent="0.25">
      <c r="A2005" s="95">
        <f>'Site Data'!B2007</f>
        <v>0</v>
      </c>
      <c r="B2005">
        <f>'Raw Data'!B2007</f>
        <v>358.43</v>
      </c>
      <c r="C2005">
        <f>'Site Data'!E2007</f>
        <v>0</v>
      </c>
      <c r="D2005" s="97">
        <f t="shared" si="64"/>
        <v>358.43</v>
      </c>
      <c r="E2005" s="98" t="str">
        <f t="shared" si="65"/>
        <v>Error</v>
      </c>
    </row>
    <row r="2006" spans="1:5" x14ac:dyDescent="0.25">
      <c r="A2006" s="95">
        <f>'Site Data'!B2008</f>
        <v>0</v>
      </c>
      <c r="B2006">
        <f>'Raw Data'!B2008</f>
        <v>358.43</v>
      </c>
      <c r="C2006">
        <f>'Site Data'!E2008</f>
        <v>0</v>
      </c>
      <c r="D2006" s="97">
        <f t="shared" si="64"/>
        <v>358.43</v>
      </c>
      <c r="E2006" s="98" t="str">
        <f t="shared" si="65"/>
        <v>Error</v>
      </c>
    </row>
    <row r="2007" spans="1:5" x14ac:dyDescent="0.25">
      <c r="A2007" s="95">
        <f>'Site Data'!B2009</f>
        <v>0</v>
      </c>
      <c r="B2007">
        <f>'Raw Data'!B2009</f>
        <v>358.43</v>
      </c>
      <c r="C2007">
        <f>'Site Data'!E2009</f>
        <v>0</v>
      </c>
      <c r="D2007" s="97">
        <f t="shared" si="64"/>
        <v>358.43</v>
      </c>
      <c r="E2007" s="98" t="str">
        <f t="shared" si="65"/>
        <v>Error</v>
      </c>
    </row>
    <row r="2008" spans="1:5" x14ac:dyDescent="0.25">
      <c r="A2008" s="95">
        <f>'Site Data'!B2010</f>
        <v>0</v>
      </c>
      <c r="B2008">
        <f>'Raw Data'!B2010</f>
        <v>358.43</v>
      </c>
      <c r="C2008">
        <f>'Site Data'!E2010</f>
        <v>0</v>
      </c>
      <c r="D2008" s="97">
        <f t="shared" si="64"/>
        <v>358.43</v>
      </c>
      <c r="E2008" s="98" t="str">
        <f t="shared" si="65"/>
        <v>Error</v>
      </c>
    </row>
    <row r="2009" spans="1:5" x14ac:dyDescent="0.25">
      <c r="A2009" s="95">
        <f>'Site Data'!B2011</f>
        <v>0</v>
      </c>
      <c r="B2009">
        <f>'Raw Data'!B2011</f>
        <v>358.43</v>
      </c>
      <c r="C2009">
        <f>'Site Data'!E2011</f>
        <v>0</v>
      </c>
      <c r="D2009" s="97">
        <f t="shared" si="64"/>
        <v>358.43</v>
      </c>
      <c r="E2009" s="98" t="str">
        <f t="shared" si="65"/>
        <v>Error</v>
      </c>
    </row>
    <row r="2010" spans="1:5" x14ac:dyDescent="0.25">
      <c r="A2010" s="95">
        <f>'Site Data'!B2012</f>
        <v>0</v>
      </c>
      <c r="B2010">
        <f>'Raw Data'!B2012</f>
        <v>358.43</v>
      </c>
      <c r="C2010">
        <f>'Site Data'!E2012</f>
        <v>0</v>
      </c>
      <c r="D2010" s="97">
        <f t="shared" si="64"/>
        <v>358.43</v>
      </c>
      <c r="E2010" s="98" t="str">
        <f t="shared" si="65"/>
        <v>Error</v>
      </c>
    </row>
    <row r="2011" spans="1:5" x14ac:dyDescent="0.25">
      <c r="A2011" s="95">
        <f>'Site Data'!B2013</f>
        <v>0</v>
      </c>
      <c r="B2011">
        <f>'Raw Data'!B2013</f>
        <v>358.43</v>
      </c>
      <c r="C2011">
        <f>'Site Data'!E2013</f>
        <v>0</v>
      </c>
      <c r="D2011" s="97">
        <f t="shared" si="64"/>
        <v>358.43</v>
      </c>
      <c r="E2011" s="98" t="str">
        <f t="shared" si="65"/>
        <v>Error</v>
      </c>
    </row>
    <row r="2012" spans="1:5" x14ac:dyDescent="0.25">
      <c r="A2012" s="95">
        <f>'Site Data'!B2014</f>
        <v>0</v>
      </c>
      <c r="B2012">
        <f>'Raw Data'!B2014</f>
        <v>358.43</v>
      </c>
      <c r="C2012">
        <f>'Site Data'!E2014</f>
        <v>0</v>
      </c>
      <c r="D2012" s="97">
        <f t="shared" si="64"/>
        <v>358.43</v>
      </c>
      <c r="E2012" s="98" t="str">
        <f t="shared" si="65"/>
        <v>Error</v>
      </c>
    </row>
    <row r="2013" spans="1:5" x14ac:dyDescent="0.25">
      <c r="A2013" s="95">
        <f>'Site Data'!B2015</f>
        <v>0</v>
      </c>
      <c r="B2013">
        <f>'Raw Data'!B2015</f>
        <v>358.43</v>
      </c>
      <c r="C2013">
        <f>'Site Data'!E2015</f>
        <v>0</v>
      </c>
      <c r="D2013" s="97">
        <f t="shared" si="64"/>
        <v>358.43</v>
      </c>
      <c r="E2013" s="98" t="str">
        <f t="shared" si="65"/>
        <v>Error</v>
      </c>
    </row>
    <row r="2014" spans="1:5" x14ac:dyDescent="0.25">
      <c r="A2014" s="95">
        <f>'Site Data'!B2016</f>
        <v>0</v>
      </c>
      <c r="B2014">
        <f>'Raw Data'!B2016</f>
        <v>358.43</v>
      </c>
      <c r="C2014">
        <f>'Site Data'!E2016</f>
        <v>0</v>
      </c>
      <c r="D2014" s="97">
        <f t="shared" si="64"/>
        <v>358.43</v>
      </c>
      <c r="E2014" s="98" t="str">
        <f t="shared" si="65"/>
        <v>Error</v>
      </c>
    </row>
    <row r="2015" spans="1:5" x14ac:dyDescent="0.25">
      <c r="A2015" s="95">
        <f>'Site Data'!B2017</f>
        <v>0</v>
      </c>
      <c r="B2015">
        <f>'Raw Data'!B2017</f>
        <v>358.43</v>
      </c>
      <c r="C2015">
        <f>'Site Data'!E2017</f>
        <v>0</v>
      </c>
      <c r="D2015" s="97">
        <f t="shared" si="64"/>
        <v>358.43</v>
      </c>
      <c r="E2015" s="98" t="str">
        <f t="shared" si="65"/>
        <v>Error</v>
      </c>
    </row>
    <row r="2016" spans="1:5" x14ac:dyDescent="0.25">
      <c r="A2016" s="95">
        <f>'Site Data'!B2018</f>
        <v>0</v>
      </c>
      <c r="B2016">
        <f>'Raw Data'!B2018</f>
        <v>358.43</v>
      </c>
      <c r="C2016">
        <f>'Site Data'!E2018</f>
        <v>0</v>
      </c>
      <c r="D2016" s="97">
        <f t="shared" si="64"/>
        <v>358.43</v>
      </c>
      <c r="E2016" s="98" t="str">
        <f t="shared" si="65"/>
        <v>Error</v>
      </c>
    </row>
    <row r="2017" spans="1:5" x14ac:dyDescent="0.25">
      <c r="A2017" s="95">
        <f>'Site Data'!B2019</f>
        <v>0</v>
      </c>
      <c r="B2017">
        <f>'Raw Data'!B2019</f>
        <v>358.43</v>
      </c>
      <c r="C2017">
        <f>'Site Data'!E2019</f>
        <v>0</v>
      </c>
      <c r="D2017" s="97">
        <f t="shared" si="64"/>
        <v>358.43</v>
      </c>
      <c r="E2017" s="98" t="str">
        <f t="shared" si="65"/>
        <v>Error</v>
      </c>
    </row>
    <row r="2018" spans="1:5" x14ac:dyDescent="0.25">
      <c r="A2018" s="95">
        <f>'Site Data'!B2020</f>
        <v>0</v>
      </c>
      <c r="B2018">
        <f>'Raw Data'!B2020</f>
        <v>358.43</v>
      </c>
      <c r="C2018">
        <f>'Site Data'!E2020</f>
        <v>0</v>
      </c>
      <c r="D2018" s="97">
        <f t="shared" si="64"/>
        <v>358.43</v>
      </c>
      <c r="E2018" s="98" t="str">
        <f t="shared" si="65"/>
        <v>Error</v>
      </c>
    </row>
    <row r="2019" spans="1:5" x14ac:dyDescent="0.25">
      <c r="A2019" s="95">
        <f>'Site Data'!B2021</f>
        <v>0</v>
      </c>
      <c r="B2019">
        <f>'Raw Data'!B2021</f>
        <v>358.43</v>
      </c>
      <c r="C2019">
        <f>'Site Data'!E2021</f>
        <v>0</v>
      </c>
      <c r="D2019" s="97">
        <f t="shared" si="64"/>
        <v>358.43</v>
      </c>
      <c r="E2019" s="98" t="str">
        <f t="shared" si="65"/>
        <v>Error</v>
      </c>
    </row>
    <row r="2020" spans="1:5" x14ac:dyDescent="0.25">
      <c r="A2020" s="95">
        <f>'Site Data'!B2022</f>
        <v>0</v>
      </c>
      <c r="B2020">
        <f>'Raw Data'!B2022</f>
        <v>358.43</v>
      </c>
      <c r="C2020">
        <f>'Site Data'!E2022</f>
        <v>0</v>
      </c>
      <c r="D2020" s="97">
        <f t="shared" si="64"/>
        <v>358.43</v>
      </c>
      <c r="E2020" s="98" t="str">
        <f t="shared" si="65"/>
        <v>Error</v>
      </c>
    </row>
    <row r="2021" spans="1:5" x14ac:dyDescent="0.25">
      <c r="A2021" s="95">
        <f>'Site Data'!B2023</f>
        <v>0</v>
      </c>
      <c r="B2021">
        <f>'Raw Data'!B2023</f>
        <v>358.49508746885033</v>
      </c>
      <c r="C2021">
        <f>'Site Data'!E2023</f>
        <v>0</v>
      </c>
      <c r="D2021" s="97">
        <f t="shared" si="64"/>
        <v>358.49508746885033</v>
      </c>
      <c r="E2021" s="98" t="str">
        <f t="shared" si="65"/>
        <v>Error</v>
      </c>
    </row>
    <row r="2022" spans="1:5" x14ac:dyDescent="0.25">
      <c r="A2022" s="95">
        <f>'Site Data'!B2024</f>
        <v>0</v>
      </c>
      <c r="B2022">
        <f>'Raw Data'!B2024</f>
        <v>358.55</v>
      </c>
      <c r="C2022">
        <f>'Site Data'!E2024</f>
        <v>0</v>
      </c>
      <c r="D2022" s="97">
        <f t="shared" si="64"/>
        <v>358.55</v>
      </c>
      <c r="E2022" s="98" t="str">
        <f t="shared" si="65"/>
        <v>Error</v>
      </c>
    </row>
    <row r="2023" spans="1:5" x14ac:dyDescent="0.25">
      <c r="A2023" s="95">
        <f>'Site Data'!B2025</f>
        <v>0</v>
      </c>
      <c r="B2023">
        <f>'Raw Data'!B2025</f>
        <v>358.55</v>
      </c>
      <c r="C2023">
        <f>'Site Data'!E2025</f>
        <v>0</v>
      </c>
      <c r="D2023" s="97">
        <f t="shared" si="64"/>
        <v>358.55</v>
      </c>
      <c r="E2023" s="98" t="str">
        <f t="shared" si="65"/>
        <v>Error</v>
      </c>
    </row>
    <row r="2024" spans="1:5" x14ac:dyDescent="0.25">
      <c r="A2024" s="95">
        <f>'Site Data'!B2026</f>
        <v>0</v>
      </c>
      <c r="B2024">
        <f>'Raw Data'!B2026</f>
        <v>358.55</v>
      </c>
      <c r="C2024">
        <f>'Site Data'!E2026</f>
        <v>0</v>
      </c>
      <c r="D2024" s="97">
        <f t="shared" si="64"/>
        <v>358.55</v>
      </c>
      <c r="E2024" s="98" t="str">
        <f t="shared" si="65"/>
        <v>Error</v>
      </c>
    </row>
    <row r="2025" spans="1:5" x14ac:dyDescent="0.25">
      <c r="A2025" s="95">
        <f>'Site Data'!B2027</f>
        <v>0</v>
      </c>
      <c r="B2025">
        <f>'Raw Data'!B2027</f>
        <v>358.55</v>
      </c>
      <c r="C2025">
        <f>'Site Data'!E2027</f>
        <v>0</v>
      </c>
      <c r="D2025" s="97">
        <f t="shared" si="64"/>
        <v>358.55</v>
      </c>
      <c r="E2025" s="98" t="str">
        <f t="shared" si="65"/>
        <v>Error</v>
      </c>
    </row>
    <row r="2026" spans="1:5" x14ac:dyDescent="0.25">
      <c r="A2026" s="95">
        <f>'Site Data'!B2028</f>
        <v>0</v>
      </c>
      <c r="B2026">
        <f>'Raw Data'!B2028</f>
        <v>358.55</v>
      </c>
      <c r="C2026">
        <f>'Site Data'!E2028</f>
        <v>0</v>
      </c>
      <c r="D2026" s="97">
        <f t="shared" si="64"/>
        <v>358.55</v>
      </c>
      <c r="E2026" s="98" t="str">
        <f t="shared" si="65"/>
        <v>Error</v>
      </c>
    </row>
    <row r="2027" spans="1:5" x14ac:dyDescent="0.25">
      <c r="A2027" s="95">
        <f>'Site Data'!B2029</f>
        <v>0</v>
      </c>
      <c r="B2027">
        <f>'Raw Data'!B2029</f>
        <v>358.55</v>
      </c>
      <c r="C2027">
        <f>'Site Data'!E2029</f>
        <v>0</v>
      </c>
      <c r="D2027" s="97">
        <f t="shared" si="64"/>
        <v>358.55</v>
      </c>
      <c r="E2027" s="98" t="str">
        <f t="shared" si="65"/>
        <v>Error</v>
      </c>
    </row>
    <row r="2028" spans="1:5" x14ac:dyDescent="0.25">
      <c r="A2028" s="95">
        <f>'Site Data'!B2030</f>
        <v>0</v>
      </c>
      <c r="B2028">
        <f>'Raw Data'!B2030</f>
        <v>358.55</v>
      </c>
      <c r="C2028">
        <f>'Site Data'!E2030</f>
        <v>0</v>
      </c>
      <c r="D2028" s="97">
        <f t="shared" si="64"/>
        <v>358.55</v>
      </c>
      <c r="E2028" s="98" t="str">
        <f t="shared" si="65"/>
        <v>Error</v>
      </c>
    </row>
    <row r="2029" spans="1:5" x14ac:dyDescent="0.25">
      <c r="A2029" s="95">
        <f>'Site Data'!B2031</f>
        <v>0</v>
      </c>
      <c r="B2029">
        <f>'Raw Data'!B2031</f>
        <v>358.55</v>
      </c>
      <c r="C2029">
        <f>'Site Data'!E2031</f>
        <v>0</v>
      </c>
      <c r="D2029" s="97">
        <f t="shared" si="64"/>
        <v>358.55</v>
      </c>
      <c r="E2029" s="98" t="str">
        <f t="shared" si="65"/>
        <v>Error</v>
      </c>
    </row>
    <row r="2030" spans="1:5" x14ac:dyDescent="0.25">
      <c r="A2030" s="95">
        <f>'Site Data'!B2032</f>
        <v>0</v>
      </c>
      <c r="B2030">
        <f>'Raw Data'!B2032</f>
        <v>358.55</v>
      </c>
      <c r="C2030">
        <f>'Site Data'!E2032</f>
        <v>0</v>
      </c>
      <c r="D2030" s="97">
        <f t="shared" si="64"/>
        <v>358.55</v>
      </c>
      <c r="E2030" s="98" t="str">
        <f t="shared" si="65"/>
        <v>Error</v>
      </c>
    </row>
    <row r="2031" spans="1:5" x14ac:dyDescent="0.25">
      <c r="A2031" s="95">
        <f>'Site Data'!B2033</f>
        <v>0</v>
      </c>
      <c r="B2031">
        <f>'Raw Data'!B2033</f>
        <v>358.55</v>
      </c>
      <c r="C2031">
        <f>'Site Data'!E2033</f>
        <v>0</v>
      </c>
      <c r="D2031" s="97">
        <f t="shared" si="64"/>
        <v>358.55</v>
      </c>
      <c r="E2031" s="98" t="str">
        <f t="shared" si="65"/>
        <v>Error</v>
      </c>
    </row>
    <row r="2032" spans="1:5" x14ac:dyDescent="0.25">
      <c r="A2032" s="95">
        <f>'Site Data'!B2034</f>
        <v>0</v>
      </c>
      <c r="B2032">
        <f>'Raw Data'!B2034</f>
        <v>358.55</v>
      </c>
      <c r="C2032">
        <f>'Site Data'!E2034</f>
        <v>0</v>
      </c>
      <c r="D2032" s="97">
        <f t="shared" si="64"/>
        <v>358.55</v>
      </c>
      <c r="E2032" s="98" t="str">
        <f t="shared" si="65"/>
        <v>Error</v>
      </c>
    </row>
    <row r="2033" spans="1:5" x14ac:dyDescent="0.25">
      <c r="A2033" s="95">
        <f>'Site Data'!B2035</f>
        <v>0</v>
      </c>
      <c r="B2033">
        <f>'Raw Data'!B2035</f>
        <v>358.55</v>
      </c>
      <c r="C2033">
        <f>'Site Data'!E2035</f>
        <v>0</v>
      </c>
      <c r="D2033" s="97">
        <f t="shared" si="64"/>
        <v>358.55</v>
      </c>
      <c r="E2033" s="98" t="str">
        <f t="shared" si="65"/>
        <v>Error</v>
      </c>
    </row>
    <row r="2034" spans="1:5" x14ac:dyDescent="0.25">
      <c r="A2034" s="95">
        <f>'Site Data'!B2036</f>
        <v>0</v>
      </c>
      <c r="B2034">
        <f>'Raw Data'!B2036</f>
        <v>358.55</v>
      </c>
      <c r="C2034">
        <f>'Site Data'!E2036</f>
        <v>0</v>
      </c>
      <c r="D2034" s="97">
        <f t="shared" si="64"/>
        <v>358.55</v>
      </c>
      <c r="E2034" s="98" t="str">
        <f t="shared" si="65"/>
        <v>Error</v>
      </c>
    </row>
    <row r="2035" spans="1:5" x14ac:dyDescent="0.25">
      <c r="A2035" s="95">
        <f>'Site Data'!B2037</f>
        <v>0</v>
      </c>
      <c r="B2035">
        <f>'Raw Data'!B2037</f>
        <v>358.33919534006509</v>
      </c>
      <c r="C2035">
        <f>'Site Data'!E2037</f>
        <v>0</v>
      </c>
      <c r="D2035" s="97">
        <f t="shared" si="64"/>
        <v>358.33919534006509</v>
      </c>
      <c r="E2035" s="98" t="str">
        <f t="shared" si="65"/>
        <v>Error</v>
      </c>
    </row>
    <row r="2036" spans="1:5" x14ac:dyDescent="0.25">
      <c r="A2036" s="95">
        <f>'Site Data'!B2038</f>
        <v>0</v>
      </c>
      <c r="B2036">
        <f>'Raw Data'!B2038</f>
        <v>358.38</v>
      </c>
      <c r="C2036">
        <f>'Site Data'!E2038</f>
        <v>0</v>
      </c>
      <c r="D2036" s="97">
        <f t="shared" si="64"/>
        <v>358.38</v>
      </c>
      <c r="E2036" s="98" t="str">
        <f t="shared" si="65"/>
        <v>Error</v>
      </c>
    </row>
    <row r="2037" spans="1:5" x14ac:dyDescent="0.25">
      <c r="A2037" s="95">
        <f>'Site Data'!B2039</f>
        <v>0</v>
      </c>
      <c r="B2037">
        <f>'Raw Data'!B2039</f>
        <v>358.35252693145429</v>
      </c>
      <c r="C2037">
        <f>'Site Data'!E2039</f>
        <v>0</v>
      </c>
      <c r="D2037" s="97">
        <f t="shared" si="64"/>
        <v>358.35252693145429</v>
      </c>
      <c r="E2037" s="98" t="str">
        <f t="shared" si="65"/>
        <v>Error</v>
      </c>
    </row>
    <row r="2038" spans="1:5" x14ac:dyDescent="0.25">
      <c r="A2038" s="95">
        <f>'Site Data'!B2040</f>
        <v>0</v>
      </c>
      <c r="B2038">
        <f>'Raw Data'!B2040</f>
        <v>358.28</v>
      </c>
      <c r="C2038">
        <f>'Site Data'!E2040</f>
        <v>0</v>
      </c>
      <c r="D2038" s="97">
        <f t="shared" si="64"/>
        <v>358.28</v>
      </c>
      <c r="E2038" s="98" t="str">
        <f t="shared" si="65"/>
        <v>Error</v>
      </c>
    </row>
    <row r="2039" spans="1:5" x14ac:dyDescent="0.25">
      <c r="A2039" s="95">
        <f>'Site Data'!B2041</f>
        <v>0</v>
      </c>
      <c r="B2039">
        <f>'Raw Data'!B2041</f>
        <v>358.25279622920607</v>
      </c>
      <c r="C2039">
        <f>'Site Data'!E2041</f>
        <v>0</v>
      </c>
      <c r="D2039" s="97">
        <f t="shared" si="64"/>
        <v>358.25279622920607</v>
      </c>
      <c r="E2039" s="98" t="str">
        <f t="shared" si="65"/>
        <v>Error</v>
      </c>
    </row>
    <row r="2040" spans="1:5" x14ac:dyDescent="0.25">
      <c r="A2040" s="95">
        <f>'Site Data'!B2042</f>
        <v>0</v>
      </c>
      <c r="B2040">
        <f>'Raw Data'!B2042</f>
        <v>358.22</v>
      </c>
      <c r="C2040">
        <f>'Site Data'!E2042</f>
        <v>0</v>
      </c>
      <c r="D2040" s="97">
        <f t="shared" si="64"/>
        <v>358.22</v>
      </c>
      <c r="E2040" s="98" t="str">
        <f t="shared" si="65"/>
        <v>Error</v>
      </c>
    </row>
    <row r="2041" spans="1:5" x14ac:dyDescent="0.25">
      <c r="A2041" s="95">
        <f>'Site Data'!B2043</f>
        <v>0</v>
      </c>
      <c r="B2041">
        <f>'Raw Data'!B2043</f>
        <v>358.20157930321199</v>
      </c>
      <c r="C2041">
        <f>'Site Data'!E2043</f>
        <v>0</v>
      </c>
      <c r="D2041" s="97">
        <f t="shared" si="64"/>
        <v>358.20157930321199</v>
      </c>
      <c r="E2041" s="98" t="str">
        <f t="shared" si="65"/>
        <v>Error</v>
      </c>
    </row>
    <row r="2042" spans="1:5" x14ac:dyDescent="0.25">
      <c r="A2042" s="95">
        <f>'Site Data'!B2044</f>
        <v>0</v>
      </c>
      <c r="B2042">
        <f>'Raw Data'!B2044</f>
        <v>358.18</v>
      </c>
      <c r="C2042">
        <f>'Site Data'!E2044</f>
        <v>0</v>
      </c>
      <c r="D2042" s="97">
        <f t="shared" si="64"/>
        <v>358.18</v>
      </c>
      <c r="E2042" s="98" t="str">
        <f t="shared" si="65"/>
        <v>Error</v>
      </c>
    </row>
    <row r="2043" spans="1:5" x14ac:dyDescent="0.25">
      <c r="A2043" s="95">
        <f>'Site Data'!B2045</f>
        <v>0</v>
      </c>
      <c r="B2043">
        <f>'Raw Data'!B2045</f>
        <v>358.18</v>
      </c>
      <c r="C2043">
        <f>'Site Data'!E2045</f>
        <v>0</v>
      </c>
      <c r="D2043" s="97">
        <f t="shared" si="64"/>
        <v>358.18</v>
      </c>
      <c r="E2043" s="98" t="str">
        <f t="shared" si="65"/>
        <v>Error</v>
      </c>
    </row>
    <row r="2044" spans="1:5" x14ac:dyDescent="0.25">
      <c r="A2044" s="95">
        <f>'Site Data'!B2046</f>
        <v>0</v>
      </c>
      <c r="B2044">
        <f>'Raw Data'!B2046</f>
        <v>358.18</v>
      </c>
      <c r="C2044">
        <f>'Site Data'!E2046</f>
        <v>0</v>
      </c>
      <c r="D2044" s="97">
        <f t="shared" si="64"/>
        <v>358.18</v>
      </c>
      <c r="E2044" s="98" t="str">
        <f t="shared" si="65"/>
        <v>Error</v>
      </c>
    </row>
    <row r="2045" spans="1:5" x14ac:dyDescent="0.25">
      <c r="A2045" s="95">
        <f>'Site Data'!B2047</f>
        <v>0</v>
      </c>
      <c r="B2045">
        <f>'Raw Data'!B2047</f>
        <v>358.18</v>
      </c>
      <c r="C2045">
        <f>'Site Data'!E2047</f>
        <v>0</v>
      </c>
      <c r="D2045" s="97">
        <f t="shared" si="64"/>
        <v>358.18</v>
      </c>
      <c r="E2045" s="98" t="str">
        <f t="shared" si="65"/>
        <v>Error</v>
      </c>
    </row>
    <row r="2046" spans="1:5" x14ac:dyDescent="0.25">
      <c r="A2046" s="95">
        <f>'Site Data'!B2048</f>
        <v>0</v>
      </c>
      <c r="B2046">
        <f>'Raw Data'!B2048</f>
        <v>358.18</v>
      </c>
      <c r="C2046">
        <f>'Site Data'!E2048</f>
        <v>0</v>
      </c>
      <c r="D2046" s="97">
        <f t="shared" si="64"/>
        <v>358.18</v>
      </c>
      <c r="E2046" s="98" t="str">
        <f t="shared" si="65"/>
        <v>Error</v>
      </c>
    </row>
    <row r="2047" spans="1:5" x14ac:dyDescent="0.25">
      <c r="A2047" s="95">
        <f>'Site Data'!B2049</f>
        <v>0</v>
      </c>
      <c r="B2047">
        <f>'Raw Data'!B2049</f>
        <v>358.18</v>
      </c>
      <c r="C2047">
        <f>'Site Data'!E2049</f>
        <v>0</v>
      </c>
      <c r="D2047" s="97">
        <f t="shared" si="64"/>
        <v>358.18</v>
      </c>
      <c r="E2047" s="98" t="str">
        <f t="shared" si="65"/>
        <v>Error</v>
      </c>
    </row>
    <row r="2048" spans="1:5" x14ac:dyDescent="0.25">
      <c r="A2048" s="95">
        <f>'Site Data'!B2050</f>
        <v>0</v>
      </c>
      <c r="B2048">
        <f>'Raw Data'!B2050</f>
        <v>358.18</v>
      </c>
      <c r="C2048">
        <f>'Site Data'!E2050</f>
        <v>0</v>
      </c>
      <c r="D2048" s="97">
        <f t="shared" si="64"/>
        <v>358.18</v>
      </c>
      <c r="E2048" s="98" t="str">
        <f t="shared" si="65"/>
        <v>Error</v>
      </c>
    </row>
    <row r="2049" spans="1:5" x14ac:dyDescent="0.25">
      <c r="A2049" s="95">
        <f>'Site Data'!B2051</f>
        <v>0</v>
      </c>
      <c r="B2049">
        <f>'Raw Data'!B2051</f>
        <v>357.84</v>
      </c>
      <c r="C2049">
        <f>'Site Data'!E2051</f>
        <v>0</v>
      </c>
      <c r="D2049" s="97">
        <f t="shared" si="64"/>
        <v>357.84</v>
      </c>
      <c r="E2049" s="98" t="str">
        <f t="shared" si="65"/>
        <v>Error</v>
      </c>
    </row>
    <row r="2050" spans="1:5" x14ac:dyDescent="0.25">
      <c r="A2050" s="95">
        <f>'Site Data'!B2052</f>
        <v>0</v>
      </c>
      <c r="B2050">
        <f>'Raw Data'!B2052</f>
        <v>357.84</v>
      </c>
      <c r="C2050">
        <f>'Site Data'!E2052</f>
        <v>0</v>
      </c>
      <c r="D2050" s="97">
        <f t="shared" ref="D2050:D2113" si="66">B2050-C2050</f>
        <v>357.84</v>
      </c>
      <c r="E2050" s="98" t="str">
        <f t="shared" ref="E2050:E2113" si="67">IF(AND(D2050 &gt;= 50, D2050 &lt;= 60), "Valid", "Error")</f>
        <v>Error</v>
      </c>
    </row>
    <row r="2051" spans="1:5" x14ac:dyDescent="0.25">
      <c r="A2051" s="95">
        <f>'Site Data'!B2053</f>
        <v>0</v>
      </c>
      <c r="B2051">
        <f>'Raw Data'!B2053</f>
        <v>357.80858820478085</v>
      </c>
      <c r="C2051">
        <f>'Site Data'!E2053</f>
        <v>0</v>
      </c>
      <c r="D2051" s="97">
        <f t="shared" si="66"/>
        <v>357.80858820478085</v>
      </c>
      <c r="E2051" s="98" t="str">
        <f t="shared" si="67"/>
        <v>Error</v>
      </c>
    </row>
    <row r="2052" spans="1:5" x14ac:dyDescent="0.25">
      <c r="A2052" s="95">
        <f>'Site Data'!B2054</f>
        <v>0</v>
      </c>
      <c r="B2052">
        <f>'Raw Data'!B2054</f>
        <v>357.67</v>
      </c>
      <c r="C2052">
        <f>'Site Data'!E2054</f>
        <v>0</v>
      </c>
      <c r="D2052" s="97">
        <f t="shared" si="66"/>
        <v>357.67</v>
      </c>
      <c r="E2052" s="98" t="str">
        <f t="shared" si="67"/>
        <v>Error</v>
      </c>
    </row>
    <row r="2053" spans="1:5" x14ac:dyDescent="0.25">
      <c r="A2053" s="95">
        <f>'Site Data'!B2055</f>
        <v>0</v>
      </c>
      <c r="B2053">
        <f>'Raw Data'!B2055</f>
        <v>357.67</v>
      </c>
      <c r="C2053">
        <f>'Site Data'!E2055</f>
        <v>0</v>
      </c>
      <c r="D2053" s="97">
        <f t="shared" si="66"/>
        <v>357.67</v>
      </c>
      <c r="E2053" s="98" t="str">
        <f t="shared" si="67"/>
        <v>Error</v>
      </c>
    </row>
    <row r="2054" spans="1:5" x14ac:dyDescent="0.25">
      <c r="A2054" s="95">
        <f>'Site Data'!B2056</f>
        <v>0</v>
      </c>
      <c r="B2054">
        <f>'Raw Data'!B2056</f>
        <v>357.67</v>
      </c>
      <c r="C2054">
        <f>'Site Data'!E2056</f>
        <v>0</v>
      </c>
      <c r="D2054" s="97">
        <f t="shared" si="66"/>
        <v>357.67</v>
      </c>
      <c r="E2054" s="98" t="str">
        <f t="shared" si="67"/>
        <v>Error</v>
      </c>
    </row>
    <row r="2055" spans="1:5" x14ac:dyDescent="0.25">
      <c r="A2055" s="95">
        <f>'Site Data'!B2057</f>
        <v>0</v>
      </c>
      <c r="B2055">
        <f>'Raw Data'!B2057</f>
        <v>357.67</v>
      </c>
      <c r="C2055">
        <f>'Site Data'!E2057</f>
        <v>0</v>
      </c>
      <c r="D2055" s="97">
        <f t="shared" si="66"/>
        <v>357.67</v>
      </c>
      <c r="E2055" s="98" t="str">
        <f t="shared" si="67"/>
        <v>Error</v>
      </c>
    </row>
    <row r="2056" spans="1:5" x14ac:dyDescent="0.25">
      <c r="A2056" s="95">
        <f>'Site Data'!B2058</f>
        <v>0</v>
      </c>
      <c r="B2056">
        <f>'Raw Data'!B2058</f>
        <v>357.22</v>
      </c>
      <c r="C2056">
        <f>'Site Data'!E2058</f>
        <v>0</v>
      </c>
      <c r="D2056" s="97">
        <f t="shared" si="66"/>
        <v>357.22</v>
      </c>
      <c r="E2056" s="98" t="str">
        <f t="shared" si="67"/>
        <v>Error</v>
      </c>
    </row>
    <row r="2057" spans="1:5" x14ac:dyDescent="0.25">
      <c r="A2057" s="95">
        <f>'Site Data'!B2059</f>
        <v>0</v>
      </c>
      <c r="B2057">
        <f>'Raw Data'!B2059</f>
        <v>357.22</v>
      </c>
      <c r="C2057">
        <f>'Site Data'!E2059</f>
        <v>0</v>
      </c>
      <c r="D2057" s="97">
        <f t="shared" si="66"/>
        <v>357.22</v>
      </c>
      <c r="E2057" s="98" t="str">
        <f t="shared" si="67"/>
        <v>Error</v>
      </c>
    </row>
    <row r="2058" spans="1:5" x14ac:dyDescent="0.25">
      <c r="A2058" s="95">
        <f>'Site Data'!B2060</f>
        <v>0</v>
      </c>
      <c r="B2058">
        <f>'Raw Data'!B2060</f>
        <v>357.22</v>
      </c>
      <c r="C2058">
        <f>'Site Data'!E2060</f>
        <v>0</v>
      </c>
      <c r="D2058" s="97">
        <f t="shared" si="66"/>
        <v>357.22</v>
      </c>
      <c r="E2058" s="98" t="str">
        <f t="shared" si="67"/>
        <v>Error</v>
      </c>
    </row>
    <row r="2059" spans="1:5" x14ac:dyDescent="0.25">
      <c r="A2059" s="95">
        <f>'Site Data'!B2061</f>
        <v>0</v>
      </c>
      <c r="B2059">
        <f>'Raw Data'!B2061</f>
        <v>357.22</v>
      </c>
      <c r="C2059">
        <f>'Site Data'!E2061</f>
        <v>0</v>
      </c>
      <c r="D2059" s="97">
        <f t="shared" si="66"/>
        <v>357.22</v>
      </c>
      <c r="E2059" s="98" t="str">
        <f t="shared" si="67"/>
        <v>Error</v>
      </c>
    </row>
    <row r="2060" spans="1:5" x14ac:dyDescent="0.25">
      <c r="A2060" s="95">
        <f>'Site Data'!B2062</f>
        <v>0</v>
      </c>
      <c r="B2060">
        <f>'Raw Data'!B2062</f>
        <v>357.22</v>
      </c>
      <c r="C2060">
        <f>'Site Data'!E2062</f>
        <v>0</v>
      </c>
      <c r="D2060" s="97">
        <f t="shared" si="66"/>
        <v>357.22</v>
      </c>
      <c r="E2060" s="98" t="str">
        <f t="shared" si="67"/>
        <v>Error</v>
      </c>
    </row>
    <row r="2061" spans="1:5" x14ac:dyDescent="0.25">
      <c r="A2061" s="95">
        <f>'Site Data'!B2063</f>
        <v>0</v>
      </c>
      <c r="B2061">
        <f>'Raw Data'!B2063</f>
        <v>357.22</v>
      </c>
      <c r="C2061">
        <f>'Site Data'!E2063</f>
        <v>0</v>
      </c>
      <c r="D2061" s="97">
        <f t="shared" si="66"/>
        <v>357.22</v>
      </c>
      <c r="E2061" s="98" t="str">
        <f t="shared" si="67"/>
        <v>Error</v>
      </c>
    </row>
    <row r="2062" spans="1:5" x14ac:dyDescent="0.25">
      <c r="A2062" s="95">
        <f>'Site Data'!B2064</f>
        <v>0</v>
      </c>
      <c r="B2062">
        <f>'Raw Data'!B2064</f>
        <v>357.22</v>
      </c>
      <c r="C2062">
        <f>'Site Data'!E2064</f>
        <v>0</v>
      </c>
      <c r="D2062" s="97">
        <f t="shared" si="66"/>
        <v>357.22</v>
      </c>
      <c r="E2062" s="98" t="str">
        <f t="shared" si="67"/>
        <v>Error</v>
      </c>
    </row>
    <row r="2063" spans="1:5" x14ac:dyDescent="0.25">
      <c r="A2063" s="95">
        <f>'Site Data'!B2065</f>
        <v>0</v>
      </c>
      <c r="B2063">
        <f>'Raw Data'!B2065</f>
        <v>356.6</v>
      </c>
      <c r="C2063">
        <f>'Site Data'!E2065</f>
        <v>0</v>
      </c>
      <c r="D2063" s="97">
        <f t="shared" si="66"/>
        <v>356.6</v>
      </c>
      <c r="E2063" s="98" t="str">
        <f t="shared" si="67"/>
        <v>Error</v>
      </c>
    </row>
    <row r="2064" spans="1:5" x14ac:dyDescent="0.25">
      <c r="A2064" s="95">
        <f>'Site Data'!B2066</f>
        <v>0</v>
      </c>
      <c r="B2064">
        <f>'Raw Data'!B2066</f>
        <v>356.6</v>
      </c>
      <c r="C2064">
        <f>'Site Data'!E2066</f>
        <v>0</v>
      </c>
      <c r="D2064" s="97">
        <f t="shared" si="66"/>
        <v>356.6</v>
      </c>
      <c r="E2064" s="98" t="str">
        <f t="shared" si="67"/>
        <v>Error</v>
      </c>
    </row>
    <row r="2065" spans="1:5" x14ac:dyDescent="0.25">
      <c r="A2065" s="95">
        <f>'Site Data'!B2067</f>
        <v>0</v>
      </c>
      <c r="B2065">
        <f>'Raw Data'!B2067</f>
        <v>356.58680361856608</v>
      </c>
      <c r="C2065">
        <f>'Site Data'!E2067</f>
        <v>0</v>
      </c>
      <c r="D2065" s="97">
        <f t="shared" si="66"/>
        <v>356.58680361856608</v>
      </c>
      <c r="E2065" s="98" t="str">
        <f t="shared" si="67"/>
        <v>Error</v>
      </c>
    </row>
    <row r="2066" spans="1:5" x14ac:dyDescent="0.25">
      <c r="A2066" s="95">
        <f>'Site Data'!B2068</f>
        <v>0</v>
      </c>
      <c r="B2066">
        <f>'Raw Data'!B2068</f>
        <v>356.52</v>
      </c>
      <c r="C2066">
        <f>'Site Data'!E2068</f>
        <v>0</v>
      </c>
      <c r="D2066" s="97">
        <f t="shared" si="66"/>
        <v>356.52</v>
      </c>
      <c r="E2066" s="98" t="str">
        <f t="shared" si="67"/>
        <v>Error</v>
      </c>
    </row>
    <row r="2067" spans="1:5" x14ac:dyDescent="0.25">
      <c r="A2067" s="95">
        <f>'Site Data'!B2069</f>
        <v>0</v>
      </c>
      <c r="B2067">
        <f>'Raw Data'!B2069</f>
        <v>356.50047604501776</v>
      </c>
      <c r="C2067">
        <f>'Site Data'!E2069</f>
        <v>0</v>
      </c>
      <c r="D2067" s="97">
        <f t="shared" si="66"/>
        <v>356.50047604501776</v>
      </c>
      <c r="E2067" s="98" t="str">
        <f t="shared" si="67"/>
        <v>Error</v>
      </c>
    </row>
    <row r="2068" spans="1:5" x14ac:dyDescent="0.25">
      <c r="A2068" s="95">
        <f>'Site Data'!B2070</f>
        <v>0</v>
      </c>
      <c r="B2068">
        <f>'Raw Data'!B2070</f>
        <v>356.41</v>
      </c>
      <c r="C2068">
        <f>'Raw Data'!C2070</f>
        <v>301.24728475356693</v>
      </c>
      <c r="D2068" s="97">
        <f t="shared" si="66"/>
        <v>55.162715246433095</v>
      </c>
      <c r="E2068" s="98" t="str">
        <f t="shared" si="67"/>
        <v>Valid</v>
      </c>
    </row>
    <row r="2069" spans="1:5" x14ac:dyDescent="0.25">
      <c r="A2069" s="95">
        <f>'Site Data'!B2071</f>
        <v>0</v>
      </c>
      <c r="B2069">
        <f>'Raw Data'!B2071</f>
        <v>356.38946024348576</v>
      </c>
      <c r="C2069">
        <f>'Raw Data'!C2071</f>
        <v>301.02</v>
      </c>
      <c r="D2069" s="97">
        <f t="shared" si="66"/>
        <v>55.369460243485776</v>
      </c>
      <c r="E2069" s="98" t="str">
        <f t="shared" si="67"/>
        <v>Valid</v>
      </c>
    </row>
    <row r="2070" spans="1:5" x14ac:dyDescent="0.25">
      <c r="A2070" s="95">
        <f>'Site Data'!B2072</f>
        <v>0</v>
      </c>
      <c r="B2070">
        <f>'Raw Data'!B2072</f>
        <v>356.3</v>
      </c>
      <c r="C2070">
        <f>'Raw Data'!C2072</f>
        <v>300.99641059399397</v>
      </c>
      <c r="D2070" s="97">
        <f t="shared" si="66"/>
        <v>55.30358940600604</v>
      </c>
      <c r="E2070" s="98" t="str">
        <f t="shared" si="67"/>
        <v>Valid</v>
      </c>
    </row>
    <row r="2071" spans="1:5" x14ac:dyDescent="0.25">
      <c r="A2071" s="95">
        <f>'Site Data'!B2073</f>
        <v>0</v>
      </c>
      <c r="B2071">
        <f>'Raw Data'!B2073</f>
        <v>356.3</v>
      </c>
      <c r="C2071">
        <f>'Raw Data'!C2073</f>
        <v>301</v>
      </c>
      <c r="D2071" s="97">
        <f t="shared" si="66"/>
        <v>55.300000000000011</v>
      </c>
      <c r="E2071" s="98" t="str">
        <f t="shared" si="67"/>
        <v>Valid</v>
      </c>
    </row>
    <row r="2072" spans="1:5" x14ac:dyDescent="0.25">
      <c r="A2072" s="95">
        <f>'Site Data'!B2074</f>
        <v>0</v>
      </c>
      <c r="B2072">
        <f>'Raw Data'!B2074</f>
        <v>356.3</v>
      </c>
      <c r="C2072">
        <f>'Raw Data'!C2074</f>
        <v>300.55</v>
      </c>
      <c r="D2072" s="97">
        <f t="shared" si="66"/>
        <v>55.75</v>
      </c>
      <c r="E2072" s="98" t="str">
        <f t="shared" si="67"/>
        <v>Valid</v>
      </c>
    </row>
    <row r="2073" spans="1:5" x14ac:dyDescent="0.25">
      <c r="A2073" s="95">
        <f>'Site Data'!B2075</f>
        <v>0</v>
      </c>
      <c r="B2073">
        <f>'Raw Data'!B2075</f>
        <v>356.3</v>
      </c>
      <c r="C2073">
        <f>'Raw Data'!C2075</f>
        <v>300.53878840341559</v>
      </c>
      <c r="D2073" s="97">
        <f t="shared" si="66"/>
        <v>55.761211596584417</v>
      </c>
      <c r="E2073" s="98" t="str">
        <f t="shared" si="67"/>
        <v>Valid</v>
      </c>
    </row>
    <row r="2074" spans="1:5" x14ac:dyDescent="0.25">
      <c r="A2074" s="95">
        <f>'Site Data'!B2076</f>
        <v>0</v>
      </c>
      <c r="B2074">
        <f>'Raw Data'!B2076</f>
        <v>356.3</v>
      </c>
      <c r="C2074">
        <f>'Raw Data'!C2076</f>
        <v>300.54922251985079</v>
      </c>
      <c r="D2074" s="97">
        <f t="shared" si="66"/>
        <v>55.750777480149225</v>
      </c>
      <c r="E2074" s="98" t="str">
        <f t="shared" si="67"/>
        <v>Valid</v>
      </c>
    </row>
    <row r="2075" spans="1:5" x14ac:dyDescent="0.25">
      <c r="A2075" s="95">
        <f>'Site Data'!B2077</f>
        <v>0</v>
      </c>
      <c r="B2075">
        <f>'Raw Data'!B2077</f>
        <v>356.3</v>
      </c>
      <c r="C2075">
        <f>'Raw Data'!C2077</f>
        <v>300.54000000000002</v>
      </c>
      <c r="D2075" s="97">
        <f t="shared" si="66"/>
        <v>55.759999999999991</v>
      </c>
      <c r="E2075" s="98" t="str">
        <f t="shared" si="67"/>
        <v>Valid</v>
      </c>
    </row>
    <row r="2076" spans="1:5" x14ac:dyDescent="0.25">
      <c r="A2076" s="95">
        <f>'Site Data'!B2078</f>
        <v>0</v>
      </c>
      <c r="B2076">
        <f>'Raw Data'!B2078</f>
        <v>356.3</v>
      </c>
      <c r="C2076">
        <f>'Raw Data'!C2078</f>
        <v>300.41620848038929</v>
      </c>
      <c r="D2076" s="97">
        <f t="shared" si="66"/>
        <v>55.883791519610725</v>
      </c>
      <c r="E2076" s="98" t="str">
        <f t="shared" si="67"/>
        <v>Valid</v>
      </c>
    </row>
    <row r="2077" spans="1:5" x14ac:dyDescent="0.25">
      <c r="A2077" s="95">
        <f>'Site Data'!B2079</f>
        <v>0</v>
      </c>
      <c r="B2077">
        <f>'Raw Data'!B2079</f>
        <v>356.06</v>
      </c>
      <c r="C2077">
        <f>'Raw Data'!C2079</f>
        <v>300.41000000000003</v>
      </c>
      <c r="D2077" s="97">
        <f t="shared" si="66"/>
        <v>55.649999999999977</v>
      </c>
      <c r="E2077" s="98" t="str">
        <f t="shared" si="67"/>
        <v>Valid</v>
      </c>
    </row>
    <row r="2078" spans="1:5" x14ac:dyDescent="0.25">
      <c r="A2078" s="95">
        <f>'Site Data'!B2080</f>
        <v>0</v>
      </c>
      <c r="B2078">
        <f>'Raw Data'!B2080</f>
        <v>356.06</v>
      </c>
      <c r="C2078">
        <f>'Raw Data'!C2080</f>
        <v>300.41000000000003</v>
      </c>
      <c r="D2078" s="97">
        <f t="shared" si="66"/>
        <v>55.649999999999977</v>
      </c>
      <c r="E2078" s="98" t="str">
        <f t="shared" si="67"/>
        <v>Valid</v>
      </c>
    </row>
    <row r="2079" spans="1:5" x14ac:dyDescent="0.25">
      <c r="A2079" s="95">
        <f>'Site Data'!B2081</f>
        <v>0</v>
      </c>
      <c r="B2079">
        <f>'Raw Data'!B2081</f>
        <v>356.02</v>
      </c>
      <c r="C2079">
        <f>'Raw Data'!C2081</f>
        <v>300.42</v>
      </c>
      <c r="D2079" s="97">
        <f t="shared" si="66"/>
        <v>55.599999999999966</v>
      </c>
      <c r="E2079" s="98" t="str">
        <f t="shared" si="67"/>
        <v>Valid</v>
      </c>
    </row>
    <row r="2080" spans="1:5" x14ac:dyDescent="0.25">
      <c r="A2080" s="95">
        <f>'Site Data'!B2082</f>
        <v>0</v>
      </c>
      <c r="B2080">
        <f>'Raw Data'!B2082</f>
        <v>356.02</v>
      </c>
      <c r="C2080">
        <f>'Raw Data'!C2082</f>
        <v>300.41062219829701</v>
      </c>
      <c r="D2080" s="97">
        <f t="shared" si="66"/>
        <v>55.609377801702976</v>
      </c>
      <c r="E2080" s="98" t="str">
        <f t="shared" si="67"/>
        <v>Valid</v>
      </c>
    </row>
    <row r="2081" spans="1:5" x14ac:dyDescent="0.25">
      <c r="A2081" s="95">
        <f>'Site Data'!B2083</f>
        <v>0</v>
      </c>
      <c r="B2081">
        <f>'Raw Data'!B2083</f>
        <v>355.98</v>
      </c>
      <c r="C2081">
        <f>'Raw Data'!C2083</f>
        <v>300.41574583778834</v>
      </c>
      <c r="D2081" s="97">
        <f t="shared" si="66"/>
        <v>55.564254162211682</v>
      </c>
      <c r="E2081" s="98" t="str">
        <f t="shared" si="67"/>
        <v>Valid</v>
      </c>
    </row>
    <row r="2082" spans="1:5" x14ac:dyDescent="0.25">
      <c r="A2082" s="95">
        <f>'Site Data'!B2084</f>
        <v>0</v>
      </c>
      <c r="B2082">
        <f>'Raw Data'!B2084</f>
        <v>355.98</v>
      </c>
      <c r="C2082">
        <f>'Raw Data'!C2084</f>
        <v>300.26879161834717</v>
      </c>
      <c r="D2082" s="97">
        <f t="shared" si="66"/>
        <v>55.711208381652852</v>
      </c>
      <c r="E2082" s="98" t="str">
        <f t="shared" si="67"/>
        <v>Valid</v>
      </c>
    </row>
    <row r="2083" spans="1:5" x14ac:dyDescent="0.25">
      <c r="A2083" s="95">
        <f>'Site Data'!B2085</f>
        <v>0</v>
      </c>
      <c r="B2083">
        <f>'Raw Data'!B2085</f>
        <v>355.96</v>
      </c>
      <c r="C2083">
        <f>'Raw Data'!C2085</f>
        <v>300.27555343630792</v>
      </c>
      <c r="D2083" s="97">
        <f t="shared" si="66"/>
        <v>55.684446563692063</v>
      </c>
      <c r="E2083" s="98" t="str">
        <f t="shared" si="67"/>
        <v>Valid</v>
      </c>
    </row>
    <row r="2084" spans="1:5" x14ac:dyDescent="0.25">
      <c r="A2084" s="95">
        <f>'Site Data'!B2086</f>
        <v>0</v>
      </c>
      <c r="B2084">
        <f>'Raw Data'!B2086</f>
        <v>355.96</v>
      </c>
      <c r="C2084">
        <f>'Raw Data'!C2086</f>
        <v>300.05</v>
      </c>
      <c r="D2084" s="97">
        <f t="shared" si="66"/>
        <v>55.909999999999968</v>
      </c>
      <c r="E2084" s="98" t="str">
        <f t="shared" si="67"/>
        <v>Valid</v>
      </c>
    </row>
    <row r="2085" spans="1:5" x14ac:dyDescent="0.25">
      <c r="A2085" s="95">
        <f>'Site Data'!B2087</f>
        <v>0</v>
      </c>
      <c r="B2085">
        <f>'Raw Data'!B2087</f>
        <v>355.96</v>
      </c>
      <c r="C2085">
        <f>'Raw Data'!C2087</f>
        <v>300.05</v>
      </c>
      <c r="D2085" s="97">
        <f t="shared" si="66"/>
        <v>55.909999999999968</v>
      </c>
      <c r="E2085" s="98" t="str">
        <f t="shared" si="67"/>
        <v>Valid</v>
      </c>
    </row>
    <row r="2086" spans="1:5" x14ac:dyDescent="0.25">
      <c r="A2086" s="95">
        <f>'Site Data'!B2088</f>
        <v>0</v>
      </c>
      <c r="B2086">
        <f>'Raw Data'!B2088</f>
        <v>355.96</v>
      </c>
      <c r="C2086">
        <f>'Raw Data'!C2088</f>
        <v>300.05</v>
      </c>
      <c r="D2086" s="97">
        <f t="shared" si="66"/>
        <v>55.909999999999968</v>
      </c>
      <c r="E2086" s="98" t="str">
        <f t="shared" si="67"/>
        <v>Valid</v>
      </c>
    </row>
    <row r="2087" spans="1:5" x14ac:dyDescent="0.25">
      <c r="A2087" s="95">
        <f>'Site Data'!B2089</f>
        <v>0</v>
      </c>
      <c r="B2087">
        <f>'Raw Data'!B2089</f>
        <v>355.96</v>
      </c>
      <c r="C2087">
        <f>'Raw Data'!C2089</f>
        <v>300.05</v>
      </c>
      <c r="D2087" s="97">
        <f t="shared" si="66"/>
        <v>55.909999999999968</v>
      </c>
      <c r="E2087" s="98" t="str">
        <f t="shared" si="67"/>
        <v>Valid</v>
      </c>
    </row>
    <row r="2088" spans="1:5" x14ac:dyDescent="0.25">
      <c r="A2088" s="95">
        <f>'Site Data'!B2090</f>
        <v>0</v>
      </c>
      <c r="B2088">
        <f>'Raw Data'!B2090</f>
        <v>355.96</v>
      </c>
      <c r="C2088">
        <f>'Raw Data'!C2090</f>
        <v>300.05</v>
      </c>
      <c r="D2088" s="97">
        <f t="shared" si="66"/>
        <v>55.909999999999968</v>
      </c>
      <c r="E2088" s="98" t="str">
        <f t="shared" si="67"/>
        <v>Valid</v>
      </c>
    </row>
    <row r="2089" spans="1:5" x14ac:dyDescent="0.25">
      <c r="A2089" s="95">
        <f>'Site Data'!B2091</f>
        <v>0</v>
      </c>
      <c r="B2089">
        <f>'Raw Data'!B2091</f>
        <v>355.96</v>
      </c>
      <c r="C2089">
        <f>'Raw Data'!C2091</f>
        <v>300.05</v>
      </c>
      <c r="D2089" s="97">
        <f t="shared" si="66"/>
        <v>55.909999999999968</v>
      </c>
      <c r="E2089" s="98" t="str">
        <f t="shared" si="67"/>
        <v>Valid</v>
      </c>
    </row>
    <row r="2090" spans="1:5" x14ac:dyDescent="0.25">
      <c r="A2090" s="95">
        <f>'Site Data'!B2092</f>
        <v>0</v>
      </c>
      <c r="B2090">
        <f>'Raw Data'!B2092</f>
        <v>355.96</v>
      </c>
      <c r="C2090">
        <f>'Raw Data'!C2092</f>
        <v>300.05695329449856</v>
      </c>
      <c r="D2090" s="97">
        <f t="shared" si="66"/>
        <v>55.903046705501424</v>
      </c>
      <c r="E2090" s="98" t="str">
        <f t="shared" si="67"/>
        <v>Valid</v>
      </c>
    </row>
    <row r="2091" spans="1:5" x14ac:dyDescent="0.25">
      <c r="A2091" s="95">
        <f>'Site Data'!B2093</f>
        <v>0</v>
      </c>
      <c r="B2091">
        <f>'Raw Data'!B2093</f>
        <v>355.95249511796067</v>
      </c>
      <c r="C2091">
        <f>'Raw Data'!C2093</f>
        <v>300.05</v>
      </c>
      <c r="D2091" s="97">
        <f t="shared" si="66"/>
        <v>55.902495117960655</v>
      </c>
      <c r="E2091" s="98" t="str">
        <f t="shared" si="67"/>
        <v>Valid</v>
      </c>
    </row>
    <row r="2092" spans="1:5" x14ac:dyDescent="0.25">
      <c r="A2092" s="95">
        <f>'Site Data'!B2094</f>
        <v>0</v>
      </c>
      <c r="B2092">
        <f>'Raw Data'!B2094</f>
        <v>355.92</v>
      </c>
      <c r="C2092">
        <f>'Raw Data'!C2094</f>
        <v>300.05</v>
      </c>
      <c r="D2092" s="97">
        <f t="shared" si="66"/>
        <v>55.870000000000005</v>
      </c>
      <c r="E2092" s="98" t="str">
        <f t="shared" si="67"/>
        <v>Valid</v>
      </c>
    </row>
    <row r="2093" spans="1:5" x14ac:dyDescent="0.25">
      <c r="A2093" s="95">
        <f>'Site Data'!B2095</f>
        <v>0</v>
      </c>
      <c r="B2093">
        <f>'Raw Data'!B2095</f>
        <v>355.91797992751395</v>
      </c>
      <c r="C2093">
        <f>'Raw Data'!C2095</f>
        <v>300.05</v>
      </c>
      <c r="D2093" s="97">
        <f t="shared" si="66"/>
        <v>55.867979927513943</v>
      </c>
      <c r="E2093" s="98" t="str">
        <f t="shared" si="67"/>
        <v>Valid</v>
      </c>
    </row>
    <row r="2094" spans="1:5" x14ac:dyDescent="0.25">
      <c r="A2094" s="95">
        <f>'Site Data'!B2096</f>
        <v>0</v>
      </c>
      <c r="B2094">
        <f>'Raw Data'!B2096</f>
        <v>355.91</v>
      </c>
      <c r="C2094">
        <f>'Raw Data'!C2096</f>
        <v>300.05</v>
      </c>
      <c r="D2094" s="97">
        <f t="shared" si="66"/>
        <v>55.860000000000014</v>
      </c>
      <c r="E2094" s="98" t="str">
        <f t="shared" si="67"/>
        <v>Valid</v>
      </c>
    </row>
    <row r="2095" spans="1:5" x14ac:dyDescent="0.25">
      <c r="A2095" s="95">
        <f>'Site Data'!B2097</f>
        <v>0</v>
      </c>
      <c r="B2095">
        <f>'Raw Data'!B2097</f>
        <v>355.9</v>
      </c>
      <c r="C2095">
        <f>'Raw Data'!C2097</f>
        <v>300.05</v>
      </c>
      <c r="D2095" s="97">
        <f t="shared" si="66"/>
        <v>55.849999999999966</v>
      </c>
      <c r="E2095" s="98" t="str">
        <f t="shared" si="67"/>
        <v>Valid</v>
      </c>
    </row>
    <row r="2096" spans="1:5" x14ac:dyDescent="0.25">
      <c r="A2096" s="95">
        <f>'Site Data'!B2098</f>
        <v>0</v>
      </c>
      <c r="B2096">
        <f>'Raw Data'!B2098</f>
        <v>355.9</v>
      </c>
      <c r="C2096">
        <f>'Raw Data'!C2098</f>
        <v>300.27</v>
      </c>
      <c r="D2096" s="97">
        <f t="shared" si="66"/>
        <v>55.629999999999995</v>
      </c>
      <c r="E2096" s="98" t="str">
        <f t="shared" si="67"/>
        <v>Valid</v>
      </c>
    </row>
    <row r="2097" spans="1:5" x14ac:dyDescent="0.25">
      <c r="A2097" s="95">
        <f>'Site Data'!B2099</f>
        <v>0</v>
      </c>
      <c r="B2097">
        <f>'Raw Data'!B2099</f>
        <v>355.89</v>
      </c>
      <c r="C2097">
        <f>'Raw Data'!C2099</f>
        <v>300.25459913104595</v>
      </c>
      <c r="D2097" s="97">
        <f t="shared" si="66"/>
        <v>55.635400868954036</v>
      </c>
      <c r="E2097" s="98" t="str">
        <f t="shared" si="67"/>
        <v>Valid</v>
      </c>
    </row>
    <row r="2098" spans="1:5" x14ac:dyDescent="0.25">
      <c r="A2098" s="95">
        <f>'Site Data'!B2100</f>
        <v>0</v>
      </c>
      <c r="B2098">
        <f>'Raw Data'!B2100</f>
        <v>355.89</v>
      </c>
      <c r="C2098">
        <f>'Raw Data'!C2100</f>
        <v>300.05975090428279</v>
      </c>
      <c r="D2098" s="97">
        <f t="shared" si="66"/>
        <v>55.830249095717193</v>
      </c>
      <c r="E2098" s="98" t="str">
        <f t="shared" si="67"/>
        <v>Valid</v>
      </c>
    </row>
    <row r="2099" spans="1:5" x14ac:dyDescent="0.25">
      <c r="A2099" s="95">
        <f>'Site Data'!B2101</f>
        <v>0</v>
      </c>
      <c r="B2099">
        <f>'Raw Data'!B2101</f>
        <v>355.89</v>
      </c>
      <c r="C2099">
        <f>'Raw Data'!C2101</f>
        <v>300.05</v>
      </c>
      <c r="D2099" s="97">
        <f t="shared" si="66"/>
        <v>55.839999999999975</v>
      </c>
      <c r="E2099" s="98" t="str">
        <f t="shared" si="67"/>
        <v>Valid</v>
      </c>
    </row>
    <row r="2100" spans="1:5" x14ac:dyDescent="0.25">
      <c r="A2100" s="95">
        <f>'Site Data'!B2102</f>
        <v>0</v>
      </c>
      <c r="B2100">
        <f>'Raw Data'!B2102</f>
        <v>355.89</v>
      </c>
      <c r="C2100">
        <f>'Raw Data'!C2102</f>
        <v>300.0586431479644</v>
      </c>
      <c r="D2100" s="97">
        <f t="shared" si="66"/>
        <v>55.831356852035583</v>
      </c>
      <c r="E2100" s="98" t="str">
        <f t="shared" si="67"/>
        <v>Valid</v>
      </c>
    </row>
    <row r="2101" spans="1:5" x14ac:dyDescent="0.25">
      <c r="A2101" s="95">
        <f>'Site Data'!B2103</f>
        <v>0</v>
      </c>
      <c r="B2101">
        <f>'Raw Data'!B2103</f>
        <v>355.89</v>
      </c>
      <c r="C2101">
        <f>'Raw Data'!C2103</f>
        <v>300.05</v>
      </c>
      <c r="D2101" s="97">
        <f t="shared" si="66"/>
        <v>55.839999999999975</v>
      </c>
      <c r="E2101" s="98" t="str">
        <f t="shared" si="67"/>
        <v>Valid</v>
      </c>
    </row>
    <row r="2102" spans="1:5" x14ac:dyDescent="0.25">
      <c r="A2102" s="95">
        <f>'Site Data'!B2104</f>
        <v>0</v>
      </c>
      <c r="B2102">
        <f>'Raw Data'!B2104</f>
        <v>355.89</v>
      </c>
      <c r="C2102">
        <f>'Raw Data'!C2104</f>
        <v>300.05661856343755</v>
      </c>
      <c r="D2102" s="97">
        <f t="shared" si="66"/>
        <v>55.833381436562433</v>
      </c>
      <c r="E2102" s="98" t="str">
        <f t="shared" si="67"/>
        <v>Valid</v>
      </c>
    </row>
    <row r="2103" spans="1:5" x14ac:dyDescent="0.25">
      <c r="A2103" s="95">
        <f>'Site Data'!B2105</f>
        <v>0</v>
      </c>
      <c r="B2103">
        <f>'Raw Data'!B2105</f>
        <v>355.89</v>
      </c>
      <c r="C2103">
        <f>'Raw Data'!C2105</f>
        <v>300.05</v>
      </c>
      <c r="D2103" s="97">
        <f t="shared" si="66"/>
        <v>55.839999999999975</v>
      </c>
      <c r="E2103" s="98" t="str">
        <f t="shared" si="67"/>
        <v>Valid</v>
      </c>
    </row>
    <row r="2104" spans="1:5" x14ac:dyDescent="0.25">
      <c r="A2104" s="95">
        <f>'Site Data'!B2106</f>
        <v>0</v>
      </c>
      <c r="B2104">
        <f>'Raw Data'!B2106</f>
        <v>355.86</v>
      </c>
      <c r="C2104">
        <f>'Raw Data'!C2106</f>
        <v>300.05</v>
      </c>
      <c r="D2104" s="97">
        <f t="shared" si="66"/>
        <v>55.81</v>
      </c>
      <c r="E2104" s="98" t="str">
        <f t="shared" si="67"/>
        <v>Valid</v>
      </c>
    </row>
    <row r="2105" spans="1:5" x14ac:dyDescent="0.25">
      <c r="A2105" s="95">
        <f>'Site Data'!B2107</f>
        <v>0</v>
      </c>
      <c r="B2105">
        <f>'Raw Data'!B2107</f>
        <v>355.84</v>
      </c>
      <c r="C2105">
        <f>'Raw Data'!C2107</f>
        <v>300.05</v>
      </c>
      <c r="D2105" s="97">
        <f t="shared" si="66"/>
        <v>55.789999999999964</v>
      </c>
      <c r="E2105" s="98" t="str">
        <f t="shared" si="67"/>
        <v>Valid</v>
      </c>
    </row>
    <row r="2106" spans="1:5" x14ac:dyDescent="0.25">
      <c r="A2106" s="95">
        <f>'Site Data'!B2108</f>
        <v>0</v>
      </c>
      <c r="B2106">
        <f>'Raw Data'!B2108</f>
        <v>355.84</v>
      </c>
      <c r="C2106">
        <f>'Raw Data'!C2108</f>
        <v>300.05</v>
      </c>
      <c r="D2106" s="97">
        <f t="shared" si="66"/>
        <v>55.789999999999964</v>
      </c>
      <c r="E2106" s="98" t="str">
        <f t="shared" si="67"/>
        <v>Valid</v>
      </c>
    </row>
    <row r="2107" spans="1:5" x14ac:dyDescent="0.25">
      <c r="A2107" s="95">
        <f>'Site Data'!B2109</f>
        <v>0</v>
      </c>
      <c r="B2107">
        <f>'Raw Data'!B2109</f>
        <v>355.83</v>
      </c>
      <c r="C2107">
        <f>'Raw Data'!C2109</f>
        <v>300.05</v>
      </c>
      <c r="D2107" s="97">
        <f t="shared" si="66"/>
        <v>55.779999999999973</v>
      </c>
      <c r="E2107" s="98" t="str">
        <f t="shared" si="67"/>
        <v>Valid</v>
      </c>
    </row>
    <row r="2108" spans="1:5" x14ac:dyDescent="0.25">
      <c r="A2108" s="95">
        <f>'Site Data'!B2110</f>
        <v>0</v>
      </c>
      <c r="B2108">
        <f>'Raw Data'!B2110</f>
        <v>355.83</v>
      </c>
      <c r="C2108">
        <f>'Raw Data'!C2110</f>
        <v>300.05</v>
      </c>
      <c r="D2108" s="97">
        <f t="shared" si="66"/>
        <v>55.779999999999973</v>
      </c>
      <c r="E2108" s="98" t="str">
        <f t="shared" si="67"/>
        <v>Valid</v>
      </c>
    </row>
    <row r="2109" spans="1:5" x14ac:dyDescent="0.25">
      <c r="A2109" s="95">
        <f>'Site Data'!B2111</f>
        <v>0</v>
      </c>
      <c r="B2109">
        <f>'Raw Data'!B2111</f>
        <v>355.83</v>
      </c>
      <c r="C2109">
        <f>'Raw Data'!C2111</f>
        <v>300.05</v>
      </c>
      <c r="D2109" s="97">
        <f t="shared" si="66"/>
        <v>55.779999999999973</v>
      </c>
      <c r="E2109" s="98" t="str">
        <f t="shared" si="67"/>
        <v>Valid</v>
      </c>
    </row>
    <row r="2110" spans="1:5" x14ac:dyDescent="0.25">
      <c r="A2110" s="95">
        <f>'Site Data'!B2112</f>
        <v>0</v>
      </c>
      <c r="B2110">
        <f>'Raw Data'!B2112</f>
        <v>355.83</v>
      </c>
      <c r="C2110">
        <f>'Raw Data'!C2112</f>
        <v>300.05</v>
      </c>
      <c r="D2110" s="97">
        <f t="shared" si="66"/>
        <v>55.779999999999973</v>
      </c>
      <c r="E2110" s="98" t="str">
        <f t="shared" si="67"/>
        <v>Valid</v>
      </c>
    </row>
    <row r="2111" spans="1:5" x14ac:dyDescent="0.25">
      <c r="A2111" s="95">
        <f>'Site Data'!B2113</f>
        <v>0</v>
      </c>
      <c r="B2111">
        <f>'Raw Data'!B2113</f>
        <v>355.84478860620084</v>
      </c>
      <c r="C2111">
        <f>'Raw Data'!C2113</f>
        <v>300.05</v>
      </c>
      <c r="D2111" s="97">
        <f t="shared" si="66"/>
        <v>55.794788606200825</v>
      </c>
      <c r="E2111" s="98" t="str">
        <f t="shared" si="67"/>
        <v>Valid</v>
      </c>
    </row>
    <row r="2112" spans="1:5" x14ac:dyDescent="0.25">
      <c r="A2112" s="95">
        <f>'Site Data'!B2114</f>
        <v>0</v>
      </c>
      <c r="B2112">
        <f>'Raw Data'!B2114</f>
        <v>355.86</v>
      </c>
      <c r="C2112">
        <f>'Raw Data'!C2114</f>
        <v>300.87</v>
      </c>
      <c r="D2112" s="97">
        <f t="shared" si="66"/>
        <v>54.990000000000009</v>
      </c>
      <c r="E2112" s="98" t="str">
        <f t="shared" si="67"/>
        <v>Valid</v>
      </c>
    </row>
    <row r="2113" spans="1:5" x14ac:dyDescent="0.25">
      <c r="A2113" s="95">
        <f>'Site Data'!B2115</f>
        <v>0</v>
      </c>
      <c r="B2113">
        <f>'Raw Data'!B2115</f>
        <v>355.86</v>
      </c>
      <c r="C2113">
        <f>'Raw Data'!C2115</f>
        <v>300.88855710895837</v>
      </c>
      <c r="D2113" s="97">
        <f t="shared" si="66"/>
        <v>54.971442891041647</v>
      </c>
      <c r="E2113" s="98" t="str">
        <f t="shared" si="67"/>
        <v>Valid</v>
      </c>
    </row>
    <row r="2114" spans="1:5" x14ac:dyDescent="0.25">
      <c r="A2114" s="95">
        <f>'Site Data'!B2116</f>
        <v>0</v>
      </c>
      <c r="B2114">
        <f>'Raw Data'!B2116</f>
        <v>355.86</v>
      </c>
      <c r="C2114">
        <f>'Raw Data'!C2116</f>
        <v>300.72823669433598</v>
      </c>
      <c r="D2114" s="97">
        <f t="shared" ref="D2114:D2177" si="68">B2114-C2114</f>
        <v>55.131763305664037</v>
      </c>
      <c r="E2114" s="98" t="str">
        <f t="shared" ref="E2114:E2177" si="69">IF(AND(D2114 &gt;= 50, D2114 &lt;= 60), "Valid", "Error")</f>
        <v>Valid</v>
      </c>
    </row>
    <row r="2115" spans="1:5" x14ac:dyDescent="0.25">
      <c r="A2115" s="95">
        <f>'Site Data'!B2117</f>
        <v>0</v>
      </c>
      <c r="B2115">
        <f>'Raw Data'!B2117</f>
        <v>355.86</v>
      </c>
      <c r="C2115">
        <f>'Raw Data'!C2117</f>
        <v>300.7264748552962</v>
      </c>
      <c r="D2115" s="97">
        <f t="shared" si="68"/>
        <v>55.13352514470381</v>
      </c>
      <c r="E2115" s="98" t="str">
        <f t="shared" si="69"/>
        <v>Valid</v>
      </c>
    </row>
    <row r="2116" spans="1:5" x14ac:dyDescent="0.25">
      <c r="A2116" s="95">
        <f>'Site Data'!B2118</f>
        <v>0</v>
      </c>
      <c r="B2116">
        <f>'Raw Data'!B2118</f>
        <v>355.86</v>
      </c>
      <c r="C2116">
        <f>'Raw Data'!C2118</f>
        <v>300.52</v>
      </c>
      <c r="D2116" s="97">
        <f t="shared" si="68"/>
        <v>55.340000000000032</v>
      </c>
      <c r="E2116" s="98" t="str">
        <f t="shared" si="69"/>
        <v>Valid</v>
      </c>
    </row>
    <row r="2117" spans="1:5" x14ac:dyDescent="0.25">
      <c r="A2117" s="95">
        <f>'Site Data'!B2119</f>
        <v>0</v>
      </c>
      <c r="B2117">
        <f>'Raw Data'!B2119</f>
        <v>355.86</v>
      </c>
      <c r="C2117">
        <f>'Raw Data'!C2119</f>
        <v>300.51397312456265</v>
      </c>
      <c r="D2117" s="97">
        <f t="shared" si="68"/>
        <v>55.34602687543736</v>
      </c>
      <c r="E2117" s="98" t="str">
        <f t="shared" si="69"/>
        <v>Valid</v>
      </c>
    </row>
    <row r="2118" spans="1:5" x14ac:dyDescent="0.25">
      <c r="A2118" s="95">
        <f>'Site Data'!B2120</f>
        <v>0</v>
      </c>
      <c r="B2118">
        <f>'Raw Data'!B2120</f>
        <v>355.86</v>
      </c>
      <c r="C2118">
        <f>'Raw Data'!C2120</f>
        <v>300.24936909643628</v>
      </c>
      <c r="D2118" s="97">
        <f t="shared" si="68"/>
        <v>55.610630903563731</v>
      </c>
      <c r="E2118" s="98" t="str">
        <f t="shared" si="69"/>
        <v>Valid</v>
      </c>
    </row>
    <row r="2119" spans="1:5" x14ac:dyDescent="0.25">
      <c r="A2119" s="95">
        <f>'Site Data'!B2121</f>
        <v>0</v>
      </c>
      <c r="B2119">
        <f>'Raw Data'!B2121</f>
        <v>355.86</v>
      </c>
      <c r="C2119">
        <f>'Raw Data'!C2121</f>
        <v>300.24814922496381</v>
      </c>
      <c r="D2119" s="97">
        <f t="shared" si="68"/>
        <v>55.611850775036203</v>
      </c>
      <c r="E2119" s="98" t="str">
        <f t="shared" si="69"/>
        <v>Valid</v>
      </c>
    </row>
    <row r="2120" spans="1:5" x14ac:dyDescent="0.25">
      <c r="A2120" s="95">
        <f>'Site Data'!B2122</f>
        <v>0</v>
      </c>
      <c r="B2120">
        <f>'Raw Data'!B2122</f>
        <v>355.86</v>
      </c>
      <c r="C2120">
        <f>'Raw Data'!C2122</f>
        <v>300.24</v>
      </c>
      <c r="D2120" s="97">
        <f t="shared" si="68"/>
        <v>55.620000000000005</v>
      </c>
      <c r="E2120" s="98" t="str">
        <f t="shared" si="69"/>
        <v>Valid</v>
      </c>
    </row>
    <row r="2121" spans="1:5" x14ac:dyDescent="0.25">
      <c r="A2121" s="95">
        <f>'Site Data'!B2123</f>
        <v>0</v>
      </c>
      <c r="B2121">
        <f>'Raw Data'!B2123</f>
        <v>355.86</v>
      </c>
      <c r="C2121">
        <f>'Raw Data'!C2123</f>
        <v>300.26798631324311</v>
      </c>
      <c r="D2121" s="97">
        <f t="shared" si="68"/>
        <v>55.5920136867569</v>
      </c>
      <c r="E2121" s="98" t="str">
        <f t="shared" si="69"/>
        <v>Valid</v>
      </c>
    </row>
    <row r="2122" spans="1:5" x14ac:dyDescent="0.25">
      <c r="A2122" s="95">
        <f>'Site Data'!B2124</f>
        <v>0</v>
      </c>
      <c r="B2122">
        <f>'Raw Data'!B2124</f>
        <v>355.86</v>
      </c>
      <c r="C2122">
        <f>'Raw Data'!C2124</f>
        <v>300.24</v>
      </c>
      <c r="D2122" s="97">
        <f t="shared" si="68"/>
        <v>55.620000000000005</v>
      </c>
      <c r="E2122" s="98" t="str">
        <f t="shared" si="69"/>
        <v>Valid</v>
      </c>
    </row>
    <row r="2123" spans="1:5" x14ac:dyDescent="0.25">
      <c r="A2123" s="95">
        <f>'Site Data'!B2125</f>
        <v>0</v>
      </c>
      <c r="B2123">
        <f>'Raw Data'!B2125</f>
        <v>355.72468497963786</v>
      </c>
      <c r="C2123">
        <f>'Raw Data'!C2125</f>
        <v>300.24</v>
      </c>
      <c r="D2123" s="97">
        <f t="shared" si="68"/>
        <v>55.484684979637848</v>
      </c>
      <c r="E2123" s="98" t="str">
        <f t="shared" si="69"/>
        <v>Valid</v>
      </c>
    </row>
    <row r="2124" spans="1:5" x14ac:dyDescent="0.25">
      <c r="A2124" s="95">
        <f>'Site Data'!B2126</f>
        <v>0</v>
      </c>
      <c r="B2124">
        <f>'Raw Data'!B2126</f>
        <v>355.59</v>
      </c>
      <c r="C2124">
        <f>'Raw Data'!C2126</f>
        <v>300.06</v>
      </c>
      <c r="D2124" s="97">
        <f t="shared" si="68"/>
        <v>55.529999999999973</v>
      </c>
      <c r="E2124" s="98" t="str">
        <f t="shared" si="69"/>
        <v>Valid</v>
      </c>
    </row>
    <row r="2125" spans="1:5" x14ac:dyDescent="0.25">
      <c r="A2125" s="95">
        <f>'Site Data'!B2127</f>
        <v>0</v>
      </c>
      <c r="B2125">
        <f>'Raw Data'!B2127</f>
        <v>355.58005584944885</v>
      </c>
      <c r="C2125">
        <f>'Raw Data'!C2127</f>
        <v>300.05377893289341</v>
      </c>
      <c r="D2125" s="97">
        <f t="shared" si="68"/>
        <v>55.526276916555446</v>
      </c>
      <c r="E2125" s="98" t="str">
        <f t="shared" si="69"/>
        <v>Valid</v>
      </c>
    </row>
    <row r="2126" spans="1:5" x14ac:dyDescent="0.25">
      <c r="A2126" s="95">
        <f>'Site Data'!B2128</f>
        <v>0</v>
      </c>
      <c r="B2126">
        <f>'Raw Data'!B2128</f>
        <v>355.58</v>
      </c>
      <c r="C2126">
        <f>'Raw Data'!C2128</f>
        <v>300.05287477317665</v>
      </c>
      <c r="D2126" s="97">
        <f t="shared" si="68"/>
        <v>55.52712522682333</v>
      </c>
      <c r="E2126" s="98" t="str">
        <f t="shared" si="69"/>
        <v>Valid</v>
      </c>
    </row>
    <row r="2127" spans="1:5" x14ac:dyDescent="0.25">
      <c r="A2127" s="95">
        <f>'Site Data'!B2129</f>
        <v>0</v>
      </c>
      <c r="B2127">
        <f>'Raw Data'!B2129</f>
        <v>355.58</v>
      </c>
      <c r="C2127">
        <f>'Raw Data'!C2129</f>
        <v>300.05366272252428</v>
      </c>
      <c r="D2127" s="97">
        <f t="shared" si="68"/>
        <v>55.526337277475704</v>
      </c>
      <c r="E2127" s="98" t="str">
        <f t="shared" si="69"/>
        <v>Valid</v>
      </c>
    </row>
    <row r="2128" spans="1:5" x14ac:dyDescent="0.25">
      <c r="A2128" s="95">
        <f>'Site Data'!B2130</f>
        <v>0</v>
      </c>
      <c r="B2128">
        <f>'Raw Data'!B2130</f>
        <v>355.58</v>
      </c>
      <c r="C2128">
        <f>'Raw Data'!C2130</f>
        <v>300.06</v>
      </c>
      <c r="D2128" s="97">
        <f t="shared" si="68"/>
        <v>55.519999999999982</v>
      </c>
      <c r="E2128" s="98" t="str">
        <f t="shared" si="69"/>
        <v>Valid</v>
      </c>
    </row>
    <row r="2129" spans="1:5" x14ac:dyDescent="0.25">
      <c r="A2129" s="95">
        <f>'Site Data'!B2131</f>
        <v>0</v>
      </c>
      <c r="B2129">
        <f>'Raw Data'!B2131</f>
        <v>355.58</v>
      </c>
      <c r="C2129">
        <f>'Raw Data'!C2131</f>
        <v>300.07846180715137</v>
      </c>
      <c r="D2129" s="97">
        <f t="shared" si="68"/>
        <v>55.501538192848614</v>
      </c>
      <c r="E2129" s="98" t="str">
        <f t="shared" si="69"/>
        <v>Valid</v>
      </c>
    </row>
    <row r="2130" spans="1:5" x14ac:dyDescent="0.25">
      <c r="A2130" s="95">
        <f>'Site Data'!B2132</f>
        <v>0</v>
      </c>
      <c r="B2130">
        <f>'Raw Data'!B2132</f>
        <v>355.58</v>
      </c>
      <c r="C2130">
        <f>'Raw Data'!C2132</f>
        <v>300.05181479887494</v>
      </c>
      <c r="D2130" s="97">
        <f t="shared" si="68"/>
        <v>55.528185201125041</v>
      </c>
      <c r="E2130" s="98" t="str">
        <f t="shared" si="69"/>
        <v>Valid</v>
      </c>
    </row>
    <row r="2131" spans="1:5" x14ac:dyDescent="0.25">
      <c r="A2131" s="95">
        <f>'Site Data'!B2133</f>
        <v>0</v>
      </c>
      <c r="B2131">
        <f>'Raw Data'!B2133</f>
        <v>355.58</v>
      </c>
      <c r="C2131">
        <f>'Raw Data'!C2133</f>
        <v>300.0505428618419</v>
      </c>
      <c r="D2131" s="97">
        <f t="shared" si="68"/>
        <v>55.529457138158079</v>
      </c>
      <c r="E2131" s="98" t="str">
        <f t="shared" si="69"/>
        <v>Valid</v>
      </c>
    </row>
    <row r="2132" spans="1:5" x14ac:dyDescent="0.25">
      <c r="A2132" s="95">
        <f>'Site Data'!B2134</f>
        <v>0</v>
      </c>
      <c r="B2132">
        <f>'Raw Data'!B2134</f>
        <v>355.58</v>
      </c>
      <c r="C2132">
        <f>'Raw Data'!C2134</f>
        <v>299.77</v>
      </c>
      <c r="D2132" s="97">
        <f t="shared" si="68"/>
        <v>55.81</v>
      </c>
      <c r="E2132" s="98" t="str">
        <f t="shared" si="69"/>
        <v>Valid</v>
      </c>
    </row>
    <row r="2133" spans="1:5" x14ac:dyDescent="0.25">
      <c r="A2133" s="95">
        <f>'Site Data'!B2135</f>
        <v>0</v>
      </c>
      <c r="B2133">
        <f>'Raw Data'!B2135</f>
        <v>355.58</v>
      </c>
      <c r="C2133">
        <f>'Raw Data'!C2135</f>
        <v>299.77075140816822</v>
      </c>
      <c r="D2133" s="97">
        <f t="shared" si="68"/>
        <v>55.809248591831761</v>
      </c>
      <c r="E2133" s="98" t="str">
        <f t="shared" si="69"/>
        <v>Valid</v>
      </c>
    </row>
    <row r="2134" spans="1:5" x14ac:dyDescent="0.25">
      <c r="A2134" s="95">
        <f>'Site Data'!B2136</f>
        <v>0</v>
      </c>
      <c r="B2134">
        <f>'Raw Data'!B2136</f>
        <v>355.58</v>
      </c>
      <c r="C2134">
        <f>'Raw Data'!C2136</f>
        <v>299.77</v>
      </c>
      <c r="D2134" s="97">
        <f t="shared" si="68"/>
        <v>55.81</v>
      </c>
      <c r="E2134" s="98" t="str">
        <f t="shared" si="69"/>
        <v>Valid</v>
      </c>
    </row>
    <row r="2135" spans="1:5" x14ac:dyDescent="0.25">
      <c r="A2135" s="95">
        <f>'Site Data'!B2137</f>
        <v>0</v>
      </c>
      <c r="B2135">
        <f>'Raw Data'!B2137</f>
        <v>356.0129534252045</v>
      </c>
      <c r="C2135">
        <f>'Raw Data'!C2137</f>
        <v>299.77835536222182</v>
      </c>
      <c r="D2135" s="97">
        <f t="shared" si="68"/>
        <v>56.234598062982684</v>
      </c>
      <c r="E2135" s="98" t="str">
        <f t="shared" si="69"/>
        <v>Valid</v>
      </c>
    </row>
    <row r="2136" spans="1:5" x14ac:dyDescent="0.25">
      <c r="A2136" s="95">
        <f>'Site Data'!B2138</f>
        <v>0</v>
      </c>
      <c r="B2136">
        <f>'Raw Data'!B2138</f>
        <v>356.11</v>
      </c>
      <c r="C2136">
        <f>'Raw Data'!C2138</f>
        <v>299.79201614987863</v>
      </c>
      <c r="D2136" s="97">
        <f t="shared" si="68"/>
        <v>56.317983850121379</v>
      </c>
      <c r="E2136" s="98" t="str">
        <f t="shared" si="69"/>
        <v>Valid</v>
      </c>
    </row>
    <row r="2137" spans="1:5" x14ac:dyDescent="0.25">
      <c r="A2137" s="95">
        <f>'Site Data'!B2139</f>
        <v>0</v>
      </c>
      <c r="B2137">
        <f>'Raw Data'!B2139</f>
        <v>356.36</v>
      </c>
      <c r="C2137">
        <f>'Raw Data'!C2139</f>
        <v>299.77058496319216</v>
      </c>
      <c r="D2137" s="97">
        <f t="shared" si="68"/>
        <v>56.58941503680785</v>
      </c>
      <c r="E2137" s="98" t="str">
        <f t="shared" si="69"/>
        <v>Valid</v>
      </c>
    </row>
    <row r="2138" spans="1:5" x14ac:dyDescent="0.25">
      <c r="A2138" s="95">
        <f>'Site Data'!B2140</f>
        <v>0</v>
      </c>
      <c r="B2138">
        <f>'Raw Data'!B2140</f>
        <v>356.36</v>
      </c>
      <c r="C2138">
        <f>'Raw Data'!C2140</f>
        <v>300.7907936265691</v>
      </c>
      <c r="D2138" s="97">
        <f t="shared" si="68"/>
        <v>55.569206373430916</v>
      </c>
      <c r="E2138" s="98" t="str">
        <f t="shared" si="69"/>
        <v>Valid</v>
      </c>
    </row>
    <row r="2139" spans="1:5" x14ac:dyDescent="0.25">
      <c r="A2139" s="95">
        <f>'Site Data'!B2141</f>
        <v>0</v>
      </c>
      <c r="B2139">
        <f>'Raw Data'!B2141</f>
        <v>356.48</v>
      </c>
      <c r="C2139">
        <f>'Raw Data'!C2141</f>
        <v>300.8</v>
      </c>
      <c r="D2139" s="97">
        <f t="shared" si="68"/>
        <v>55.680000000000007</v>
      </c>
      <c r="E2139" s="98" t="str">
        <f t="shared" si="69"/>
        <v>Valid</v>
      </c>
    </row>
    <row r="2140" spans="1:5" x14ac:dyDescent="0.25">
      <c r="A2140" s="95">
        <f>'Site Data'!B2142</f>
        <v>0</v>
      </c>
      <c r="B2140">
        <f>'Raw Data'!B2142</f>
        <v>356.48</v>
      </c>
      <c r="C2140">
        <f>'Raw Data'!C2142</f>
        <v>301.31541255230235</v>
      </c>
      <c r="D2140" s="97">
        <f t="shared" si="68"/>
        <v>55.16458744769767</v>
      </c>
      <c r="E2140" s="98" t="str">
        <f t="shared" si="69"/>
        <v>Valid</v>
      </c>
    </row>
    <row r="2141" spans="1:5" x14ac:dyDescent="0.25">
      <c r="A2141" s="95">
        <f>'Site Data'!B2143</f>
        <v>0</v>
      </c>
      <c r="B2141">
        <f>'Raw Data'!B2143</f>
        <v>356.48</v>
      </c>
      <c r="C2141">
        <f>'Raw Data'!C2143</f>
        <v>301.32</v>
      </c>
      <c r="D2141" s="97">
        <f t="shared" si="68"/>
        <v>55.160000000000025</v>
      </c>
      <c r="E2141" s="98" t="str">
        <f t="shared" si="69"/>
        <v>Valid</v>
      </c>
    </row>
    <row r="2142" spans="1:5" x14ac:dyDescent="0.25">
      <c r="A2142" s="95">
        <f>'Site Data'!B2144</f>
        <v>0</v>
      </c>
      <c r="B2142">
        <f>'Raw Data'!B2144</f>
        <v>356.48</v>
      </c>
      <c r="C2142">
        <f>'Raw Data'!C2144</f>
        <v>301.32</v>
      </c>
      <c r="D2142" s="97">
        <f t="shared" si="68"/>
        <v>55.160000000000025</v>
      </c>
      <c r="E2142" s="98" t="str">
        <f t="shared" si="69"/>
        <v>Valid</v>
      </c>
    </row>
    <row r="2143" spans="1:5" x14ac:dyDescent="0.25">
      <c r="A2143" s="95">
        <f>'Site Data'!B2145</f>
        <v>0</v>
      </c>
      <c r="B2143">
        <f>'Raw Data'!B2145</f>
        <v>356.48</v>
      </c>
      <c r="C2143">
        <f>'Raw Data'!C2145</f>
        <v>301.32</v>
      </c>
      <c r="D2143" s="97">
        <f t="shared" si="68"/>
        <v>55.160000000000025</v>
      </c>
      <c r="E2143" s="98" t="str">
        <f t="shared" si="69"/>
        <v>Valid</v>
      </c>
    </row>
    <row r="2144" spans="1:5" x14ac:dyDescent="0.25">
      <c r="A2144" s="95">
        <f>'Site Data'!B2146</f>
        <v>0</v>
      </c>
      <c r="B2144">
        <f>'Raw Data'!B2146</f>
        <v>356.48</v>
      </c>
      <c r="C2144">
        <f>'Raw Data'!C2146</f>
        <v>301.32</v>
      </c>
      <c r="D2144" s="97">
        <f t="shared" si="68"/>
        <v>55.160000000000025</v>
      </c>
      <c r="E2144" s="98" t="str">
        <f t="shared" si="69"/>
        <v>Valid</v>
      </c>
    </row>
    <row r="2145" spans="1:5" x14ac:dyDescent="0.25">
      <c r="A2145" s="95">
        <f>'Site Data'!B2147</f>
        <v>0</v>
      </c>
      <c r="B2145">
        <f>'Raw Data'!B2147</f>
        <v>356.48</v>
      </c>
      <c r="C2145">
        <f>'Raw Data'!C2147</f>
        <v>301.32</v>
      </c>
      <c r="D2145" s="97">
        <f t="shared" si="68"/>
        <v>55.160000000000025</v>
      </c>
      <c r="E2145" s="98" t="str">
        <f t="shared" si="69"/>
        <v>Valid</v>
      </c>
    </row>
    <row r="2146" spans="1:5" x14ac:dyDescent="0.25">
      <c r="A2146" s="95">
        <f>'Site Data'!B2148</f>
        <v>0</v>
      </c>
      <c r="B2146">
        <f>'Raw Data'!B2148</f>
        <v>356.48</v>
      </c>
      <c r="C2146">
        <f>'Raw Data'!C2148</f>
        <v>301.32</v>
      </c>
      <c r="D2146" s="97">
        <f t="shared" si="68"/>
        <v>55.160000000000025</v>
      </c>
      <c r="E2146" s="98" t="str">
        <f t="shared" si="69"/>
        <v>Valid</v>
      </c>
    </row>
    <row r="2147" spans="1:5" x14ac:dyDescent="0.25">
      <c r="A2147" s="95">
        <f>'Site Data'!B2149</f>
        <v>0</v>
      </c>
      <c r="B2147">
        <f>'Raw Data'!B2149</f>
        <v>356.7691668385026</v>
      </c>
      <c r="C2147">
        <f>'Raw Data'!C2149</f>
        <v>301.31759846566854</v>
      </c>
      <c r="D2147" s="97">
        <f t="shared" si="68"/>
        <v>55.45156837283406</v>
      </c>
      <c r="E2147" s="98" t="str">
        <f t="shared" si="69"/>
        <v>Valid</v>
      </c>
    </row>
    <row r="2148" spans="1:5" x14ac:dyDescent="0.25">
      <c r="A2148" s="95">
        <f>'Site Data'!B2150</f>
        <v>0</v>
      </c>
      <c r="B2148">
        <f>'Raw Data'!B2150</f>
        <v>356.63</v>
      </c>
      <c r="C2148">
        <f>'Raw Data'!C2150</f>
        <v>301.36</v>
      </c>
      <c r="D2148" s="97">
        <f t="shared" si="68"/>
        <v>55.269999999999982</v>
      </c>
      <c r="E2148" s="98" t="str">
        <f t="shared" si="69"/>
        <v>Valid</v>
      </c>
    </row>
    <row r="2149" spans="1:5" x14ac:dyDescent="0.25">
      <c r="A2149" s="95">
        <f>'Site Data'!B2151</f>
        <v>0</v>
      </c>
      <c r="B2149">
        <f>'Raw Data'!B2151</f>
        <v>356.63</v>
      </c>
      <c r="C2149">
        <f>'Raw Data'!C2151</f>
        <v>301.35415583382394</v>
      </c>
      <c r="D2149" s="97">
        <f t="shared" si="68"/>
        <v>55.275844166176057</v>
      </c>
      <c r="E2149" s="98" t="str">
        <f t="shared" si="69"/>
        <v>Valid</v>
      </c>
    </row>
    <row r="2150" spans="1:5" x14ac:dyDescent="0.25">
      <c r="A2150" s="95">
        <f>'Site Data'!B2152</f>
        <v>0</v>
      </c>
      <c r="B2150">
        <f>'Raw Data'!B2152</f>
        <v>356.63</v>
      </c>
      <c r="C2150">
        <f>'Raw Data'!C2152</f>
        <v>301.53083326792358</v>
      </c>
      <c r="D2150" s="97">
        <f t="shared" si="68"/>
        <v>55.099166732076412</v>
      </c>
      <c r="E2150" s="98" t="str">
        <f t="shared" si="69"/>
        <v>Valid</v>
      </c>
    </row>
    <row r="2151" spans="1:5" x14ac:dyDescent="0.25">
      <c r="A2151" s="95">
        <f>'Site Data'!B2153</f>
        <v>0</v>
      </c>
      <c r="B2151">
        <f>'Raw Data'!B2153</f>
        <v>356.63</v>
      </c>
      <c r="C2151">
        <f>'Raw Data'!C2153</f>
        <v>301.5</v>
      </c>
      <c r="D2151" s="97">
        <f t="shared" si="68"/>
        <v>55.129999999999995</v>
      </c>
      <c r="E2151" s="98" t="str">
        <f t="shared" si="69"/>
        <v>Valid</v>
      </c>
    </row>
    <row r="2152" spans="1:5" x14ac:dyDescent="0.25">
      <c r="A2152" s="95">
        <f>'Site Data'!B2154</f>
        <v>0</v>
      </c>
      <c r="B2152">
        <f>'Raw Data'!B2154</f>
        <v>356.63</v>
      </c>
      <c r="C2152">
        <f>'Raw Data'!C2154</f>
        <v>301.72000000000003</v>
      </c>
      <c r="D2152" s="97">
        <f t="shared" si="68"/>
        <v>54.909999999999968</v>
      </c>
      <c r="E2152" s="98" t="str">
        <f t="shared" si="69"/>
        <v>Valid</v>
      </c>
    </row>
    <row r="2153" spans="1:5" x14ac:dyDescent="0.25">
      <c r="A2153" s="95">
        <f>'Site Data'!B2155</f>
        <v>0</v>
      </c>
      <c r="B2153">
        <f>'Raw Data'!B2155</f>
        <v>356.63</v>
      </c>
      <c r="C2153">
        <f>'Raw Data'!C2155</f>
        <v>301.76</v>
      </c>
      <c r="D2153" s="97">
        <f t="shared" si="68"/>
        <v>54.870000000000005</v>
      </c>
      <c r="E2153" s="98" t="str">
        <f t="shared" si="69"/>
        <v>Valid</v>
      </c>
    </row>
    <row r="2154" spans="1:5" x14ac:dyDescent="0.25">
      <c r="A2154" s="95">
        <f>'Site Data'!B2156</f>
        <v>0</v>
      </c>
      <c r="B2154">
        <f>'Raw Data'!B2156</f>
        <v>356.63</v>
      </c>
      <c r="C2154">
        <f>'Raw Data'!C2156</f>
        <v>301.45999999999998</v>
      </c>
      <c r="D2154" s="97">
        <f t="shared" si="68"/>
        <v>55.170000000000016</v>
      </c>
      <c r="E2154" s="98" t="str">
        <f t="shared" si="69"/>
        <v>Valid</v>
      </c>
    </row>
    <row r="2155" spans="1:5" x14ac:dyDescent="0.25">
      <c r="A2155" s="95">
        <f>'Site Data'!B2157</f>
        <v>0</v>
      </c>
      <c r="B2155">
        <f>'Raw Data'!B2157</f>
        <v>356.63</v>
      </c>
      <c r="C2155">
        <f>'Raw Data'!C2157</f>
        <v>301.45999999999998</v>
      </c>
      <c r="D2155" s="97">
        <f t="shared" si="68"/>
        <v>55.170000000000016</v>
      </c>
      <c r="E2155" s="98" t="str">
        <f t="shared" si="69"/>
        <v>Valid</v>
      </c>
    </row>
    <row r="2156" spans="1:5" x14ac:dyDescent="0.25">
      <c r="A2156" s="95">
        <f>'Site Data'!B2158</f>
        <v>0</v>
      </c>
      <c r="B2156">
        <f>'Raw Data'!B2158</f>
        <v>356.63</v>
      </c>
      <c r="C2156">
        <f>'Raw Data'!C2158</f>
        <v>301.45999999999998</v>
      </c>
      <c r="D2156" s="97">
        <f t="shared" si="68"/>
        <v>55.170000000000016</v>
      </c>
      <c r="E2156" s="98" t="str">
        <f t="shared" si="69"/>
        <v>Valid</v>
      </c>
    </row>
    <row r="2157" spans="1:5" x14ac:dyDescent="0.25">
      <c r="A2157" s="95">
        <f>'Site Data'!B2159</f>
        <v>0</v>
      </c>
      <c r="B2157">
        <f>'Raw Data'!B2159</f>
        <v>356.63</v>
      </c>
      <c r="C2157">
        <f>'Raw Data'!C2159</f>
        <v>301.45999999999998</v>
      </c>
      <c r="D2157" s="97">
        <f t="shared" si="68"/>
        <v>55.170000000000016</v>
      </c>
      <c r="E2157" s="98" t="str">
        <f t="shared" si="69"/>
        <v>Valid</v>
      </c>
    </row>
    <row r="2158" spans="1:5" x14ac:dyDescent="0.25">
      <c r="A2158" s="95">
        <f>'Site Data'!B2160</f>
        <v>0</v>
      </c>
      <c r="B2158">
        <f>'Raw Data'!B2160</f>
        <v>356.63</v>
      </c>
      <c r="C2158">
        <f>'Raw Data'!C2160</f>
        <v>301.32</v>
      </c>
      <c r="D2158" s="97">
        <f t="shared" si="68"/>
        <v>55.31</v>
      </c>
      <c r="E2158" s="98" t="str">
        <f t="shared" si="69"/>
        <v>Valid</v>
      </c>
    </row>
    <row r="2159" spans="1:5" x14ac:dyDescent="0.25">
      <c r="A2159" s="95">
        <f>'Site Data'!B2161</f>
        <v>0</v>
      </c>
      <c r="B2159">
        <f>'Raw Data'!B2161</f>
        <v>356.63</v>
      </c>
      <c r="C2159">
        <f>'Raw Data'!C2161</f>
        <v>301.3347083166006</v>
      </c>
      <c r="D2159" s="97">
        <f t="shared" si="68"/>
        <v>55.295291683399398</v>
      </c>
      <c r="E2159" s="98" t="str">
        <f t="shared" si="69"/>
        <v>Valid</v>
      </c>
    </row>
    <row r="2160" spans="1:5" x14ac:dyDescent="0.25">
      <c r="A2160" s="95">
        <f>'Site Data'!B2162</f>
        <v>0</v>
      </c>
      <c r="B2160">
        <f>'Raw Data'!B2162</f>
        <v>356.63</v>
      </c>
      <c r="C2160">
        <f>'Raw Data'!C2162</f>
        <v>301.23</v>
      </c>
      <c r="D2160" s="97">
        <f t="shared" si="68"/>
        <v>55.399999999999977</v>
      </c>
      <c r="E2160" s="98" t="str">
        <f t="shared" si="69"/>
        <v>Valid</v>
      </c>
    </row>
    <row r="2161" spans="1:5" x14ac:dyDescent="0.25">
      <c r="A2161" s="95">
        <f>'Site Data'!B2163</f>
        <v>0</v>
      </c>
      <c r="B2161">
        <f>'Raw Data'!B2163</f>
        <v>356.65</v>
      </c>
      <c r="C2161">
        <f>'Raw Data'!C2163</f>
        <v>301.23116444405605</v>
      </c>
      <c r="D2161" s="97">
        <f t="shared" si="68"/>
        <v>55.418835555943929</v>
      </c>
      <c r="E2161" s="98" t="str">
        <f t="shared" si="69"/>
        <v>Valid</v>
      </c>
    </row>
    <row r="2162" spans="1:5" x14ac:dyDescent="0.25">
      <c r="A2162" s="95">
        <f>'Site Data'!B2164</f>
        <v>0</v>
      </c>
      <c r="B2162">
        <f>'Raw Data'!B2164</f>
        <v>356.65</v>
      </c>
      <c r="C2162">
        <f>'Raw Data'!C2164</f>
        <v>301.23469946659162</v>
      </c>
      <c r="D2162" s="97">
        <f t="shared" si="68"/>
        <v>55.415300533408356</v>
      </c>
      <c r="E2162" s="98" t="str">
        <f t="shared" si="69"/>
        <v>Valid</v>
      </c>
    </row>
    <row r="2163" spans="1:5" x14ac:dyDescent="0.25">
      <c r="A2163" s="95">
        <f>'Site Data'!B2165</f>
        <v>0</v>
      </c>
      <c r="B2163">
        <f>'Raw Data'!B2165</f>
        <v>356.5</v>
      </c>
      <c r="C2163">
        <f>'Raw Data'!C2165</f>
        <v>301.23103755360887</v>
      </c>
      <c r="D2163" s="97">
        <f t="shared" si="68"/>
        <v>55.268962446391129</v>
      </c>
      <c r="E2163" s="98" t="str">
        <f t="shared" si="69"/>
        <v>Valid</v>
      </c>
    </row>
    <row r="2164" spans="1:5" x14ac:dyDescent="0.25">
      <c r="A2164" s="95">
        <f>'Site Data'!B2166</f>
        <v>0</v>
      </c>
      <c r="B2164">
        <f>'Raw Data'!B2166</f>
        <v>355.5</v>
      </c>
      <c r="C2164">
        <f>'Raw Data'!C2166</f>
        <v>301.13570571586786</v>
      </c>
      <c r="D2164" s="97">
        <f t="shared" si="68"/>
        <v>54.364294284132143</v>
      </c>
      <c r="E2164" s="98" t="str">
        <f t="shared" si="69"/>
        <v>Valid</v>
      </c>
    </row>
    <row r="2165" spans="1:5" x14ac:dyDescent="0.25">
      <c r="A2165" s="95">
        <f>'Site Data'!B2167</f>
        <v>0</v>
      </c>
      <c r="B2165">
        <f>'Raw Data'!B2167</f>
        <v>355.47373892405056</v>
      </c>
      <c r="C2165">
        <f>'Raw Data'!C2167</f>
        <v>301.13421965643084</v>
      </c>
      <c r="D2165" s="97">
        <f t="shared" si="68"/>
        <v>54.339519267619721</v>
      </c>
      <c r="E2165" s="98" t="str">
        <f t="shared" si="69"/>
        <v>Valid</v>
      </c>
    </row>
    <row r="2166" spans="1:5" x14ac:dyDescent="0.25">
      <c r="A2166" s="95">
        <f>'Site Data'!B2168</f>
        <v>0</v>
      </c>
      <c r="B2166">
        <f>'Raw Data'!B2168</f>
        <v>355.47</v>
      </c>
      <c r="C2166">
        <f>'Raw Data'!C2168</f>
        <v>301.17</v>
      </c>
      <c r="D2166" s="97">
        <f t="shared" si="68"/>
        <v>54.300000000000011</v>
      </c>
      <c r="E2166" s="98" t="str">
        <f t="shared" si="69"/>
        <v>Valid</v>
      </c>
    </row>
    <row r="2167" spans="1:5" x14ac:dyDescent="0.25">
      <c r="A2167" s="95">
        <f>'Site Data'!B2169</f>
        <v>0</v>
      </c>
      <c r="B2167">
        <f>'Raw Data'!B2169</f>
        <v>355.47</v>
      </c>
      <c r="C2167">
        <f>'Raw Data'!C2169</f>
        <v>301.12839452253814</v>
      </c>
      <c r="D2167" s="97">
        <f t="shared" si="68"/>
        <v>54.341605477461883</v>
      </c>
      <c r="E2167" s="98" t="str">
        <f t="shared" si="69"/>
        <v>Valid</v>
      </c>
    </row>
    <row r="2168" spans="1:5" x14ac:dyDescent="0.25">
      <c r="A2168" s="95">
        <f>'Site Data'!B2170</f>
        <v>0</v>
      </c>
      <c r="B2168">
        <f>'Raw Data'!B2170</f>
        <v>355.47</v>
      </c>
      <c r="C2168">
        <f>'Raw Data'!C2170</f>
        <v>301.05</v>
      </c>
      <c r="D2168" s="97">
        <f t="shared" si="68"/>
        <v>54.420000000000016</v>
      </c>
      <c r="E2168" s="98" t="str">
        <f t="shared" si="69"/>
        <v>Valid</v>
      </c>
    </row>
    <row r="2169" spans="1:5" x14ac:dyDescent="0.25">
      <c r="A2169" s="95">
        <f>'Site Data'!B2171</f>
        <v>0</v>
      </c>
      <c r="B2169">
        <f>'Raw Data'!B2171</f>
        <v>355.47</v>
      </c>
      <c r="C2169">
        <f>'Raw Data'!C2171</f>
        <v>301.05</v>
      </c>
      <c r="D2169" s="97">
        <f t="shared" si="68"/>
        <v>54.420000000000016</v>
      </c>
      <c r="E2169" s="98" t="str">
        <f t="shared" si="69"/>
        <v>Valid</v>
      </c>
    </row>
    <row r="2170" spans="1:5" x14ac:dyDescent="0.25">
      <c r="A2170" s="95">
        <f>'Site Data'!B2172</f>
        <v>0</v>
      </c>
      <c r="B2170">
        <f>'Raw Data'!B2172</f>
        <v>355.47</v>
      </c>
      <c r="C2170">
        <f>'Raw Data'!C2172</f>
        <v>301.05</v>
      </c>
      <c r="D2170" s="97">
        <f t="shared" si="68"/>
        <v>54.420000000000016</v>
      </c>
      <c r="E2170" s="98" t="str">
        <f t="shared" si="69"/>
        <v>Valid</v>
      </c>
    </row>
    <row r="2171" spans="1:5" x14ac:dyDescent="0.25">
      <c r="A2171" s="95">
        <f>'Site Data'!B2173</f>
        <v>0</v>
      </c>
      <c r="B2171">
        <f>'Raw Data'!B2173</f>
        <v>355.47</v>
      </c>
      <c r="C2171">
        <f>'Raw Data'!C2173</f>
        <v>301.05705666617513</v>
      </c>
      <c r="D2171" s="97">
        <f t="shared" si="68"/>
        <v>54.412943333824899</v>
      </c>
      <c r="E2171" s="98" t="str">
        <f t="shared" si="69"/>
        <v>Valid</v>
      </c>
    </row>
    <row r="2172" spans="1:5" x14ac:dyDescent="0.25">
      <c r="A2172" s="95">
        <f>'Site Data'!B2174</f>
        <v>0</v>
      </c>
      <c r="B2172">
        <f>'Raw Data'!B2174</f>
        <v>355.47</v>
      </c>
      <c r="C2172">
        <f>'Raw Data'!C2174</f>
        <v>300.97738497454139</v>
      </c>
      <c r="D2172" s="97">
        <f t="shared" si="68"/>
        <v>54.492615025458633</v>
      </c>
      <c r="E2172" s="98" t="str">
        <f t="shared" si="69"/>
        <v>Valid</v>
      </c>
    </row>
    <row r="2173" spans="1:5" x14ac:dyDescent="0.25">
      <c r="A2173" s="95">
        <f>'Site Data'!B2175</f>
        <v>0</v>
      </c>
      <c r="B2173">
        <f>'Raw Data'!B2175</f>
        <v>355.47</v>
      </c>
      <c r="C2173">
        <f>'Raw Data'!C2175</f>
        <v>300.97765114045313</v>
      </c>
      <c r="D2173" s="97">
        <f t="shared" si="68"/>
        <v>54.492348859546894</v>
      </c>
      <c r="E2173" s="98" t="str">
        <f t="shared" si="69"/>
        <v>Valid</v>
      </c>
    </row>
    <row r="2174" spans="1:5" x14ac:dyDescent="0.25">
      <c r="A2174" s="95">
        <f>'Site Data'!B2176</f>
        <v>0</v>
      </c>
      <c r="B2174">
        <f>'Raw Data'!B2176</f>
        <v>355.47</v>
      </c>
      <c r="C2174">
        <f>'Raw Data'!C2176</f>
        <v>300.80322011825365</v>
      </c>
      <c r="D2174" s="97">
        <f t="shared" si="68"/>
        <v>54.666779881746379</v>
      </c>
      <c r="E2174" s="98" t="str">
        <f t="shared" si="69"/>
        <v>Valid</v>
      </c>
    </row>
    <row r="2175" spans="1:5" x14ac:dyDescent="0.25">
      <c r="A2175" s="95">
        <f>'Site Data'!B2177</f>
        <v>0</v>
      </c>
      <c r="B2175">
        <f>'Raw Data'!B2177</f>
        <v>354.97</v>
      </c>
      <c r="C2175">
        <f>'Raw Data'!C2177</f>
        <v>300.80748965749547</v>
      </c>
      <c r="D2175" s="97">
        <f t="shared" si="68"/>
        <v>54.162510342504561</v>
      </c>
      <c r="E2175" s="98" t="str">
        <f t="shared" si="69"/>
        <v>Valid</v>
      </c>
    </row>
    <row r="2176" spans="1:5" x14ac:dyDescent="0.25">
      <c r="A2176" s="95">
        <f>'Site Data'!B2178</f>
        <v>0</v>
      </c>
      <c r="B2176">
        <f>'Raw Data'!B2178</f>
        <v>354.97</v>
      </c>
      <c r="C2176">
        <f>'Raw Data'!C2178</f>
        <v>300.97000000000003</v>
      </c>
      <c r="D2176" s="97">
        <f t="shared" si="68"/>
        <v>54</v>
      </c>
      <c r="E2176" s="98" t="str">
        <f t="shared" si="69"/>
        <v>Valid</v>
      </c>
    </row>
    <row r="2177" spans="1:5" x14ac:dyDescent="0.25">
      <c r="A2177" s="95">
        <f>'Site Data'!B2179</f>
        <v>0</v>
      </c>
      <c r="B2177">
        <f>'Raw Data'!B2179</f>
        <v>354.97</v>
      </c>
      <c r="C2177">
        <f>'Raw Data'!C2179</f>
        <v>300.97000000000003</v>
      </c>
      <c r="D2177" s="97">
        <f t="shared" si="68"/>
        <v>54</v>
      </c>
      <c r="E2177" s="98" t="str">
        <f t="shared" si="69"/>
        <v>Valid</v>
      </c>
    </row>
    <row r="2178" spans="1:5" x14ac:dyDescent="0.25">
      <c r="A2178" s="95">
        <f>'Site Data'!B2180</f>
        <v>0</v>
      </c>
      <c r="B2178">
        <f>'Raw Data'!B2180</f>
        <v>354.97</v>
      </c>
      <c r="C2178">
        <f>'Raw Data'!C2180</f>
        <v>300.9176107204778</v>
      </c>
      <c r="D2178" s="97">
        <f t="shared" ref="D2178:D2241" si="70">B2178-C2178</f>
        <v>54.052389279522231</v>
      </c>
      <c r="E2178" s="98" t="str">
        <f t="shared" ref="E2178:E2241" si="71">IF(AND(D2178 &gt;= 50, D2178 &lt;= 60), "Valid", "Error")</f>
        <v>Valid</v>
      </c>
    </row>
    <row r="2179" spans="1:5" x14ac:dyDescent="0.25">
      <c r="A2179" s="95">
        <f>'Site Data'!B2181</f>
        <v>0</v>
      </c>
      <c r="B2179">
        <f>'Raw Data'!B2181</f>
        <v>354.97</v>
      </c>
      <c r="C2179">
        <f>'Raw Data'!C2181</f>
        <v>300.91363179066769</v>
      </c>
      <c r="D2179" s="97">
        <f t="shared" si="70"/>
        <v>54.056368209332334</v>
      </c>
      <c r="E2179" s="98" t="str">
        <f t="shared" si="71"/>
        <v>Valid</v>
      </c>
    </row>
    <row r="2180" spans="1:5" x14ac:dyDescent="0.25">
      <c r="A2180" s="95">
        <f>'Site Data'!B2182</f>
        <v>0</v>
      </c>
      <c r="B2180">
        <f>'Raw Data'!B2182</f>
        <v>354.97</v>
      </c>
      <c r="C2180">
        <f>'Raw Data'!C2182</f>
        <v>300.91718316309397</v>
      </c>
      <c r="D2180" s="97">
        <f t="shared" si="70"/>
        <v>54.052816836906061</v>
      </c>
      <c r="E2180" s="98" t="str">
        <f t="shared" si="71"/>
        <v>Valid</v>
      </c>
    </row>
    <row r="2181" spans="1:5" x14ac:dyDescent="0.25">
      <c r="A2181" s="95">
        <f>'Site Data'!B2183</f>
        <v>0</v>
      </c>
      <c r="B2181">
        <f>'Raw Data'!B2183</f>
        <v>354.97</v>
      </c>
      <c r="C2181">
        <f>'Raw Data'!C2183</f>
        <v>300.92</v>
      </c>
      <c r="D2181" s="97">
        <f t="shared" si="70"/>
        <v>54.050000000000011</v>
      </c>
      <c r="E2181" s="98" t="str">
        <f t="shared" si="71"/>
        <v>Valid</v>
      </c>
    </row>
    <row r="2182" spans="1:5" x14ac:dyDescent="0.25">
      <c r="A2182" s="95">
        <f>'Site Data'!B2184</f>
        <v>0</v>
      </c>
      <c r="B2182">
        <f>'Raw Data'!B2184</f>
        <v>354.47</v>
      </c>
      <c r="C2182">
        <f>'Raw Data'!C2184</f>
        <v>300.61</v>
      </c>
      <c r="D2182" s="97">
        <f t="shared" si="70"/>
        <v>53.860000000000014</v>
      </c>
      <c r="E2182" s="98" t="str">
        <f t="shared" si="71"/>
        <v>Valid</v>
      </c>
    </row>
    <row r="2183" spans="1:5" x14ac:dyDescent="0.25">
      <c r="A2183" s="95">
        <f>'Site Data'!B2185</f>
        <v>0</v>
      </c>
      <c r="B2183">
        <f>'Raw Data'!B2185</f>
        <v>354.47</v>
      </c>
      <c r="C2183">
        <f>'Raw Data'!C2185</f>
        <v>300.61</v>
      </c>
      <c r="D2183" s="97">
        <f t="shared" si="70"/>
        <v>53.860000000000014</v>
      </c>
      <c r="E2183" s="98" t="str">
        <f t="shared" si="71"/>
        <v>Valid</v>
      </c>
    </row>
    <row r="2184" spans="1:5" x14ac:dyDescent="0.25">
      <c r="A2184" s="95">
        <f>'Site Data'!B2186</f>
        <v>0</v>
      </c>
      <c r="B2184">
        <f>'Raw Data'!B2186</f>
        <v>354.47</v>
      </c>
      <c r="C2184">
        <f>'Raw Data'!C2186</f>
        <v>300.49074004566666</v>
      </c>
      <c r="D2184" s="97">
        <f t="shared" si="70"/>
        <v>53.979259954333372</v>
      </c>
      <c r="E2184" s="98" t="str">
        <f t="shared" si="71"/>
        <v>Valid</v>
      </c>
    </row>
    <row r="2185" spans="1:5" x14ac:dyDescent="0.25">
      <c r="A2185" s="95">
        <f>'Site Data'!B2187</f>
        <v>0</v>
      </c>
      <c r="B2185">
        <f>'Raw Data'!B2187</f>
        <v>354.47</v>
      </c>
      <c r="C2185">
        <f>'Raw Data'!C2187</f>
        <v>300.49844923604172</v>
      </c>
      <c r="D2185" s="97">
        <f t="shared" si="70"/>
        <v>53.971550763958305</v>
      </c>
      <c r="E2185" s="98" t="str">
        <f t="shared" si="71"/>
        <v>Valid</v>
      </c>
    </row>
    <row r="2186" spans="1:5" x14ac:dyDescent="0.25">
      <c r="A2186" s="95">
        <f>'Site Data'!B2188</f>
        <v>0</v>
      </c>
      <c r="B2186">
        <f>'Raw Data'!B2188</f>
        <v>354.47</v>
      </c>
      <c r="C2186">
        <f>'Raw Data'!C2188</f>
        <v>300.4938245744807</v>
      </c>
      <c r="D2186" s="97">
        <f t="shared" si="70"/>
        <v>53.97617542551933</v>
      </c>
      <c r="E2186" s="98" t="str">
        <f t="shared" si="71"/>
        <v>Valid</v>
      </c>
    </row>
    <row r="2187" spans="1:5" x14ac:dyDescent="0.25">
      <c r="A2187" s="95">
        <f>'Site Data'!B2189</f>
        <v>0</v>
      </c>
      <c r="B2187">
        <f>'Raw Data'!B2189</f>
        <v>354.47</v>
      </c>
      <c r="C2187">
        <f>'Raw Data'!C2189</f>
        <v>300.49661132732018</v>
      </c>
      <c r="D2187" s="97">
        <f t="shared" si="70"/>
        <v>53.973388672679846</v>
      </c>
      <c r="E2187" s="98" t="str">
        <f t="shared" si="71"/>
        <v>Valid</v>
      </c>
    </row>
    <row r="2188" spans="1:5" x14ac:dyDescent="0.25">
      <c r="A2188" s="95">
        <f>'Site Data'!B2190</f>
        <v>0</v>
      </c>
      <c r="B2188">
        <f>'Raw Data'!B2190</f>
        <v>354.47</v>
      </c>
      <c r="C2188">
        <f>'Raw Data'!C2190</f>
        <v>300.49</v>
      </c>
      <c r="D2188" s="97">
        <f t="shared" si="70"/>
        <v>53.980000000000018</v>
      </c>
      <c r="E2188" s="98" t="str">
        <f t="shared" si="71"/>
        <v>Valid</v>
      </c>
    </row>
    <row r="2189" spans="1:5" x14ac:dyDescent="0.25">
      <c r="A2189" s="95">
        <f>'Site Data'!B2191</f>
        <v>0</v>
      </c>
      <c r="B2189">
        <f>'Raw Data'!B2191</f>
        <v>354.22</v>
      </c>
      <c r="C2189">
        <f>'Raw Data'!C2191</f>
        <v>300.5</v>
      </c>
      <c r="D2189" s="97">
        <f t="shared" si="70"/>
        <v>53.720000000000027</v>
      </c>
      <c r="E2189" s="98" t="str">
        <f t="shared" si="71"/>
        <v>Valid</v>
      </c>
    </row>
    <row r="2190" spans="1:5" x14ac:dyDescent="0.25">
      <c r="A2190" s="95">
        <f>'Site Data'!B2192</f>
        <v>0</v>
      </c>
      <c r="B2190">
        <f>'Raw Data'!B2192</f>
        <v>354.22</v>
      </c>
      <c r="C2190">
        <f>'Raw Data'!C2192</f>
        <v>300.86104303533153</v>
      </c>
      <c r="D2190" s="97">
        <f t="shared" si="70"/>
        <v>53.358956964668494</v>
      </c>
      <c r="E2190" s="98" t="str">
        <f t="shared" si="71"/>
        <v>Valid</v>
      </c>
    </row>
    <row r="2191" spans="1:5" x14ac:dyDescent="0.25">
      <c r="A2191" s="95">
        <f>'Site Data'!B2193</f>
        <v>0</v>
      </c>
      <c r="B2191">
        <f>'Raw Data'!B2193</f>
        <v>354.2176741032464</v>
      </c>
      <c r="C2191">
        <f>'Raw Data'!C2193</f>
        <v>300.88</v>
      </c>
      <c r="D2191" s="97">
        <f t="shared" si="70"/>
        <v>53.3376741032464</v>
      </c>
      <c r="E2191" s="98" t="str">
        <f t="shared" si="71"/>
        <v>Valid</v>
      </c>
    </row>
    <row r="2192" spans="1:5" x14ac:dyDescent="0.25">
      <c r="A2192" s="95">
        <f>'Site Data'!B2194</f>
        <v>0</v>
      </c>
      <c r="B2192">
        <f>'Raw Data'!B2194</f>
        <v>354.12</v>
      </c>
      <c r="C2192">
        <f>'Raw Data'!C2194</f>
        <v>301.00352445164157</v>
      </c>
      <c r="D2192" s="97">
        <f t="shared" si="70"/>
        <v>53.116475548358437</v>
      </c>
      <c r="E2192" s="98" t="str">
        <f t="shared" si="71"/>
        <v>Valid</v>
      </c>
    </row>
    <row r="2193" spans="1:5" x14ac:dyDescent="0.25">
      <c r="A2193" s="95">
        <f>'Site Data'!B2195</f>
        <v>0</v>
      </c>
      <c r="B2193">
        <f>'Raw Data'!B2195</f>
        <v>354.12</v>
      </c>
      <c r="C2193">
        <f>'Raw Data'!C2195</f>
        <v>300.93</v>
      </c>
      <c r="D2193" s="97">
        <f t="shared" si="70"/>
        <v>53.19</v>
      </c>
      <c r="E2193" s="98" t="str">
        <f t="shared" si="71"/>
        <v>Valid</v>
      </c>
    </row>
    <row r="2194" spans="1:5" x14ac:dyDescent="0.25">
      <c r="A2194" s="95">
        <f>'Site Data'!B2196</f>
        <v>0</v>
      </c>
      <c r="B2194">
        <f>'Raw Data'!B2196</f>
        <v>354.12</v>
      </c>
      <c r="C2194">
        <f>'Raw Data'!C2196</f>
        <v>301.12801723169906</v>
      </c>
      <c r="D2194" s="97">
        <f t="shared" si="70"/>
        <v>52.991982768300943</v>
      </c>
      <c r="E2194" s="98" t="str">
        <f t="shared" si="71"/>
        <v>Valid</v>
      </c>
    </row>
    <row r="2195" spans="1:5" x14ac:dyDescent="0.25">
      <c r="A2195" s="95">
        <f>'Site Data'!B2197</f>
        <v>0</v>
      </c>
      <c r="B2195">
        <f>'Raw Data'!B2197</f>
        <v>354.12</v>
      </c>
      <c r="C2195">
        <f>'Raw Data'!C2197</f>
        <v>301.09848273681661</v>
      </c>
      <c r="D2195" s="97">
        <f t="shared" si="70"/>
        <v>53.021517263183398</v>
      </c>
      <c r="E2195" s="98" t="str">
        <f t="shared" si="71"/>
        <v>Valid</v>
      </c>
    </row>
    <row r="2196" spans="1:5" x14ac:dyDescent="0.25">
      <c r="A2196" s="95">
        <f>'Site Data'!B2198</f>
        <v>0</v>
      </c>
      <c r="B2196">
        <f>'Raw Data'!B2198</f>
        <v>353.86</v>
      </c>
      <c r="C2196">
        <f>'Raw Data'!C2198</f>
        <v>300.99410627537895</v>
      </c>
      <c r="D2196" s="97">
        <f t="shared" si="70"/>
        <v>52.86589372462106</v>
      </c>
      <c r="E2196" s="98" t="str">
        <f t="shared" si="71"/>
        <v>Valid</v>
      </c>
    </row>
    <row r="2197" spans="1:5" x14ac:dyDescent="0.25">
      <c r="A2197" s="95">
        <f>'Site Data'!B2199</f>
        <v>0</v>
      </c>
      <c r="B2197">
        <f>'Raw Data'!B2199</f>
        <v>353.86</v>
      </c>
      <c r="C2197">
        <f>'Raw Data'!C2199</f>
        <v>300.99836826946392</v>
      </c>
      <c r="D2197" s="97">
        <f t="shared" si="70"/>
        <v>52.861631730536089</v>
      </c>
      <c r="E2197" s="98" t="str">
        <f t="shared" si="71"/>
        <v>Valid</v>
      </c>
    </row>
    <row r="2198" spans="1:5" x14ac:dyDescent="0.25">
      <c r="A2198" s="95">
        <f>'Site Data'!B2200</f>
        <v>0</v>
      </c>
      <c r="B2198">
        <f>'Raw Data'!B2200</f>
        <v>353.86</v>
      </c>
      <c r="C2198">
        <f>'Raw Data'!C2200</f>
        <v>301.14</v>
      </c>
      <c r="D2198" s="97">
        <f t="shared" si="70"/>
        <v>52.720000000000027</v>
      </c>
      <c r="E2198" s="98" t="str">
        <f t="shared" si="71"/>
        <v>Valid</v>
      </c>
    </row>
    <row r="2199" spans="1:5" x14ac:dyDescent="0.25">
      <c r="A2199" s="95">
        <f>'Site Data'!B2201</f>
        <v>0</v>
      </c>
      <c r="B2199">
        <f>'Raw Data'!B2201</f>
        <v>353.86</v>
      </c>
      <c r="C2199">
        <f>'Raw Data'!C2201</f>
        <v>301.14</v>
      </c>
      <c r="D2199" s="97">
        <f t="shared" si="70"/>
        <v>52.720000000000027</v>
      </c>
      <c r="E2199" s="98" t="str">
        <f t="shared" si="71"/>
        <v>Valid</v>
      </c>
    </row>
    <row r="2200" spans="1:5" x14ac:dyDescent="0.25">
      <c r="A2200" s="95">
        <f>'Site Data'!B2202</f>
        <v>0</v>
      </c>
      <c r="B2200">
        <f>'Raw Data'!B2202</f>
        <v>353.86</v>
      </c>
      <c r="C2200">
        <f>'Raw Data'!C2202</f>
        <v>301.0869041461479</v>
      </c>
      <c r="D2200" s="97">
        <f t="shared" si="70"/>
        <v>52.773095853852112</v>
      </c>
      <c r="E2200" s="98" t="str">
        <f t="shared" si="71"/>
        <v>Valid</v>
      </c>
    </row>
    <row r="2201" spans="1:5" x14ac:dyDescent="0.25">
      <c r="A2201" s="95">
        <f>'Site Data'!B2203</f>
        <v>0</v>
      </c>
      <c r="B2201">
        <f>'Raw Data'!B2203</f>
        <v>353.86</v>
      </c>
      <c r="C2201">
        <f>'Raw Data'!C2203</f>
        <v>301.05</v>
      </c>
      <c r="D2201" s="97">
        <f t="shared" si="70"/>
        <v>52.81</v>
      </c>
      <c r="E2201" s="98" t="str">
        <f t="shared" si="71"/>
        <v>Valid</v>
      </c>
    </row>
    <row r="2202" spans="1:5" x14ac:dyDescent="0.25">
      <c r="A2202" s="95">
        <f>'Site Data'!B2204</f>
        <v>0</v>
      </c>
      <c r="B2202">
        <f>'Raw Data'!B2204</f>
        <v>353.86</v>
      </c>
      <c r="C2202">
        <f>'Raw Data'!C2204</f>
        <v>300.86</v>
      </c>
      <c r="D2202" s="97">
        <f t="shared" si="70"/>
        <v>53</v>
      </c>
      <c r="E2202" s="98" t="str">
        <f t="shared" si="71"/>
        <v>Valid</v>
      </c>
    </row>
    <row r="2203" spans="1:5" x14ac:dyDescent="0.25">
      <c r="A2203" s="95">
        <f>'Site Data'!B2205</f>
        <v>0</v>
      </c>
      <c r="B2203">
        <f>'Raw Data'!B2205</f>
        <v>353.86</v>
      </c>
      <c r="C2203">
        <f>'Raw Data'!C2205</f>
        <v>300.86</v>
      </c>
      <c r="D2203" s="97">
        <f t="shared" si="70"/>
        <v>53</v>
      </c>
      <c r="E2203" s="98" t="str">
        <f t="shared" si="71"/>
        <v>Valid</v>
      </c>
    </row>
    <row r="2204" spans="1:5" x14ac:dyDescent="0.25">
      <c r="A2204" s="95">
        <f>'Site Data'!B2206</f>
        <v>0</v>
      </c>
      <c r="B2204">
        <f>'Raw Data'!B2206</f>
        <v>353.86</v>
      </c>
      <c r="C2204">
        <f>'Raw Data'!C2206</f>
        <v>300.71677753422819</v>
      </c>
      <c r="D2204" s="97">
        <f t="shared" si="70"/>
        <v>53.143222465771828</v>
      </c>
      <c r="E2204" s="98" t="str">
        <f t="shared" si="71"/>
        <v>Valid</v>
      </c>
    </row>
    <row r="2205" spans="1:5" x14ac:dyDescent="0.25">
      <c r="A2205" s="95">
        <f>'Site Data'!B2207</f>
        <v>0</v>
      </c>
      <c r="B2205">
        <f>'Raw Data'!B2207</f>
        <v>353.86</v>
      </c>
      <c r="C2205">
        <f>'Raw Data'!C2207</f>
        <v>300.71016641569969</v>
      </c>
      <c r="D2205" s="97">
        <f t="shared" si="70"/>
        <v>53.149833584300325</v>
      </c>
      <c r="E2205" s="98" t="str">
        <f t="shared" si="71"/>
        <v>Valid</v>
      </c>
    </row>
    <row r="2206" spans="1:5" x14ac:dyDescent="0.25">
      <c r="A2206" s="95">
        <f>'Site Data'!B2208</f>
        <v>0</v>
      </c>
      <c r="B2206">
        <f>'Raw Data'!B2208</f>
        <v>353.86</v>
      </c>
      <c r="C2206">
        <f>'Raw Data'!C2208</f>
        <v>300.62</v>
      </c>
      <c r="D2206" s="97">
        <f t="shared" si="70"/>
        <v>53.240000000000009</v>
      </c>
      <c r="E2206" s="98" t="str">
        <f t="shared" si="71"/>
        <v>Valid</v>
      </c>
    </row>
    <row r="2207" spans="1:5" x14ac:dyDescent="0.25">
      <c r="A2207" s="95">
        <f>'Site Data'!B2209</f>
        <v>0</v>
      </c>
      <c r="B2207">
        <f>'Raw Data'!B2209</f>
        <v>353.86</v>
      </c>
      <c r="C2207">
        <f>'Raw Data'!C2209</f>
        <v>300.62</v>
      </c>
      <c r="D2207" s="97">
        <f t="shared" si="70"/>
        <v>53.240000000000009</v>
      </c>
      <c r="E2207" s="98" t="str">
        <f t="shared" si="71"/>
        <v>Valid</v>
      </c>
    </row>
    <row r="2208" spans="1:5" x14ac:dyDescent="0.25">
      <c r="A2208" s="95">
        <f>'Site Data'!B2210</f>
        <v>0</v>
      </c>
      <c r="B2208">
        <f>'Raw Data'!B2210</f>
        <v>353.86</v>
      </c>
      <c r="C2208">
        <f>'Raw Data'!C2210</f>
        <v>300.72763414786345</v>
      </c>
      <c r="D2208" s="97">
        <f t="shared" si="70"/>
        <v>53.132365852136559</v>
      </c>
      <c r="E2208" s="98" t="str">
        <f t="shared" si="71"/>
        <v>Valid</v>
      </c>
    </row>
    <row r="2209" spans="1:5" x14ac:dyDescent="0.25">
      <c r="A2209" s="95">
        <f>'Site Data'!B2211</f>
        <v>0</v>
      </c>
      <c r="B2209">
        <f>'Raw Data'!B2211</f>
        <v>353.86</v>
      </c>
      <c r="C2209">
        <f>'Raw Data'!C2211</f>
        <v>300.72906615677181</v>
      </c>
      <c r="D2209" s="97">
        <f t="shared" si="70"/>
        <v>53.130933843228206</v>
      </c>
      <c r="E2209" s="98" t="str">
        <f t="shared" si="71"/>
        <v>Valid</v>
      </c>
    </row>
    <row r="2210" spans="1:5" x14ac:dyDescent="0.25">
      <c r="A2210" s="95">
        <f>'Site Data'!B2212</f>
        <v>0</v>
      </c>
      <c r="B2210">
        <f>'Raw Data'!B2212</f>
        <v>353.86</v>
      </c>
      <c r="C2210">
        <f>'Raw Data'!C2212</f>
        <v>300.72000000000003</v>
      </c>
      <c r="D2210" s="97">
        <f t="shared" si="70"/>
        <v>53.139999999999986</v>
      </c>
      <c r="E2210" s="98" t="str">
        <f t="shared" si="71"/>
        <v>Valid</v>
      </c>
    </row>
    <row r="2211" spans="1:5" x14ac:dyDescent="0.25">
      <c r="A2211" s="95">
        <f>'Site Data'!B2213</f>
        <v>0</v>
      </c>
      <c r="B2211">
        <f>'Raw Data'!B2213</f>
        <v>353.86</v>
      </c>
      <c r="C2211">
        <f>'Raw Data'!C2213</f>
        <v>300.72957951412252</v>
      </c>
      <c r="D2211" s="97">
        <f t="shared" si="70"/>
        <v>53.130420485877494</v>
      </c>
      <c r="E2211" s="98" t="str">
        <f t="shared" si="71"/>
        <v>Valid</v>
      </c>
    </row>
    <row r="2212" spans="1:5" x14ac:dyDescent="0.25">
      <c r="A2212" s="95">
        <f>'Site Data'!B2214</f>
        <v>0</v>
      </c>
      <c r="B2212">
        <f>'Raw Data'!B2214</f>
        <v>353.86</v>
      </c>
      <c r="C2212">
        <f>'Raw Data'!C2214</f>
        <v>300.73</v>
      </c>
      <c r="D2212" s="97">
        <f t="shared" si="70"/>
        <v>53.129999999999995</v>
      </c>
      <c r="E2212" s="98" t="str">
        <f t="shared" si="71"/>
        <v>Valid</v>
      </c>
    </row>
    <row r="2213" spans="1:5" x14ac:dyDescent="0.25">
      <c r="A2213" s="95">
        <f>'Site Data'!B2215</f>
        <v>0</v>
      </c>
      <c r="B2213">
        <f>'Raw Data'!B2215</f>
        <v>353.86</v>
      </c>
      <c r="C2213">
        <f>'Raw Data'!C2215</f>
        <v>300.73862288251047</v>
      </c>
      <c r="D2213" s="97">
        <f t="shared" si="70"/>
        <v>53.121377117489544</v>
      </c>
      <c r="E2213" s="98" t="str">
        <f t="shared" si="71"/>
        <v>Valid</v>
      </c>
    </row>
    <row r="2214" spans="1:5" x14ac:dyDescent="0.25">
      <c r="A2214" s="95">
        <f>'Site Data'!B2216</f>
        <v>0</v>
      </c>
      <c r="B2214">
        <f>'Raw Data'!B2216</f>
        <v>353.86</v>
      </c>
      <c r="C2214">
        <f>'Raw Data'!C2216</f>
        <v>300.61</v>
      </c>
      <c r="D2214" s="97">
        <f t="shared" si="70"/>
        <v>53.25</v>
      </c>
      <c r="E2214" s="98" t="str">
        <f t="shared" si="71"/>
        <v>Valid</v>
      </c>
    </row>
    <row r="2215" spans="1:5" x14ac:dyDescent="0.25">
      <c r="A2215" s="95">
        <f>'Site Data'!B2217</f>
        <v>0</v>
      </c>
      <c r="B2215">
        <f>'Raw Data'!B2217</f>
        <v>353.86</v>
      </c>
      <c r="C2215">
        <f>'Raw Data'!C2217</f>
        <v>300.61</v>
      </c>
      <c r="D2215" s="97">
        <f t="shared" si="70"/>
        <v>53.25</v>
      </c>
      <c r="E2215" s="98" t="str">
        <f t="shared" si="71"/>
        <v>Valid</v>
      </c>
    </row>
    <row r="2216" spans="1:5" x14ac:dyDescent="0.25">
      <c r="A2216" s="95">
        <f>'Site Data'!B2218</f>
        <v>0</v>
      </c>
      <c r="B2216">
        <f>'Raw Data'!B2218</f>
        <v>353.86</v>
      </c>
      <c r="C2216">
        <f>'Raw Data'!C2218</f>
        <v>300.61078682766765</v>
      </c>
      <c r="D2216" s="97">
        <f t="shared" si="70"/>
        <v>53.249213172332361</v>
      </c>
      <c r="E2216" s="98" t="str">
        <f t="shared" si="71"/>
        <v>Valid</v>
      </c>
    </row>
    <row r="2217" spans="1:5" x14ac:dyDescent="0.25">
      <c r="A2217" s="95">
        <f>'Site Data'!B2219</f>
        <v>0</v>
      </c>
      <c r="B2217">
        <f>'Raw Data'!B2219</f>
        <v>353.86</v>
      </c>
      <c r="C2217">
        <f>'Raw Data'!C2219</f>
        <v>300.59588665111806</v>
      </c>
      <c r="D2217" s="97">
        <f t="shared" si="70"/>
        <v>53.264113348881949</v>
      </c>
      <c r="E2217" s="98" t="str">
        <f t="shared" si="71"/>
        <v>Valid</v>
      </c>
    </row>
    <row r="2218" spans="1:5" x14ac:dyDescent="0.25">
      <c r="A2218" s="95">
        <f>'Site Data'!B2220</f>
        <v>0</v>
      </c>
      <c r="B2218">
        <f>'Raw Data'!B2220</f>
        <v>353.86</v>
      </c>
      <c r="C2218">
        <f>'Raw Data'!C2220</f>
        <v>300.56</v>
      </c>
      <c r="D2218" s="97">
        <f t="shared" si="70"/>
        <v>53.300000000000011</v>
      </c>
      <c r="E2218" s="98" t="str">
        <f t="shared" si="71"/>
        <v>Valid</v>
      </c>
    </row>
    <row r="2219" spans="1:5" x14ac:dyDescent="0.25">
      <c r="A2219" s="95">
        <f>'Site Data'!B2221</f>
        <v>0</v>
      </c>
      <c r="B2219">
        <f>'Raw Data'!B2221</f>
        <v>353.86</v>
      </c>
      <c r="C2219">
        <f>'Raw Data'!C2221</f>
        <v>300.56</v>
      </c>
      <c r="D2219" s="97">
        <f t="shared" si="70"/>
        <v>53.300000000000011</v>
      </c>
      <c r="E2219" s="98" t="str">
        <f t="shared" si="71"/>
        <v>Valid</v>
      </c>
    </row>
    <row r="2220" spans="1:5" x14ac:dyDescent="0.25">
      <c r="A2220" s="95">
        <f>'Site Data'!B2222</f>
        <v>0</v>
      </c>
      <c r="B2220">
        <f>'Raw Data'!B2222</f>
        <v>353.86</v>
      </c>
      <c r="C2220">
        <f>'Raw Data'!C2222</f>
        <v>300.68</v>
      </c>
      <c r="D2220" s="97">
        <f t="shared" si="70"/>
        <v>53.180000000000007</v>
      </c>
      <c r="E2220" s="98" t="str">
        <f t="shared" si="71"/>
        <v>Valid</v>
      </c>
    </row>
    <row r="2221" spans="1:5" x14ac:dyDescent="0.25">
      <c r="A2221" s="95">
        <f>'Site Data'!B2223</f>
        <v>0</v>
      </c>
      <c r="B2221">
        <f>'Raw Data'!B2223</f>
        <v>353.86</v>
      </c>
      <c r="C2221">
        <f>'Raw Data'!C2223</f>
        <v>300.68</v>
      </c>
      <c r="D2221" s="97">
        <f t="shared" si="70"/>
        <v>53.180000000000007</v>
      </c>
      <c r="E2221" s="98" t="str">
        <f t="shared" si="71"/>
        <v>Valid</v>
      </c>
    </row>
    <row r="2222" spans="1:5" x14ac:dyDescent="0.25">
      <c r="A2222" s="95">
        <f>'Site Data'!B2224</f>
        <v>0</v>
      </c>
      <c r="B2222">
        <f>'Raw Data'!B2224</f>
        <v>353.86</v>
      </c>
      <c r="C2222">
        <f>'Raw Data'!C2224</f>
        <v>300.67906805637051</v>
      </c>
      <c r="D2222" s="97">
        <f t="shared" si="70"/>
        <v>53.180931943629503</v>
      </c>
      <c r="E2222" s="98" t="str">
        <f t="shared" si="71"/>
        <v>Valid</v>
      </c>
    </row>
    <row r="2223" spans="1:5" x14ac:dyDescent="0.25">
      <c r="A2223" s="95">
        <f>'Site Data'!B2225</f>
        <v>0</v>
      </c>
      <c r="B2223">
        <f>'Raw Data'!B2225</f>
        <v>353.86</v>
      </c>
      <c r="C2223">
        <f>'Raw Data'!C2225</f>
        <v>300.67733073815288</v>
      </c>
      <c r="D2223" s="97">
        <f t="shared" si="70"/>
        <v>53.182669261847138</v>
      </c>
      <c r="E2223" s="98" t="str">
        <f t="shared" si="71"/>
        <v>Valid</v>
      </c>
    </row>
    <row r="2224" spans="1:5" x14ac:dyDescent="0.25">
      <c r="A2224" s="95">
        <f>'Site Data'!B2226</f>
        <v>0</v>
      </c>
      <c r="B2224">
        <f>'Raw Data'!B2226</f>
        <v>353.86</v>
      </c>
      <c r="C2224">
        <f>'Raw Data'!C2226</f>
        <v>300.67031636823697</v>
      </c>
      <c r="D2224" s="97">
        <f t="shared" si="70"/>
        <v>53.189683631763046</v>
      </c>
      <c r="E2224" s="98" t="str">
        <f t="shared" si="71"/>
        <v>Valid</v>
      </c>
    </row>
    <row r="2225" spans="1:5" x14ac:dyDescent="0.25">
      <c r="A2225" s="95">
        <f>'Site Data'!B2227</f>
        <v>0</v>
      </c>
      <c r="B2225">
        <f>'Raw Data'!B2227</f>
        <v>353.86</v>
      </c>
      <c r="C2225">
        <f>'Raw Data'!C2227</f>
        <v>300.67495357213772</v>
      </c>
      <c r="D2225" s="97">
        <f t="shared" si="70"/>
        <v>53.185046427862289</v>
      </c>
      <c r="E2225" s="98" t="str">
        <f t="shared" si="71"/>
        <v>Valid</v>
      </c>
    </row>
    <row r="2226" spans="1:5" x14ac:dyDescent="0.25">
      <c r="A2226" s="95">
        <f>'Site Data'!B2228</f>
        <v>0</v>
      </c>
      <c r="B2226">
        <f>'Raw Data'!B2228</f>
        <v>353.86</v>
      </c>
      <c r="C2226">
        <f>'Raw Data'!C2228</f>
        <v>300.56536946409693</v>
      </c>
      <c r="D2226" s="97">
        <f t="shared" si="70"/>
        <v>53.294630535903082</v>
      </c>
      <c r="E2226" s="98" t="str">
        <f t="shared" si="71"/>
        <v>Valid</v>
      </c>
    </row>
    <row r="2227" spans="1:5" x14ac:dyDescent="0.25">
      <c r="A2227" s="95">
        <f>'Site Data'!B2229</f>
        <v>0</v>
      </c>
      <c r="B2227">
        <f>'Raw Data'!B2229</f>
        <v>353.86</v>
      </c>
      <c r="C2227">
        <f>'Raw Data'!C2229</f>
        <v>300.56754495157304</v>
      </c>
      <c r="D2227" s="97">
        <f t="shared" si="70"/>
        <v>53.292455048426973</v>
      </c>
      <c r="E2227" s="98" t="str">
        <f t="shared" si="71"/>
        <v>Valid</v>
      </c>
    </row>
    <row r="2228" spans="1:5" x14ac:dyDescent="0.25">
      <c r="A2228" s="95">
        <f>'Site Data'!B2230</f>
        <v>0</v>
      </c>
      <c r="B2228">
        <f>'Raw Data'!B2230</f>
        <v>353.86</v>
      </c>
      <c r="C2228">
        <f>'Raw Data'!C2230</f>
        <v>300.56918735786445</v>
      </c>
      <c r="D2228" s="97">
        <f t="shared" si="70"/>
        <v>53.290812642135563</v>
      </c>
      <c r="E2228" s="98" t="str">
        <f t="shared" si="71"/>
        <v>Valid</v>
      </c>
    </row>
    <row r="2229" spans="1:5" x14ac:dyDescent="0.25">
      <c r="A2229" s="95">
        <f>'Site Data'!B2231</f>
        <v>0</v>
      </c>
      <c r="B2229">
        <f>'Raw Data'!B2231</f>
        <v>353.86</v>
      </c>
      <c r="C2229">
        <f>'Raw Data'!C2231</f>
        <v>300.56</v>
      </c>
      <c r="D2229" s="97">
        <f t="shared" si="70"/>
        <v>53.300000000000011</v>
      </c>
      <c r="E2229" s="98" t="str">
        <f t="shared" si="71"/>
        <v>Valid</v>
      </c>
    </row>
    <row r="2230" spans="1:5" x14ac:dyDescent="0.25">
      <c r="A2230" s="95">
        <f>'Site Data'!B2232</f>
        <v>0</v>
      </c>
      <c r="B2230">
        <f>'Raw Data'!B2232</f>
        <v>353.86</v>
      </c>
      <c r="C2230">
        <f>'Raw Data'!C2232</f>
        <v>300.56065364665335</v>
      </c>
      <c r="D2230" s="97">
        <f t="shared" si="70"/>
        <v>53.299346353346664</v>
      </c>
      <c r="E2230" s="98" t="str">
        <f t="shared" si="71"/>
        <v>Valid</v>
      </c>
    </row>
    <row r="2231" spans="1:5" x14ac:dyDescent="0.25">
      <c r="A2231" s="95">
        <f>'Site Data'!B2233</f>
        <v>0</v>
      </c>
      <c r="B2231">
        <f>'Raw Data'!B2233</f>
        <v>353.86</v>
      </c>
      <c r="C2231">
        <f>'Raw Data'!C2233</f>
        <v>300.56908917164901</v>
      </c>
      <c r="D2231" s="97">
        <f t="shared" si="70"/>
        <v>53.290910828351002</v>
      </c>
      <c r="E2231" s="98" t="str">
        <f t="shared" si="71"/>
        <v>Valid</v>
      </c>
    </row>
    <row r="2232" spans="1:5" x14ac:dyDescent="0.25">
      <c r="A2232" s="95">
        <f>'Site Data'!B2234</f>
        <v>0</v>
      </c>
      <c r="B2232">
        <f>'Raw Data'!B2234</f>
        <v>353.86</v>
      </c>
      <c r="C2232">
        <f>'Raw Data'!C2234</f>
        <v>300.56</v>
      </c>
      <c r="D2232" s="97">
        <f t="shared" si="70"/>
        <v>53.300000000000011</v>
      </c>
      <c r="E2232" s="98" t="str">
        <f t="shared" si="71"/>
        <v>Valid</v>
      </c>
    </row>
    <row r="2233" spans="1:5" x14ac:dyDescent="0.25">
      <c r="A2233" s="95">
        <f>'Site Data'!B2235</f>
        <v>0</v>
      </c>
      <c r="B2233">
        <f>'Raw Data'!B2235</f>
        <v>353.86</v>
      </c>
      <c r="C2233">
        <f>'Raw Data'!C2235</f>
        <v>300.58767369047797</v>
      </c>
      <c r="D2233" s="97">
        <f t="shared" si="70"/>
        <v>53.272326309522043</v>
      </c>
      <c r="E2233" s="98" t="str">
        <f t="shared" si="71"/>
        <v>Valid</v>
      </c>
    </row>
    <row r="2234" spans="1:5" x14ac:dyDescent="0.25">
      <c r="A2234" s="95">
        <f>'Site Data'!B2236</f>
        <v>0</v>
      </c>
      <c r="B2234">
        <f>'Raw Data'!B2236</f>
        <v>353.86</v>
      </c>
      <c r="C2234">
        <f>'Raw Data'!C2236</f>
        <v>300.85537338785855</v>
      </c>
      <c r="D2234" s="97">
        <f t="shared" si="70"/>
        <v>53.004626612141465</v>
      </c>
      <c r="E2234" s="98" t="str">
        <f t="shared" si="71"/>
        <v>Valid</v>
      </c>
    </row>
    <row r="2235" spans="1:5" x14ac:dyDescent="0.25">
      <c r="A2235" s="95">
        <f>'Site Data'!B2237</f>
        <v>0</v>
      </c>
      <c r="B2235">
        <f>'Raw Data'!B2237</f>
        <v>353.86</v>
      </c>
      <c r="C2235">
        <f>'Raw Data'!C2237</f>
        <v>300.87</v>
      </c>
      <c r="D2235" s="97">
        <f t="shared" si="70"/>
        <v>52.990000000000009</v>
      </c>
      <c r="E2235" s="98" t="str">
        <f t="shared" si="71"/>
        <v>Valid</v>
      </c>
    </row>
    <row r="2236" spans="1:5" x14ac:dyDescent="0.25">
      <c r="A2236" s="95">
        <f>'Site Data'!B2238</f>
        <v>0</v>
      </c>
      <c r="B2236">
        <f>'Raw Data'!B2238</f>
        <v>353.86</v>
      </c>
      <c r="C2236">
        <f>'Raw Data'!C2238</f>
        <v>300.92950860769037</v>
      </c>
      <c r="D2236" s="97">
        <f t="shared" si="70"/>
        <v>52.930491392309648</v>
      </c>
      <c r="E2236" s="98" t="str">
        <f t="shared" si="71"/>
        <v>Valid</v>
      </c>
    </row>
    <row r="2237" spans="1:5" x14ac:dyDescent="0.25">
      <c r="A2237" s="95">
        <f>'Site Data'!B2239</f>
        <v>0</v>
      </c>
      <c r="B2237">
        <f>'Raw Data'!B2239</f>
        <v>353.86</v>
      </c>
      <c r="C2237">
        <f>'Raw Data'!C2239</f>
        <v>300.93</v>
      </c>
      <c r="D2237" s="97">
        <f t="shared" si="70"/>
        <v>52.930000000000007</v>
      </c>
      <c r="E2237" s="98" t="str">
        <f t="shared" si="71"/>
        <v>Valid</v>
      </c>
    </row>
    <row r="2238" spans="1:5" x14ac:dyDescent="0.25">
      <c r="A2238" s="95">
        <f>'Site Data'!B2240</f>
        <v>0</v>
      </c>
      <c r="B2238">
        <f>'Raw Data'!B2240</f>
        <v>353.86</v>
      </c>
      <c r="C2238">
        <f>'Raw Data'!C2240</f>
        <v>301.01</v>
      </c>
      <c r="D2238" s="97">
        <f t="shared" si="70"/>
        <v>52.850000000000023</v>
      </c>
      <c r="E2238" s="98" t="str">
        <f t="shared" si="71"/>
        <v>Valid</v>
      </c>
    </row>
    <row r="2239" spans="1:5" x14ac:dyDescent="0.25">
      <c r="A2239" s="95">
        <f>'Site Data'!B2241</f>
        <v>0</v>
      </c>
      <c r="B2239">
        <f>'Raw Data'!B2241</f>
        <v>353.86</v>
      </c>
      <c r="C2239">
        <f>'Raw Data'!C2241</f>
        <v>301.00967346209114</v>
      </c>
      <c r="D2239" s="97">
        <f t="shared" si="70"/>
        <v>52.85032653790887</v>
      </c>
      <c r="E2239" s="98" t="str">
        <f t="shared" si="71"/>
        <v>Valid</v>
      </c>
    </row>
    <row r="2240" spans="1:5" x14ac:dyDescent="0.25">
      <c r="A2240" s="95">
        <f>'Site Data'!B2242</f>
        <v>0</v>
      </c>
      <c r="B2240">
        <f>'Raw Data'!B2242</f>
        <v>353.86</v>
      </c>
      <c r="C2240">
        <f>'Raw Data'!C2242</f>
        <v>301.08999999999997</v>
      </c>
      <c r="D2240" s="97">
        <f t="shared" si="70"/>
        <v>52.770000000000039</v>
      </c>
      <c r="E2240" s="98" t="str">
        <f t="shared" si="71"/>
        <v>Valid</v>
      </c>
    </row>
    <row r="2241" spans="1:5" x14ac:dyDescent="0.25">
      <c r="A2241" s="95">
        <f>'Site Data'!B2243</f>
        <v>0</v>
      </c>
      <c r="B2241">
        <f>'Raw Data'!B2243</f>
        <v>353.86</v>
      </c>
      <c r="C2241">
        <f>'Raw Data'!C2243</f>
        <v>301.11117246219243</v>
      </c>
      <c r="D2241" s="97">
        <f t="shared" si="70"/>
        <v>52.748827537807585</v>
      </c>
      <c r="E2241" s="98" t="str">
        <f t="shared" si="71"/>
        <v>Valid</v>
      </c>
    </row>
    <row r="2242" spans="1:5" x14ac:dyDescent="0.25">
      <c r="A2242" s="95">
        <f>'Site Data'!B2244</f>
        <v>0</v>
      </c>
      <c r="B2242">
        <f>'Raw Data'!B2244</f>
        <v>353.86</v>
      </c>
      <c r="C2242">
        <f>'Raw Data'!C2244</f>
        <v>301.08999999999997</v>
      </c>
      <c r="D2242" s="97">
        <f t="shared" ref="D2242:D2305" si="72">B2242-C2242</f>
        <v>52.770000000000039</v>
      </c>
      <c r="E2242" s="98" t="str">
        <f t="shared" ref="E2242:E2305" si="73">IF(AND(D2242 &gt;= 50, D2242 &lt;= 60), "Valid", "Error")</f>
        <v>Valid</v>
      </c>
    </row>
    <row r="2243" spans="1:5" x14ac:dyDescent="0.25">
      <c r="A2243" s="95">
        <f>'Site Data'!B2245</f>
        <v>0</v>
      </c>
      <c r="B2243">
        <f>'Raw Data'!B2245</f>
        <v>353.86</v>
      </c>
      <c r="C2243">
        <f>'Raw Data'!C2245</f>
        <v>301.09939486416914</v>
      </c>
      <c r="D2243" s="97">
        <f t="shared" si="72"/>
        <v>52.760605135830872</v>
      </c>
      <c r="E2243" s="98" t="str">
        <f t="shared" si="73"/>
        <v>Valid</v>
      </c>
    </row>
    <row r="2244" spans="1:5" x14ac:dyDescent="0.25">
      <c r="A2244" s="95">
        <f>'Site Data'!B2246</f>
        <v>0</v>
      </c>
      <c r="B2244">
        <f>'Raw Data'!B2246</f>
        <v>353.86</v>
      </c>
      <c r="C2244">
        <f>'Raw Data'!C2246</f>
        <v>300.92106277614505</v>
      </c>
      <c r="D2244" s="97">
        <f t="shared" si="72"/>
        <v>52.938937223854964</v>
      </c>
      <c r="E2244" s="98" t="str">
        <f t="shared" si="73"/>
        <v>Valid</v>
      </c>
    </row>
    <row r="2245" spans="1:5" x14ac:dyDescent="0.25">
      <c r="A2245" s="95">
        <f>'Site Data'!B2247</f>
        <v>0</v>
      </c>
      <c r="B2245">
        <f>'Raw Data'!B2247</f>
        <v>353.86</v>
      </c>
      <c r="C2245">
        <f>'Raw Data'!C2247</f>
        <v>300.92145629497895</v>
      </c>
      <c r="D2245" s="97">
        <f t="shared" si="72"/>
        <v>52.938543705021061</v>
      </c>
      <c r="E2245" s="98" t="str">
        <f t="shared" si="73"/>
        <v>Valid</v>
      </c>
    </row>
    <row r="2246" spans="1:5" x14ac:dyDescent="0.25">
      <c r="A2246" s="95">
        <f>'Site Data'!B2248</f>
        <v>0</v>
      </c>
      <c r="B2246">
        <f>'Raw Data'!B2248</f>
        <v>353.86</v>
      </c>
      <c r="C2246">
        <f>'Raw Data'!C2248</f>
        <v>300.93</v>
      </c>
      <c r="D2246" s="97">
        <f t="shared" si="72"/>
        <v>52.930000000000007</v>
      </c>
      <c r="E2246" s="98" t="str">
        <f t="shared" si="73"/>
        <v>Valid</v>
      </c>
    </row>
    <row r="2247" spans="1:5" x14ac:dyDescent="0.25">
      <c r="A2247" s="95">
        <f>'Site Data'!B2249</f>
        <v>0</v>
      </c>
      <c r="B2247">
        <f>'Raw Data'!B2249</f>
        <v>353.86</v>
      </c>
      <c r="C2247">
        <f>'Raw Data'!C2249</f>
        <v>300.93</v>
      </c>
      <c r="D2247" s="97">
        <f t="shared" si="72"/>
        <v>52.930000000000007</v>
      </c>
      <c r="E2247" s="98" t="str">
        <f t="shared" si="73"/>
        <v>Valid</v>
      </c>
    </row>
    <row r="2248" spans="1:5" x14ac:dyDescent="0.25">
      <c r="A2248" s="95">
        <f>'Site Data'!B2250</f>
        <v>0</v>
      </c>
      <c r="B2248">
        <f>'Raw Data'!B2250</f>
        <v>353.86</v>
      </c>
      <c r="C2248">
        <f>'Raw Data'!C2250</f>
        <v>300.86865467359223</v>
      </c>
      <c r="D2248" s="97">
        <f t="shared" si="72"/>
        <v>52.991345326407782</v>
      </c>
      <c r="E2248" s="98" t="str">
        <f t="shared" si="73"/>
        <v>Valid</v>
      </c>
    </row>
    <row r="2249" spans="1:5" x14ac:dyDescent="0.25">
      <c r="A2249" s="95">
        <f>'Site Data'!B2251</f>
        <v>0</v>
      </c>
      <c r="B2249">
        <f>'Raw Data'!B2251</f>
        <v>353.86</v>
      </c>
      <c r="C2249">
        <f>'Raw Data'!C2251</f>
        <v>300.86036508075813</v>
      </c>
      <c r="D2249" s="97">
        <f t="shared" si="72"/>
        <v>52.999634919241885</v>
      </c>
      <c r="E2249" s="98" t="str">
        <f t="shared" si="73"/>
        <v>Valid</v>
      </c>
    </row>
    <row r="2250" spans="1:5" x14ac:dyDescent="0.25">
      <c r="A2250" s="95">
        <f>'Site Data'!B2252</f>
        <v>0</v>
      </c>
      <c r="B2250">
        <f>'Raw Data'!B2252</f>
        <v>353.86</v>
      </c>
      <c r="C2250">
        <f>'Raw Data'!C2252</f>
        <v>300.7787437762783</v>
      </c>
      <c r="D2250" s="97">
        <f t="shared" si="72"/>
        <v>53.081256223721709</v>
      </c>
      <c r="E2250" s="98" t="str">
        <f t="shared" si="73"/>
        <v>Valid</v>
      </c>
    </row>
    <row r="2251" spans="1:5" x14ac:dyDescent="0.25">
      <c r="A2251" s="95">
        <f>'Site Data'!B2253</f>
        <v>0</v>
      </c>
      <c r="B2251">
        <f>'Raw Data'!B2253</f>
        <v>353.86</v>
      </c>
      <c r="C2251">
        <f>'Raw Data'!C2253</f>
        <v>300.77974568737261</v>
      </c>
      <c r="D2251" s="97">
        <f t="shared" si="72"/>
        <v>53.080254312627403</v>
      </c>
      <c r="E2251" s="98" t="str">
        <f t="shared" si="73"/>
        <v>Valid</v>
      </c>
    </row>
    <row r="2252" spans="1:5" x14ac:dyDescent="0.25">
      <c r="A2252" s="95">
        <f>'Site Data'!B2254</f>
        <v>0</v>
      </c>
      <c r="B2252">
        <f>'Raw Data'!B2254</f>
        <v>351.49</v>
      </c>
      <c r="C2252">
        <f>'Raw Data'!C2254</f>
        <v>300.97911287712333</v>
      </c>
      <c r="D2252" s="97">
        <f t="shared" si="72"/>
        <v>50.510887122876682</v>
      </c>
      <c r="E2252" s="98" t="str">
        <f t="shared" si="73"/>
        <v>Valid</v>
      </c>
    </row>
    <row r="2253" spans="1:5" x14ac:dyDescent="0.25">
      <c r="A2253" s="95">
        <f>'Site Data'!B2255</f>
        <v>0</v>
      </c>
      <c r="B2253">
        <f>'Raw Data'!B2255</f>
        <v>351.46041325867554</v>
      </c>
      <c r="C2253">
        <f>'Raw Data'!C2255</f>
        <v>300.96266506560846</v>
      </c>
      <c r="D2253" s="97">
        <f t="shared" si="72"/>
        <v>50.497748193067082</v>
      </c>
      <c r="E2253" s="98" t="str">
        <f t="shared" si="73"/>
        <v>Valid</v>
      </c>
    </row>
    <row r="2254" spans="1:5" x14ac:dyDescent="0.25">
      <c r="A2254" s="95">
        <f>'Site Data'!B2256</f>
        <v>0</v>
      </c>
      <c r="B2254">
        <f>'Raw Data'!B2256</f>
        <v>351.4</v>
      </c>
      <c r="C2254">
        <f>'Raw Data'!C2256</f>
        <v>300.77999999999997</v>
      </c>
      <c r="D2254" s="97">
        <f t="shared" si="72"/>
        <v>50.620000000000005</v>
      </c>
      <c r="E2254" s="98" t="str">
        <f t="shared" si="73"/>
        <v>Valid</v>
      </c>
    </row>
    <row r="2255" spans="1:5" x14ac:dyDescent="0.25">
      <c r="A2255" s="95">
        <f>'Site Data'!B2257</f>
        <v>0</v>
      </c>
      <c r="B2255">
        <f>'Raw Data'!B2257</f>
        <v>351.4</v>
      </c>
      <c r="C2255">
        <f>'Raw Data'!C2257</f>
        <v>300.77999999999997</v>
      </c>
      <c r="D2255" s="97">
        <f t="shared" si="72"/>
        <v>50.620000000000005</v>
      </c>
      <c r="E2255" s="98" t="str">
        <f t="shared" si="73"/>
        <v>Valid</v>
      </c>
    </row>
    <row r="2256" spans="1:5" x14ac:dyDescent="0.25">
      <c r="A2256" s="95">
        <f>'Site Data'!B2258</f>
        <v>0</v>
      </c>
      <c r="B2256">
        <f>'Raw Data'!B2258</f>
        <v>351.4</v>
      </c>
      <c r="C2256">
        <f>'Raw Data'!C2258</f>
        <v>300.78296557714805</v>
      </c>
      <c r="D2256" s="97">
        <f t="shared" si="72"/>
        <v>50.61703442285193</v>
      </c>
      <c r="E2256" s="98" t="str">
        <f t="shared" si="73"/>
        <v>Valid</v>
      </c>
    </row>
    <row r="2257" spans="1:5" x14ac:dyDescent="0.25">
      <c r="A2257" s="95">
        <f>'Site Data'!B2259</f>
        <v>0</v>
      </c>
      <c r="B2257">
        <f>'Raw Data'!B2259</f>
        <v>351.4</v>
      </c>
      <c r="C2257">
        <f>'Raw Data'!C2259</f>
        <v>300.77999999999997</v>
      </c>
      <c r="D2257" s="97">
        <f t="shared" si="72"/>
        <v>50.620000000000005</v>
      </c>
      <c r="E2257" s="98" t="str">
        <f t="shared" si="73"/>
        <v>Valid</v>
      </c>
    </row>
    <row r="2258" spans="1:5" x14ac:dyDescent="0.25">
      <c r="A2258" s="95">
        <f>'Site Data'!B2260</f>
        <v>0</v>
      </c>
      <c r="B2258">
        <f>'Raw Data'!B2260</f>
        <v>351.4</v>
      </c>
      <c r="C2258">
        <f>'Raw Data'!C2260</f>
        <v>301.08388771213316</v>
      </c>
      <c r="D2258" s="97">
        <f t="shared" si="72"/>
        <v>50.316112287866815</v>
      </c>
      <c r="E2258" s="98" t="str">
        <f t="shared" si="73"/>
        <v>Valid</v>
      </c>
    </row>
    <row r="2259" spans="1:5" x14ac:dyDescent="0.25">
      <c r="A2259" s="95">
        <f>'Site Data'!B2261</f>
        <v>0</v>
      </c>
      <c r="B2259">
        <f>'Raw Data'!B2261</f>
        <v>351</v>
      </c>
      <c r="C2259">
        <f>'Raw Data'!C2261</f>
        <v>301.07</v>
      </c>
      <c r="D2259" s="97">
        <f t="shared" si="72"/>
        <v>49.930000000000007</v>
      </c>
      <c r="E2259" s="98" t="str">
        <f t="shared" si="73"/>
        <v>Error</v>
      </c>
    </row>
    <row r="2260" spans="1:5" x14ac:dyDescent="0.25">
      <c r="A2260" s="95">
        <f>'Site Data'!B2262</f>
        <v>0</v>
      </c>
      <c r="B2260">
        <f>'Raw Data'!B2262</f>
        <v>351</v>
      </c>
      <c r="C2260">
        <f>'Raw Data'!C2262</f>
        <v>301.20237218923188</v>
      </c>
      <c r="D2260" s="97">
        <f t="shared" si="72"/>
        <v>49.79762781076812</v>
      </c>
      <c r="E2260" s="98" t="str">
        <f t="shared" si="73"/>
        <v>Error</v>
      </c>
    </row>
    <row r="2261" spans="1:5" x14ac:dyDescent="0.25">
      <c r="A2261" s="95">
        <f>'Site Data'!B2263</f>
        <v>0</v>
      </c>
      <c r="B2261">
        <f>'Raw Data'!B2263</f>
        <v>351</v>
      </c>
      <c r="C2261">
        <f>'Raw Data'!C2263</f>
        <v>301.28713056403825</v>
      </c>
      <c r="D2261" s="97">
        <f t="shared" si="72"/>
        <v>49.71286943596175</v>
      </c>
      <c r="E2261" s="98" t="str">
        <f t="shared" si="73"/>
        <v>Error</v>
      </c>
    </row>
    <row r="2262" spans="1:5" x14ac:dyDescent="0.25">
      <c r="A2262" s="95">
        <f>'Site Data'!B2264</f>
        <v>0</v>
      </c>
      <c r="B2262">
        <f>'Raw Data'!B2264</f>
        <v>351</v>
      </c>
      <c r="C2262">
        <f>'Raw Data'!C2264</f>
        <v>301.13956648638452</v>
      </c>
      <c r="D2262" s="97">
        <f t="shared" si="72"/>
        <v>49.860433513615476</v>
      </c>
      <c r="E2262" s="98" t="str">
        <f t="shared" si="73"/>
        <v>Error</v>
      </c>
    </row>
    <row r="2263" spans="1:5" x14ac:dyDescent="0.25">
      <c r="A2263" s="95">
        <f>'Site Data'!B2265</f>
        <v>0</v>
      </c>
      <c r="B2263">
        <f>'Raw Data'!B2265</f>
        <v>351</v>
      </c>
      <c r="C2263">
        <f>'Raw Data'!C2265</f>
        <v>301.11864562414331</v>
      </c>
      <c r="D2263" s="97">
        <f t="shared" si="72"/>
        <v>49.881354375856688</v>
      </c>
      <c r="E2263" s="98" t="str">
        <f t="shared" si="73"/>
        <v>Error</v>
      </c>
    </row>
    <row r="2264" spans="1:5" x14ac:dyDescent="0.25">
      <c r="A2264" s="95">
        <f>'Site Data'!B2266</f>
        <v>0</v>
      </c>
      <c r="B2264">
        <f>'Raw Data'!B2266</f>
        <v>351</v>
      </c>
      <c r="C2264">
        <f>'Raw Data'!C2266</f>
        <v>301.05</v>
      </c>
      <c r="D2264" s="97">
        <f t="shared" si="72"/>
        <v>49.949999999999989</v>
      </c>
      <c r="E2264" s="98" t="str">
        <f t="shared" si="73"/>
        <v>Error</v>
      </c>
    </row>
    <row r="2265" spans="1:5" x14ac:dyDescent="0.25">
      <c r="A2265" s="95">
        <f>'Site Data'!B2267</f>
        <v>0</v>
      </c>
      <c r="B2265">
        <f>'Raw Data'!B2267</f>
        <v>350.64</v>
      </c>
      <c r="C2265">
        <f>'Raw Data'!C2267</f>
        <v>301.05</v>
      </c>
      <c r="D2265" s="97">
        <f t="shared" si="72"/>
        <v>49.589999999999975</v>
      </c>
      <c r="E2265" s="98" t="str">
        <f>IF(AND(D2265 &gt;= 50, D2265 &lt;= 60), "Valid", "Error")</f>
        <v>Error</v>
      </c>
    </row>
    <row r="2266" spans="1:5" x14ac:dyDescent="0.25">
      <c r="A2266" s="95">
        <f>'Site Data'!B2268</f>
        <v>0</v>
      </c>
      <c r="B2266">
        <f>'Raw Data'!B2268</f>
        <v>350.64</v>
      </c>
      <c r="C2266">
        <f>'Raw Data'!C2268</f>
        <v>300.9825875023767</v>
      </c>
      <c r="D2266" s="97">
        <f t="shared" si="72"/>
        <v>49.657412497623284</v>
      </c>
      <c r="E2266" s="98" t="str">
        <f t="shared" si="73"/>
        <v>Error</v>
      </c>
    </row>
    <row r="2267" spans="1:5" x14ac:dyDescent="0.25">
      <c r="A2267" s="95">
        <f>'Site Data'!B2269</f>
        <v>0</v>
      </c>
      <c r="B2267">
        <f>'Raw Data'!B2269</f>
        <v>350.61734602203296</v>
      </c>
      <c r="C2267">
        <f>'Raw Data'!C2269</f>
        <v>300.9887491568868</v>
      </c>
      <c r="D2267" s="97">
        <f t="shared" si="72"/>
        <v>49.628596865146164</v>
      </c>
      <c r="E2267" s="98" t="str">
        <f t="shared" si="73"/>
        <v>Error</v>
      </c>
    </row>
    <row r="2268" spans="1:5" x14ac:dyDescent="0.25">
      <c r="A2268" s="95">
        <f>'Site Data'!B2270</f>
        <v>0</v>
      </c>
      <c r="B2268">
        <f>'Raw Data'!B2270</f>
        <v>350.44</v>
      </c>
      <c r="C2268">
        <f>'Raw Data'!C2270</f>
        <v>300.83</v>
      </c>
      <c r="D2268" s="97">
        <f t="shared" si="72"/>
        <v>49.610000000000014</v>
      </c>
      <c r="E2268" s="98" t="str">
        <f t="shared" si="73"/>
        <v>Error</v>
      </c>
    </row>
    <row r="2269" spans="1:5" x14ac:dyDescent="0.25">
      <c r="A2269" s="95">
        <f>'Site Data'!B2271</f>
        <v>0</v>
      </c>
      <c r="B2269">
        <f>'Raw Data'!B2271</f>
        <v>350.44</v>
      </c>
      <c r="C2269">
        <f>'Raw Data'!C2271</f>
        <v>300.83677909040557</v>
      </c>
      <c r="D2269" s="97">
        <f t="shared" si="72"/>
        <v>49.603220909594427</v>
      </c>
      <c r="E2269" s="98" t="str">
        <f t="shared" si="73"/>
        <v>Error</v>
      </c>
    </row>
    <row r="2270" spans="1:5" x14ac:dyDescent="0.25">
      <c r="A2270" s="95">
        <f>'Site Data'!B2272</f>
        <v>0</v>
      </c>
      <c r="B2270">
        <f>'Raw Data'!B2272</f>
        <v>350.44</v>
      </c>
      <c r="C2270">
        <f>'Raw Data'!C2272</f>
        <v>300.54000000000002</v>
      </c>
      <c r="D2270" s="97">
        <f t="shared" si="72"/>
        <v>49.899999999999977</v>
      </c>
      <c r="E2270" s="98" t="str">
        <f t="shared" si="73"/>
        <v>Error</v>
      </c>
    </row>
    <row r="2271" spans="1:5" x14ac:dyDescent="0.25">
      <c r="A2271" s="95">
        <f>'Site Data'!B2273</f>
        <v>0</v>
      </c>
      <c r="B2271">
        <f>'Raw Data'!B2273</f>
        <v>350.44</v>
      </c>
      <c r="C2271">
        <f>'Raw Data'!C2273</f>
        <v>300.54000000000002</v>
      </c>
      <c r="D2271" s="97">
        <f t="shared" si="72"/>
        <v>49.899999999999977</v>
      </c>
      <c r="E2271" s="98" t="str">
        <f t="shared" si="73"/>
        <v>Error</v>
      </c>
    </row>
    <row r="2272" spans="1:5" x14ac:dyDescent="0.25">
      <c r="A2272" s="95">
        <f>'Site Data'!B2274</f>
        <v>0</v>
      </c>
      <c r="B2272">
        <f>'Raw Data'!B2274</f>
        <v>350.44</v>
      </c>
      <c r="C2272">
        <f>'Raw Data'!C2274</f>
        <v>300.24</v>
      </c>
      <c r="D2272" s="97">
        <f t="shared" si="72"/>
        <v>50.199999999999989</v>
      </c>
      <c r="E2272" s="98" t="str">
        <f t="shared" si="73"/>
        <v>Valid</v>
      </c>
    </row>
    <row r="2273" spans="1:5" x14ac:dyDescent="0.25">
      <c r="A2273" s="95">
        <f>'Site Data'!B2275</f>
        <v>0</v>
      </c>
      <c r="B2273">
        <f>'Raw Data'!B2275</f>
        <v>350.44</v>
      </c>
      <c r="C2273">
        <f>'Raw Data'!C2275</f>
        <v>300.23781785041808</v>
      </c>
      <c r="D2273" s="97">
        <f t="shared" si="72"/>
        <v>50.202182149581915</v>
      </c>
      <c r="E2273" s="98" t="str">
        <f t="shared" si="73"/>
        <v>Valid</v>
      </c>
    </row>
    <row r="2274" spans="1:5" x14ac:dyDescent="0.25">
      <c r="A2274" s="95">
        <f>'Site Data'!B2276</f>
        <v>0</v>
      </c>
      <c r="B2274">
        <f>'Raw Data'!B2276</f>
        <v>350.44</v>
      </c>
      <c r="C2274">
        <f>'Raw Data'!C2276</f>
        <v>299.75</v>
      </c>
      <c r="D2274" s="97">
        <f t="shared" si="72"/>
        <v>50.69</v>
      </c>
      <c r="E2274" s="98" t="str">
        <f t="shared" si="73"/>
        <v>Valid</v>
      </c>
    </row>
    <row r="2275" spans="1:5" x14ac:dyDescent="0.25">
      <c r="A2275" s="95">
        <f>'Site Data'!B2277</f>
        <v>0</v>
      </c>
      <c r="B2275">
        <f>'Raw Data'!B2277</f>
        <v>350.44</v>
      </c>
      <c r="C2275">
        <f>'Raw Data'!C2277</f>
        <v>299.74</v>
      </c>
      <c r="D2275" s="97">
        <f t="shared" si="72"/>
        <v>50.699999999999989</v>
      </c>
      <c r="E2275" s="98" t="str">
        <f t="shared" si="73"/>
        <v>Valid</v>
      </c>
    </row>
    <row r="2276" spans="1:5" x14ac:dyDescent="0.25">
      <c r="A2276" s="95">
        <f>'Site Data'!B2278</f>
        <v>0</v>
      </c>
      <c r="B2276">
        <f>'Raw Data'!B2278</f>
        <v>350.44</v>
      </c>
      <c r="C2276">
        <f>'Raw Data'!C2278</f>
        <v>300.61</v>
      </c>
      <c r="D2276" s="97">
        <f t="shared" si="72"/>
        <v>49.829999999999984</v>
      </c>
      <c r="E2276" s="98" t="str">
        <f t="shared" si="73"/>
        <v>Error</v>
      </c>
    </row>
    <row r="2277" spans="1:5" x14ac:dyDescent="0.25">
      <c r="A2277" s="95">
        <f>'Site Data'!B2279</f>
        <v>0</v>
      </c>
      <c r="B2277">
        <f>'Raw Data'!B2279</f>
        <v>350.44</v>
      </c>
      <c r="C2277">
        <f>'Raw Data'!C2279</f>
        <v>300.61</v>
      </c>
      <c r="D2277" s="97">
        <f t="shared" si="72"/>
        <v>49.829999999999984</v>
      </c>
      <c r="E2277" s="98" t="str">
        <f t="shared" si="73"/>
        <v>Error</v>
      </c>
    </row>
    <row r="2278" spans="1:5" x14ac:dyDescent="0.25">
      <c r="A2278" s="95">
        <f>'Site Data'!B2280</f>
        <v>0</v>
      </c>
      <c r="B2278">
        <f>'Raw Data'!B2280</f>
        <v>350.44</v>
      </c>
      <c r="C2278">
        <f>'Raw Data'!C2280</f>
        <v>300.61</v>
      </c>
      <c r="D2278" s="97">
        <f t="shared" si="72"/>
        <v>49.829999999999984</v>
      </c>
      <c r="E2278" s="98" t="str">
        <f t="shared" si="73"/>
        <v>Error</v>
      </c>
    </row>
    <row r="2279" spans="1:5" x14ac:dyDescent="0.25">
      <c r="A2279" s="95">
        <f>'Site Data'!B2281</f>
        <v>0</v>
      </c>
      <c r="B2279">
        <f>'Raw Data'!B2281</f>
        <v>350.44</v>
      </c>
      <c r="C2279">
        <f>'Raw Data'!C2281</f>
        <v>300.61</v>
      </c>
      <c r="D2279" s="97">
        <f t="shared" si="72"/>
        <v>49.829999999999984</v>
      </c>
      <c r="E2279" s="98" t="str">
        <f t="shared" si="73"/>
        <v>Error</v>
      </c>
    </row>
    <row r="2280" spans="1:5" x14ac:dyDescent="0.25">
      <c r="A2280" s="95">
        <f>'Site Data'!B2282</f>
        <v>0</v>
      </c>
      <c r="B2280">
        <f>'Raw Data'!B2282</f>
        <v>350.44</v>
      </c>
      <c r="C2280">
        <f>'Raw Data'!C2282</f>
        <v>300.36148599243165</v>
      </c>
      <c r="D2280" s="97">
        <f t="shared" si="72"/>
        <v>50.078514007568344</v>
      </c>
      <c r="E2280" s="98" t="str">
        <f t="shared" si="73"/>
        <v>Valid</v>
      </c>
    </row>
    <row r="2281" spans="1:5" x14ac:dyDescent="0.25">
      <c r="A2281" s="95">
        <f>'Site Data'!B2283</f>
        <v>0</v>
      </c>
      <c r="B2281">
        <f>'Raw Data'!B2283</f>
        <v>350.44</v>
      </c>
      <c r="C2281">
        <f>'Raw Data'!C2283</f>
        <v>300.36454896328877</v>
      </c>
      <c r="D2281" s="97">
        <f t="shared" si="72"/>
        <v>50.075451036711229</v>
      </c>
      <c r="E2281" s="98" t="str">
        <f t="shared" si="73"/>
        <v>Valid</v>
      </c>
    </row>
    <row r="2282" spans="1:5" x14ac:dyDescent="0.25">
      <c r="A2282" s="95">
        <f>'Site Data'!B2284</f>
        <v>0</v>
      </c>
      <c r="B2282">
        <f>'Raw Data'!B2284</f>
        <v>350.44</v>
      </c>
      <c r="C2282">
        <f>'Raw Data'!C2284</f>
        <v>300.37552370760363</v>
      </c>
      <c r="D2282" s="97">
        <f t="shared" si="72"/>
        <v>50.064476292396364</v>
      </c>
      <c r="E2282" s="98" t="str">
        <f t="shared" si="73"/>
        <v>Valid</v>
      </c>
    </row>
    <row r="2283" spans="1:5" x14ac:dyDescent="0.25">
      <c r="A2283" s="95">
        <f>'Site Data'!B2285</f>
        <v>0</v>
      </c>
      <c r="B2283">
        <f>'Raw Data'!B2285</f>
        <v>350.44</v>
      </c>
      <c r="C2283">
        <f>'Raw Data'!C2285</f>
        <v>300.38</v>
      </c>
      <c r="D2283" s="97">
        <f t="shared" si="72"/>
        <v>50.06</v>
      </c>
      <c r="E2283" s="98" t="str">
        <f t="shared" si="73"/>
        <v>Valid</v>
      </c>
    </row>
    <row r="2284" spans="1:5" x14ac:dyDescent="0.25">
      <c r="A2284" s="95">
        <f>'Site Data'!B2286</f>
        <v>0</v>
      </c>
      <c r="B2284">
        <f>'Raw Data'!B2286</f>
        <v>350.44</v>
      </c>
      <c r="C2284">
        <f>'Raw Data'!C2286</f>
        <v>300.37606198113843</v>
      </c>
      <c r="D2284" s="97">
        <f t="shared" si="72"/>
        <v>50.063938018861563</v>
      </c>
      <c r="E2284" s="98" t="str">
        <f t="shared" si="73"/>
        <v>Valid</v>
      </c>
    </row>
    <row r="2285" spans="1:5" x14ac:dyDescent="0.25">
      <c r="A2285" s="95">
        <f>'Site Data'!B2287</f>
        <v>0</v>
      </c>
      <c r="B2285">
        <f>'Raw Data'!B2287</f>
        <v>350.44</v>
      </c>
      <c r="C2285">
        <f>'Raw Data'!C2287</f>
        <v>300.37</v>
      </c>
      <c r="D2285" s="97">
        <f t="shared" si="72"/>
        <v>50.069999999999993</v>
      </c>
      <c r="E2285" s="98" t="str">
        <f t="shared" si="73"/>
        <v>Valid</v>
      </c>
    </row>
    <row r="2286" spans="1:5" x14ac:dyDescent="0.25">
      <c r="A2286" s="95">
        <f>'Site Data'!B2288</f>
        <v>0</v>
      </c>
      <c r="B2286">
        <f>'Raw Data'!B2288</f>
        <v>350.19</v>
      </c>
      <c r="C2286">
        <f>'Raw Data'!C2288</f>
        <v>300.17163333691616</v>
      </c>
      <c r="D2286" s="97">
        <f t="shared" si="72"/>
        <v>50.018366663083839</v>
      </c>
      <c r="E2286" s="98" t="str">
        <f t="shared" si="73"/>
        <v>Valid</v>
      </c>
    </row>
    <row r="2287" spans="1:5" x14ac:dyDescent="0.25">
      <c r="A2287" s="95">
        <f>'Site Data'!B2289</f>
        <v>0</v>
      </c>
      <c r="B2287">
        <f>'Raw Data'!B2289</f>
        <v>350.19</v>
      </c>
      <c r="C2287">
        <f>'Raw Data'!C2289</f>
        <v>300.18</v>
      </c>
      <c r="D2287" s="97">
        <f t="shared" si="72"/>
        <v>50.009999999999991</v>
      </c>
      <c r="E2287" s="98" t="str">
        <f t="shared" si="73"/>
        <v>Valid</v>
      </c>
    </row>
    <row r="2288" spans="1:5" x14ac:dyDescent="0.25">
      <c r="A2288" s="95">
        <f>'Site Data'!B2290</f>
        <v>0</v>
      </c>
      <c r="B2288">
        <f>'Raw Data'!B2290</f>
        <v>350.19</v>
      </c>
      <c r="C2288">
        <f>'Raw Data'!C2290</f>
        <v>300.18263289840178</v>
      </c>
      <c r="D2288" s="97">
        <f t="shared" si="72"/>
        <v>50.00736710159822</v>
      </c>
      <c r="E2288" s="98" t="str">
        <f t="shared" si="73"/>
        <v>Valid</v>
      </c>
    </row>
    <row r="2289" spans="1:5" x14ac:dyDescent="0.25">
      <c r="A2289" s="95">
        <f>'Site Data'!B2291</f>
        <v>0</v>
      </c>
      <c r="B2289">
        <f>'Raw Data'!B2291</f>
        <v>350.19</v>
      </c>
      <c r="C2289">
        <f>'Raw Data'!C2291</f>
        <v>300.19242959665348</v>
      </c>
      <c r="D2289" s="97">
        <f t="shared" si="72"/>
        <v>49.997570403346515</v>
      </c>
      <c r="E2289" s="98" t="str">
        <f t="shared" si="73"/>
        <v>Error</v>
      </c>
    </row>
    <row r="2290" spans="1:5" x14ac:dyDescent="0.25">
      <c r="A2290" s="95">
        <f>'Site Data'!B2292</f>
        <v>0</v>
      </c>
      <c r="B2290">
        <f>'Raw Data'!B2292</f>
        <v>350.19</v>
      </c>
      <c r="C2290">
        <f>'Raw Data'!C2292</f>
        <v>300.18</v>
      </c>
      <c r="D2290" s="97">
        <f t="shared" si="72"/>
        <v>50.009999999999991</v>
      </c>
      <c r="E2290" s="98" t="str">
        <f t="shared" si="73"/>
        <v>Valid</v>
      </c>
    </row>
    <row r="2291" spans="1:5" x14ac:dyDescent="0.25">
      <c r="A2291" s="95">
        <f>'Site Data'!B2293</f>
        <v>0</v>
      </c>
      <c r="B2291">
        <f>'Raw Data'!B2293</f>
        <v>350.19</v>
      </c>
      <c r="C2291">
        <f>'Raw Data'!C2293</f>
        <v>300.18</v>
      </c>
      <c r="D2291" s="97">
        <f t="shared" si="72"/>
        <v>50.009999999999991</v>
      </c>
      <c r="E2291" s="98" t="str">
        <f t="shared" si="73"/>
        <v>Valid</v>
      </c>
    </row>
    <row r="2292" spans="1:5" x14ac:dyDescent="0.25">
      <c r="A2292" s="95">
        <f>'Site Data'!B2294</f>
        <v>0</v>
      </c>
      <c r="B2292">
        <f>'Raw Data'!B2294</f>
        <v>350.19</v>
      </c>
      <c r="C2292">
        <f>'Raw Data'!C2294</f>
        <v>300.18851107813538</v>
      </c>
      <c r="D2292" s="97">
        <f t="shared" si="72"/>
        <v>50.00148892186462</v>
      </c>
      <c r="E2292" s="98" t="str">
        <f t="shared" si="73"/>
        <v>Valid</v>
      </c>
    </row>
    <row r="2293" spans="1:5" x14ac:dyDescent="0.25">
      <c r="A2293" s="95">
        <f>'Site Data'!B2295</f>
        <v>0</v>
      </c>
      <c r="B2293">
        <f>'Raw Data'!B2295</f>
        <v>350.19</v>
      </c>
      <c r="C2293">
        <f>'Raw Data'!C2295</f>
        <v>300.2</v>
      </c>
      <c r="D2293" s="97">
        <f t="shared" si="72"/>
        <v>49.990000000000009</v>
      </c>
      <c r="E2293" s="98" t="str">
        <f t="shared" si="73"/>
        <v>Error</v>
      </c>
    </row>
    <row r="2294" spans="1:5" x14ac:dyDescent="0.25">
      <c r="A2294" s="95">
        <f>'Site Data'!B2296</f>
        <v>0</v>
      </c>
      <c r="B2294">
        <f>'Raw Data'!B2296</f>
        <v>350.19</v>
      </c>
      <c r="C2294">
        <f>'Raw Data'!C2296</f>
        <v>300.58999999999997</v>
      </c>
      <c r="D2294" s="97">
        <f t="shared" si="72"/>
        <v>49.600000000000023</v>
      </c>
      <c r="E2294" s="98" t="str">
        <f t="shared" si="73"/>
        <v>Error</v>
      </c>
    </row>
    <row r="2295" spans="1:5" x14ac:dyDescent="0.25">
      <c r="A2295" s="95">
        <f>'Site Data'!B2297</f>
        <v>0</v>
      </c>
      <c r="B2295">
        <f>'Raw Data'!B2297</f>
        <v>350.19</v>
      </c>
      <c r="C2295">
        <f>'Raw Data'!C2297</f>
        <v>300.58929839050921</v>
      </c>
      <c r="D2295" s="97">
        <f t="shared" si="72"/>
        <v>49.600701609490784</v>
      </c>
      <c r="E2295" s="98" t="str">
        <f t="shared" si="73"/>
        <v>Error</v>
      </c>
    </row>
    <row r="2296" spans="1:5" x14ac:dyDescent="0.25">
      <c r="A2296" s="95">
        <f>'Site Data'!B2298</f>
        <v>0</v>
      </c>
      <c r="B2296">
        <f>'Raw Data'!B2298</f>
        <v>350.19</v>
      </c>
      <c r="C2296">
        <f>'Raw Data'!C2298</f>
        <v>300.82795855226158</v>
      </c>
      <c r="D2296" s="97">
        <f t="shared" si="72"/>
        <v>49.36204144773842</v>
      </c>
      <c r="E2296" s="98" t="str">
        <f t="shared" si="73"/>
        <v>Error</v>
      </c>
    </row>
    <row r="2297" spans="1:5" x14ac:dyDescent="0.25">
      <c r="A2297" s="95">
        <f>'Site Data'!B2299</f>
        <v>0</v>
      </c>
      <c r="B2297">
        <f>'Raw Data'!B2299</f>
        <v>350.19</v>
      </c>
      <c r="C2297">
        <f>'Raw Data'!C2299</f>
        <v>300.83</v>
      </c>
      <c r="D2297" s="97">
        <f t="shared" si="72"/>
        <v>49.360000000000014</v>
      </c>
      <c r="E2297" s="98" t="str">
        <f t="shared" si="73"/>
        <v>Error</v>
      </c>
    </row>
    <row r="2298" spans="1:5" x14ac:dyDescent="0.25">
      <c r="A2298" s="95">
        <f>'Site Data'!B2300</f>
        <v>0</v>
      </c>
      <c r="B2298">
        <f>'Raw Data'!B2300</f>
        <v>350.19</v>
      </c>
      <c r="C2298">
        <f>'Raw Data'!C2300</f>
        <v>300.82140948847069</v>
      </c>
      <c r="D2298" s="97">
        <f t="shared" si="72"/>
        <v>49.368590511529305</v>
      </c>
      <c r="E2298" s="98" t="str">
        <f t="shared" si="73"/>
        <v>Error</v>
      </c>
    </row>
    <row r="2299" spans="1:5" x14ac:dyDescent="0.25">
      <c r="A2299" s="95">
        <f>'Site Data'!B2301</f>
        <v>0</v>
      </c>
      <c r="B2299">
        <f>'Raw Data'!B2301</f>
        <v>350.19</v>
      </c>
      <c r="C2299">
        <f>'Raw Data'!C2301</f>
        <v>300.82374240143059</v>
      </c>
      <c r="D2299" s="97">
        <f t="shared" si="72"/>
        <v>49.366257598569405</v>
      </c>
      <c r="E2299" s="98" t="str">
        <f t="shared" si="73"/>
        <v>Error</v>
      </c>
    </row>
    <row r="2300" spans="1:5" x14ac:dyDescent="0.25">
      <c r="A2300" s="95">
        <f>'Site Data'!B2302</f>
        <v>0</v>
      </c>
      <c r="B2300">
        <f>'Raw Data'!B2302</f>
        <v>350.19</v>
      </c>
      <c r="C2300">
        <f>'Raw Data'!C2302</f>
        <v>301</v>
      </c>
      <c r="D2300" s="97">
        <f t="shared" si="72"/>
        <v>49.19</v>
      </c>
      <c r="E2300" s="98" t="str">
        <f t="shared" si="73"/>
        <v>Error</v>
      </c>
    </row>
    <row r="2301" spans="1:5" x14ac:dyDescent="0.25">
      <c r="A2301" s="95">
        <f>'Site Data'!B2303</f>
        <v>0</v>
      </c>
      <c r="B2301">
        <f>'Raw Data'!B2303</f>
        <v>350.19</v>
      </c>
      <c r="C2301">
        <f>'Raw Data'!C2303</f>
        <v>301.01</v>
      </c>
      <c r="D2301" s="97">
        <f t="shared" si="72"/>
        <v>49.180000000000007</v>
      </c>
      <c r="E2301" s="98" t="str">
        <f t="shared" si="73"/>
        <v>Error</v>
      </c>
    </row>
    <row r="2302" spans="1:5" x14ac:dyDescent="0.25">
      <c r="A2302" s="95">
        <f>'Site Data'!B2304</f>
        <v>0</v>
      </c>
      <c r="B2302">
        <f>'Raw Data'!B2304</f>
        <v>350.19</v>
      </c>
      <c r="C2302">
        <f>'Raw Data'!C2304</f>
        <v>301.3127727349729</v>
      </c>
      <c r="D2302" s="97">
        <f t="shared" si="72"/>
        <v>48.877227265027102</v>
      </c>
      <c r="E2302" s="98" t="str">
        <f t="shared" si="73"/>
        <v>Error</v>
      </c>
    </row>
    <row r="2303" spans="1:5" x14ac:dyDescent="0.25">
      <c r="A2303" s="95">
        <f>'Site Data'!B2305</f>
        <v>0</v>
      </c>
      <c r="B2303">
        <f>'Raw Data'!B2305</f>
        <v>350.19</v>
      </c>
      <c r="C2303">
        <f>'Raw Data'!C2305</f>
        <v>301.32</v>
      </c>
      <c r="D2303" s="97">
        <f t="shared" si="72"/>
        <v>48.870000000000005</v>
      </c>
      <c r="E2303" s="98" t="str">
        <f t="shared" si="73"/>
        <v>Error</v>
      </c>
    </row>
    <row r="2304" spans="1:5" x14ac:dyDescent="0.25">
      <c r="A2304" s="95">
        <f>'Site Data'!B2306</f>
        <v>0</v>
      </c>
      <c r="B2304">
        <f>'Raw Data'!B2306</f>
        <v>350.19</v>
      </c>
      <c r="C2304">
        <f>'Raw Data'!C2306</f>
        <v>301.2</v>
      </c>
      <c r="D2304" s="97">
        <f t="shared" si="72"/>
        <v>48.990000000000009</v>
      </c>
      <c r="E2304" s="98" t="str">
        <f t="shared" si="73"/>
        <v>Error</v>
      </c>
    </row>
    <row r="2305" spans="1:5" x14ac:dyDescent="0.25">
      <c r="A2305" s="95">
        <f>'Site Data'!B2307</f>
        <v>0</v>
      </c>
      <c r="B2305">
        <f>'Raw Data'!B2307</f>
        <v>350.19</v>
      </c>
      <c r="C2305">
        <f>'Raw Data'!C2307</f>
        <v>301.08</v>
      </c>
      <c r="D2305" s="97">
        <f t="shared" si="72"/>
        <v>49.110000000000014</v>
      </c>
      <c r="E2305" s="98" t="str">
        <f t="shared" si="73"/>
        <v>Error</v>
      </c>
    </row>
    <row r="2306" spans="1:5" x14ac:dyDescent="0.25">
      <c r="A2306" s="95">
        <f>'Site Data'!B2308</f>
        <v>0</v>
      </c>
      <c r="B2306">
        <f>'Raw Data'!B2308</f>
        <v>350.19</v>
      </c>
      <c r="C2306">
        <f>'Raw Data'!C2308</f>
        <v>300.92</v>
      </c>
      <c r="D2306" s="97">
        <f t="shared" ref="D2306:D2323" si="74">B2306-C2306</f>
        <v>49.269999999999982</v>
      </c>
      <c r="E2306" s="98" t="str">
        <f t="shared" ref="E2306:E2322" si="75">IF(AND(D2306 &gt;= 50, D2306 &lt;= 60), "Valid", "Error")</f>
        <v>Error</v>
      </c>
    </row>
    <row r="2307" spans="1:5" x14ac:dyDescent="0.25">
      <c r="A2307" s="95">
        <f>'Site Data'!B2309</f>
        <v>0</v>
      </c>
      <c r="B2307">
        <f>'Raw Data'!B2309</f>
        <v>350.19</v>
      </c>
      <c r="C2307">
        <f>'Raw Data'!C2309</f>
        <v>300.92</v>
      </c>
      <c r="D2307" s="97">
        <f t="shared" si="74"/>
        <v>49.269999999999982</v>
      </c>
      <c r="E2307" s="98" t="str">
        <f t="shared" si="75"/>
        <v>Error</v>
      </c>
    </row>
    <row r="2308" spans="1:5" x14ac:dyDescent="0.25">
      <c r="A2308" s="95">
        <f>'Site Data'!B2310</f>
        <v>0</v>
      </c>
      <c r="B2308">
        <f>'Raw Data'!B2310</f>
        <v>350.19</v>
      </c>
      <c r="C2308">
        <f>'Raw Data'!C2310</f>
        <v>300.46957496209723</v>
      </c>
      <c r="D2308" s="97">
        <f t="shared" si="74"/>
        <v>49.720425037902771</v>
      </c>
      <c r="E2308" s="98" t="str">
        <f t="shared" si="75"/>
        <v>Error</v>
      </c>
    </row>
    <row r="2309" spans="1:5" x14ac:dyDescent="0.25">
      <c r="A2309" s="95">
        <f>'Site Data'!B2311</f>
        <v>0</v>
      </c>
      <c r="B2309">
        <f>'Raw Data'!B2311</f>
        <v>350.19</v>
      </c>
      <c r="C2309">
        <f>'Raw Data'!C2311</f>
        <v>300.47000000000003</v>
      </c>
      <c r="D2309" s="97">
        <f t="shared" si="74"/>
        <v>49.71999999999997</v>
      </c>
      <c r="E2309" s="98" t="str">
        <f t="shared" si="75"/>
        <v>Error</v>
      </c>
    </row>
    <row r="2310" spans="1:5" x14ac:dyDescent="0.25">
      <c r="A2310" s="95">
        <f>'Site Data'!B2312</f>
        <v>0</v>
      </c>
      <c r="B2310">
        <f>'Raw Data'!B2312</f>
        <v>350.19</v>
      </c>
      <c r="C2310">
        <f>'Raw Data'!C2312</f>
        <v>300.47000000000003</v>
      </c>
      <c r="D2310" s="97">
        <f t="shared" si="74"/>
        <v>49.71999999999997</v>
      </c>
      <c r="E2310" s="98" t="str">
        <f t="shared" si="75"/>
        <v>Error</v>
      </c>
    </row>
    <row r="2311" spans="1:5" x14ac:dyDescent="0.25">
      <c r="A2311" s="95">
        <f>'Site Data'!B2313</f>
        <v>0</v>
      </c>
      <c r="B2311">
        <f>'Raw Data'!B2313</f>
        <v>350.19</v>
      </c>
      <c r="C2311">
        <f>'Raw Data'!C2313</f>
        <v>300.47000000000003</v>
      </c>
      <c r="D2311" s="97">
        <f t="shared" si="74"/>
        <v>49.71999999999997</v>
      </c>
      <c r="E2311" s="98" t="str">
        <f t="shared" si="75"/>
        <v>Error</v>
      </c>
    </row>
    <row r="2312" spans="1:5" x14ac:dyDescent="0.25">
      <c r="A2312" s="95">
        <f>'Site Data'!B2314</f>
        <v>0</v>
      </c>
      <c r="B2312">
        <f>'Raw Data'!B2314</f>
        <v>350.19</v>
      </c>
      <c r="C2312">
        <f>'Raw Data'!C2314</f>
        <v>300.47000000000003</v>
      </c>
      <c r="D2312" s="97">
        <f t="shared" si="74"/>
        <v>49.71999999999997</v>
      </c>
      <c r="E2312" s="98" t="str">
        <f t="shared" si="75"/>
        <v>Error</v>
      </c>
    </row>
    <row r="2313" spans="1:5" x14ac:dyDescent="0.25">
      <c r="A2313" s="95">
        <f>'Site Data'!B2315</f>
        <v>0</v>
      </c>
      <c r="B2313">
        <f>'Raw Data'!B2315</f>
        <v>350.19</v>
      </c>
      <c r="C2313">
        <f>'Raw Data'!C2315</f>
        <v>300.47000000000003</v>
      </c>
      <c r="D2313" s="97">
        <f t="shared" si="74"/>
        <v>49.71999999999997</v>
      </c>
      <c r="E2313" s="98" t="str">
        <f t="shared" si="75"/>
        <v>Error</v>
      </c>
    </row>
    <row r="2314" spans="1:5" x14ac:dyDescent="0.25">
      <c r="A2314" s="95">
        <f>'Site Data'!B2316</f>
        <v>0</v>
      </c>
      <c r="B2314">
        <f>'Raw Data'!B2316</f>
        <v>350.19</v>
      </c>
      <c r="C2314">
        <f>'Raw Data'!C2316</f>
        <v>300.65285206517945</v>
      </c>
      <c r="D2314" s="97">
        <f t="shared" si="74"/>
        <v>49.537147934820553</v>
      </c>
      <c r="E2314" s="98" t="str">
        <f t="shared" si="75"/>
        <v>Error</v>
      </c>
    </row>
    <row r="2315" spans="1:5" x14ac:dyDescent="0.25">
      <c r="A2315" s="95">
        <f>'Site Data'!B2317</f>
        <v>0</v>
      </c>
      <c r="B2315">
        <f>'Raw Data'!B2317</f>
        <v>350.19</v>
      </c>
      <c r="C2315">
        <f>'Raw Data'!C2317</f>
        <v>300.60386337280278</v>
      </c>
      <c r="D2315" s="97">
        <f t="shared" si="74"/>
        <v>49.58613662719722</v>
      </c>
      <c r="E2315" s="98" t="str">
        <f t="shared" si="75"/>
        <v>Error</v>
      </c>
    </row>
    <row r="2316" spans="1:5" x14ac:dyDescent="0.25">
      <c r="A2316" s="95">
        <f>'Site Data'!B2318</f>
        <v>0</v>
      </c>
      <c r="B2316">
        <f>'Raw Data'!B2318</f>
        <v>349.15</v>
      </c>
      <c r="C2316">
        <f>'Raw Data'!C2318</f>
        <v>300.38265396826125</v>
      </c>
      <c r="D2316" s="97">
        <f t="shared" si="74"/>
        <v>48.767346031738725</v>
      </c>
      <c r="E2316" s="98" t="str">
        <f t="shared" si="75"/>
        <v>Error</v>
      </c>
    </row>
    <row r="2317" spans="1:5" x14ac:dyDescent="0.25">
      <c r="A2317" s="95">
        <f>'Site Data'!B2319</f>
        <v>0</v>
      </c>
      <c r="B2317">
        <f>'Raw Data'!B2319</f>
        <v>349.15</v>
      </c>
      <c r="C2317">
        <f>'Raw Data'!C2319</f>
        <v>300.38</v>
      </c>
      <c r="D2317" s="97">
        <f t="shared" si="74"/>
        <v>48.769999999999982</v>
      </c>
      <c r="E2317" s="98" t="str">
        <f t="shared" si="75"/>
        <v>Error</v>
      </c>
    </row>
    <row r="2318" spans="1:5" x14ac:dyDescent="0.25">
      <c r="A2318" s="95">
        <f>'Site Data'!B2320</f>
        <v>0</v>
      </c>
      <c r="B2318">
        <f>'Raw Data'!B2320</f>
        <v>349.15</v>
      </c>
      <c r="C2318">
        <f>'Raw Data'!C2320</f>
        <v>300.18358983645481</v>
      </c>
      <c r="D2318" s="97">
        <f t="shared" si="74"/>
        <v>48.966410163545163</v>
      </c>
      <c r="E2318" s="98" t="str">
        <f t="shared" si="75"/>
        <v>Error</v>
      </c>
    </row>
    <row r="2319" spans="1:5" x14ac:dyDescent="0.25">
      <c r="A2319" s="95">
        <f>'Site Data'!B2321</f>
        <v>0</v>
      </c>
      <c r="B2319">
        <f>'Raw Data'!B2321</f>
        <v>349.15</v>
      </c>
      <c r="C2319">
        <f>'Raw Data'!C2321</f>
        <v>300.18</v>
      </c>
      <c r="D2319" s="97">
        <f t="shared" si="74"/>
        <v>48.96999999999997</v>
      </c>
      <c r="E2319" s="98" t="str">
        <f t="shared" si="75"/>
        <v>Error</v>
      </c>
    </row>
    <row r="2320" spans="1:5" x14ac:dyDescent="0.25">
      <c r="A2320" s="95">
        <f>'Site Data'!B2322</f>
        <v>0</v>
      </c>
      <c r="B2320">
        <f>'Raw Data'!B2322</f>
        <v>349.15</v>
      </c>
      <c r="C2320">
        <f>'Raw Data'!C2322</f>
        <v>300.08</v>
      </c>
      <c r="D2320" s="97">
        <f t="shared" si="74"/>
        <v>49.069999999999993</v>
      </c>
      <c r="E2320" s="98" t="str">
        <f t="shared" si="75"/>
        <v>Error</v>
      </c>
    </row>
    <row r="2321" spans="1:5" x14ac:dyDescent="0.25">
      <c r="A2321" s="95">
        <f>'Site Data'!B2323</f>
        <v>0</v>
      </c>
      <c r="B2321">
        <f>'Raw Data'!B2323</f>
        <v>349.15</v>
      </c>
      <c r="C2321">
        <f>'Raw Data'!C2323</f>
        <v>300.08</v>
      </c>
      <c r="D2321" s="97">
        <f t="shared" si="74"/>
        <v>49.069999999999993</v>
      </c>
      <c r="E2321" s="98" t="str">
        <f t="shared" si="75"/>
        <v>Error</v>
      </c>
    </row>
    <row r="2322" spans="1:5" x14ac:dyDescent="0.25">
      <c r="A2322" s="95">
        <f>'Site Data'!B2324</f>
        <v>0</v>
      </c>
      <c r="B2322">
        <f>'Raw Data'!B2324</f>
        <v>349.15</v>
      </c>
      <c r="C2322">
        <f>'Raw Data'!C2324</f>
        <v>300.08</v>
      </c>
      <c r="D2322" s="97">
        <f t="shared" si="74"/>
        <v>49.069999999999993</v>
      </c>
      <c r="E2322" s="98" t="str">
        <f t="shared" si="75"/>
        <v>Error</v>
      </c>
    </row>
    <row r="2323" spans="1:5" x14ac:dyDescent="0.25">
      <c r="A2323" s="95">
        <f>'Site Data'!B2325</f>
        <v>0</v>
      </c>
      <c r="B2323">
        <f>'Raw Data'!B2325</f>
        <v>349.15</v>
      </c>
      <c r="C2323">
        <f>'Raw Data'!C2325</f>
        <v>300.08</v>
      </c>
      <c r="D2323" s="97">
        <f t="shared" si="74"/>
        <v>49.069999999999993</v>
      </c>
      <c r="E2323" s="98" t="str">
        <f>IF(AND(D2323 &gt;= 50, D2323 &lt;= 60), "Valid", "Error")</f>
        <v>Error</v>
      </c>
    </row>
    <row r="2324" spans="1:5" x14ac:dyDescent="0.25">
      <c r="A2324" s="95">
        <f>'Site Data'!B2326</f>
        <v>0</v>
      </c>
      <c r="E2324" s="98"/>
    </row>
    <row r="2325" spans="1:5" x14ac:dyDescent="0.25">
      <c r="A2325" s="95">
        <f>'Site Data'!B2327</f>
        <v>0</v>
      </c>
    </row>
    <row r="2326" spans="1:5" x14ac:dyDescent="0.25">
      <c r="A2326" s="95">
        <f>'Site Data'!B2328</f>
        <v>0</v>
      </c>
    </row>
    <row r="2327" spans="1:5" x14ac:dyDescent="0.25">
      <c r="A2327" s="95">
        <f>'Site Data'!B2329</f>
        <v>0</v>
      </c>
    </row>
    <row r="2328" spans="1:5" x14ac:dyDescent="0.25">
      <c r="A2328" s="95">
        <f>'Site Data'!B2330</f>
        <v>0</v>
      </c>
    </row>
    <row r="2329" spans="1:5" x14ac:dyDescent="0.25">
      <c r="A2329" s="95">
        <f>'Site Data'!B2331</f>
        <v>0</v>
      </c>
    </row>
    <row r="2330" spans="1:5" x14ac:dyDescent="0.25">
      <c r="A2330" s="95">
        <f>'Site Data'!B2332</f>
        <v>0</v>
      </c>
    </row>
    <row r="2331" spans="1:5" x14ac:dyDescent="0.25">
      <c r="A2331" s="95">
        <f>'Site Data'!B2333</f>
        <v>0</v>
      </c>
    </row>
    <row r="2332" spans="1:5" x14ac:dyDescent="0.25">
      <c r="A2332" s="95"/>
    </row>
    <row r="2333" spans="1:5" x14ac:dyDescent="0.25">
      <c r="A2333" s="95"/>
    </row>
    <row r="2334" spans="1:5" x14ac:dyDescent="0.25">
      <c r="A2334" s="95"/>
    </row>
    <row r="2335" spans="1:5" x14ac:dyDescent="0.25">
      <c r="A2335" s="95"/>
    </row>
    <row r="2336" spans="1:5" x14ac:dyDescent="0.25">
      <c r="A2336" s="95"/>
    </row>
    <row r="2337" spans="1:1" x14ac:dyDescent="0.25">
      <c r="A2337" s="95"/>
    </row>
    <row r="2338" spans="1:1" x14ac:dyDescent="0.25">
      <c r="A2338" s="95"/>
    </row>
    <row r="2339" spans="1:1" x14ac:dyDescent="0.25">
      <c r="A2339" s="95"/>
    </row>
    <row r="2340" spans="1:1" x14ac:dyDescent="0.25">
      <c r="A2340" s="95"/>
    </row>
    <row r="2341" spans="1:1" x14ac:dyDescent="0.25">
      <c r="A2341" s="95"/>
    </row>
    <row r="2342" spans="1:1" x14ac:dyDescent="0.25">
      <c r="A2342" s="95"/>
    </row>
    <row r="2343" spans="1:1" x14ac:dyDescent="0.25">
      <c r="A2343" s="95"/>
    </row>
    <row r="2344" spans="1:1" x14ac:dyDescent="0.25">
      <c r="A2344" s="95"/>
    </row>
    <row r="2345" spans="1:1" x14ac:dyDescent="0.25">
      <c r="A2345" s="95"/>
    </row>
    <row r="2346" spans="1:1" x14ac:dyDescent="0.25">
      <c r="A2346" s="95"/>
    </row>
    <row r="2347" spans="1:1" x14ac:dyDescent="0.25">
      <c r="A2347" s="95"/>
    </row>
    <row r="2348" spans="1:1" x14ac:dyDescent="0.25">
      <c r="A2348" s="95"/>
    </row>
    <row r="2349" spans="1:1" x14ac:dyDescent="0.25">
      <c r="A2349" s="95"/>
    </row>
    <row r="2350" spans="1:1" x14ac:dyDescent="0.25">
      <c r="A2350" s="95"/>
    </row>
    <row r="2351" spans="1:1" x14ac:dyDescent="0.25">
      <c r="A2351" s="95"/>
    </row>
    <row r="2352" spans="1:1" x14ac:dyDescent="0.25">
      <c r="A2352" s="95"/>
    </row>
    <row r="2353" spans="1:1" x14ac:dyDescent="0.25">
      <c r="A2353" s="95"/>
    </row>
    <row r="2354" spans="1:1" x14ac:dyDescent="0.25">
      <c r="A2354" s="95"/>
    </row>
    <row r="2355" spans="1:1" x14ac:dyDescent="0.25">
      <c r="A2355" s="95"/>
    </row>
    <row r="2356" spans="1:1" x14ac:dyDescent="0.25">
      <c r="A2356" s="95"/>
    </row>
    <row r="2357" spans="1:1" x14ac:dyDescent="0.25">
      <c r="A2357" s="95"/>
    </row>
    <row r="2358" spans="1:1" x14ac:dyDescent="0.25">
      <c r="A2358" s="95"/>
    </row>
    <row r="2359" spans="1:1" x14ac:dyDescent="0.25">
      <c r="A2359" s="95"/>
    </row>
    <row r="2360" spans="1:1" x14ac:dyDescent="0.25">
      <c r="A2360" s="95"/>
    </row>
    <row r="2361" spans="1:1" x14ac:dyDescent="0.25">
      <c r="A2361" s="95"/>
    </row>
    <row r="2362" spans="1:1" x14ac:dyDescent="0.25">
      <c r="A2362" s="95"/>
    </row>
    <row r="2363" spans="1:1" x14ac:dyDescent="0.25">
      <c r="A2363" s="95"/>
    </row>
    <row r="2364" spans="1:1" x14ac:dyDescent="0.25">
      <c r="A2364" s="95"/>
    </row>
    <row r="2365" spans="1:1" x14ac:dyDescent="0.25">
      <c r="A2365" s="95"/>
    </row>
    <row r="2366" spans="1:1" x14ac:dyDescent="0.25">
      <c r="A2366" s="95"/>
    </row>
    <row r="2367" spans="1:1" x14ac:dyDescent="0.25">
      <c r="A2367" s="95"/>
    </row>
    <row r="2368" spans="1:1" x14ac:dyDescent="0.25">
      <c r="A2368" s="95"/>
    </row>
    <row r="2369" spans="1:1" x14ac:dyDescent="0.25">
      <c r="A2369" s="95"/>
    </row>
    <row r="2370" spans="1:1" x14ac:dyDescent="0.25">
      <c r="A2370" s="95"/>
    </row>
    <row r="2371" spans="1:1" x14ac:dyDescent="0.25">
      <c r="A2371" s="95"/>
    </row>
    <row r="2372" spans="1:1" x14ac:dyDescent="0.25">
      <c r="A2372" s="95"/>
    </row>
    <row r="2373" spans="1:1" x14ac:dyDescent="0.25">
      <c r="A2373" s="95"/>
    </row>
    <row r="2374" spans="1:1" x14ac:dyDescent="0.25">
      <c r="A2374" s="95"/>
    </row>
    <row r="2375" spans="1:1" x14ac:dyDescent="0.25">
      <c r="A2375" s="95"/>
    </row>
    <row r="2376" spans="1:1" x14ac:dyDescent="0.25">
      <c r="A2376" s="95"/>
    </row>
    <row r="2377" spans="1:1" x14ac:dyDescent="0.25">
      <c r="A2377" s="95"/>
    </row>
    <row r="2378" spans="1:1" x14ac:dyDescent="0.25">
      <c r="A2378" s="95"/>
    </row>
    <row r="2379" spans="1:1" x14ac:dyDescent="0.25">
      <c r="A2379" s="95"/>
    </row>
    <row r="2380" spans="1:1" x14ac:dyDescent="0.25">
      <c r="A2380" s="95"/>
    </row>
    <row r="2381" spans="1:1" x14ac:dyDescent="0.25">
      <c r="A2381" s="95"/>
    </row>
    <row r="2382" spans="1:1" x14ac:dyDescent="0.25">
      <c r="A2382" s="95"/>
    </row>
    <row r="2383" spans="1:1" x14ac:dyDescent="0.25">
      <c r="A2383" s="95"/>
    </row>
    <row r="2384" spans="1:1" x14ac:dyDescent="0.25">
      <c r="A2384" s="95"/>
    </row>
    <row r="2385" spans="1:1" x14ac:dyDescent="0.25">
      <c r="A2385" s="95"/>
    </row>
    <row r="2386" spans="1:1" x14ac:dyDescent="0.25">
      <c r="A2386" s="95"/>
    </row>
    <row r="2387" spans="1:1" x14ac:dyDescent="0.25">
      <c r="A2387" s="95"/>
    </row>
    <row r="2388" spans="1:1" x14ac:dyDescent="0.25">
      <c r="A2388" s="95"/>
    </row>
    <row r="2389" spans="1:1" x14ac:dyDescent="0.25">
      <c r="A2389" s="95"/>
    </row>
    <row r="2390" spans="1:1" x14ac:dyDescent="0.25">
      <c r="A2390" s="95"/>
    </row>
    <row r="2391" spans="1:1" x14ac:dyDescent="0.25">
      <c r="A2391" s="95"/>
    </row>
    <row r="2392" spans="1:1" x14ac:dyDescent="0.25">
      <c r="A2392" s="95"/>
    </row>
    <row r="2393" spans="1:1" x14ac:dyDescent="0.25">
      <c r="A2393" s="95"/>
    </row>
    <row r="2394" spans="1:1" x14ac:dyDescent="0.25">
      <c r="A2394" s="95"/>
    </row>
    <row r="2395" spans="1:1" x14ac:dyDescent="0.25">
      <c r="A2395" s="95"/>
    </row>
    <row r="2396" spans="1:1" x14ac:dyDescent="0.25">
      <c r="A2396" s="95"/>
    </row>
    <row r="2397" spans="1:1" x14ac:dyDescent="0.25">
      <c r="A2397" s="95"/>
    </row>
    <row r="2398" spans="1:1" x14ac:dyDescent="0.25">
      <c r="A2398" s="95"/>
    </row>
    <row r="2399" spans="1:1" x14ac:dyDescent="0.25">
      <c r="A2399" s="95"/>
    </row>
    <row r="2400" spans="1:1" x14ac:dyDescent="0.25">
      <c r="A2400" s="95"/>
    </row>
    <row r="2401" spans="1:1" x14ac:dyDescent="0.25">
      <c r="A2401" s="95"/>
    </row>
    <row r="2402" spans="1:1" x14ac:dyDescent="0.25">
      <c r="A2402" s="95"/>
    </row>
    <row r="2403" spans="1:1" x14ac:dyDescent="0.25">
      <c r="A2403" s="95"/>
    </row>
    <row r="2404" spans="1:1" x14ac:dyDescent="0.25">
      <c r="A2404" s="95"/>
    </row>
    <row r="2405" spans="1:1" x14ac:dyDescent="0.25">
      <c r="A2405" s="95"/>
    </row>
    <row r="2406" spans="1:1" x14ac:dyDescent="0.25">
      <c r="A2406" s="95"/>
    </row>
    <row r="2407" spans="1:1" x14ac:dyDescent="0.25">
      <c r="A2407" s="95"/>
    </row>
    <row r="2408" spans="1:1" x14ac:dyDescent="0.25">
      <c r="A2408" s="95"/>
    </row>
    <row r="2409" spans="1:1" x14ac:dyDescent="0.25">
      <c r="A2409" s="95"/>
    </row>
    <row r="2410" spans="1:1" x14ac:dyDescent="0.25">
      <c r="A2410" s="95"/>
    </row>
    <row r="2411" spans="1:1" x14ac:dyDescent="0.25">
      <c r="A2411" s="95"/>
    </row>
    <row r="2412" spans="1:1" x14ac:dyDescent="0.25">
      <c r="A2412" s="95"/>
    </row>
    <row r="2413" spans="1:1" x14ac:dyDescent="0.25">
      <c r="A2413" s="95"/>
    </row>
    <row r="2414" spans="1:1" x14ac:dyDescent="0.25">
      <c r="A2414" s="95"/>
    </row>
    <row r="2415" spans="1:1" x14ac:dyDescent="0.25">
      <c r="A2415" s="95"/>
    </row>
    <row r="2416" spans="1:1" x14ac:dyDescent="0.25">
      <c r="A2416" s="95"/>
    </row>
    <row r="2417" spans="1:1" x14ac:dyDescent="0.25">
      <c r="A2417" s="95"/>
    </row>
    <row r="2418" spans="1:1" x14ac:dyDescent="0.25">
      <c r="A2418" s="95"/>
    </row>
    <row r="2419" spans="1:1" x14ac:dyDescent="0.25">
      <c r="A2419" s="95"/>
    </row>
    <row r="2420" spans="1:1" x14ac:dyDescent="0.25">
      <c r="A2420" s="95"/>
    </row>
    <row r="2421" spans="1:1" x14ac:dyDescent="0.25">
      <c r="A2421" s="95"/>
    </row>
    <row r="2422" spans="1:1" x14ac:dyDescent="0.25">
      <c r="A2422" s="95"/>
    </row>
    <row r="2423" spans="1:1" x14ac:dyDescent="0.25">
      <c r="A2423" s="95"/>
    </row>
    <row r="2424" spans="1:1" x14ac:dyDescent="0.25">
      <c r="A2424" s="95"/>
    </row>
    <row r="2425" spans="1:1" x14ac:dyDescent="0.25">
      <c r="A2425" s="95"/>
    </row>
    <row r="2426" spans="1:1" x14ac:dyDescent="0.25">
      <c r="A2426" s="95"/>
    </row>
    <row r="2427" spans="1:1" x14ac:dyDescent="0.25">
      <c r="A2427" s="95"/>
    </row>
    <row r="2428" spans="1:1" x14ac:dyDescent="0.25">
      <c r="A2428" s="95"/>
    </row>
    <row r="2429" spans="1:1" x14ac:dyDescent="0.25">
      <c r="A2429" s="95"/>
    </row>
    <row r="2430" spans="1:1" x14ac:dyDescent="0.25">
      <c r="A2430" s="95"/>
    </row>
    <row r="2431" spans="1:1" x14ac:dyDescent="0.25">
      <c r="A2431" s="95"/>
    </row>
    <row r="2432" spans="1:1" x14ac:dyDescent="0.25">
      <c r="A2432" s="95"/>
    </row>
    <row r="2433" spans="1:1" x14ac:dyDescent="0.25">
      <c r="A2433" s="95"/>
    </row>
    <row r="2434" spans="1:1" x14ac:dyDescent="0.25">
      <c r="A2434" s="95"/>
    </row>
    <row r="2435" spans="1:1" x14ac:dyDescent="0.25">
      <c r="A2435" s="95"/>
    </row>
    <row r="2436" spans="1:1" x14ac:dyDescent="0.25">
      <c r="A2436" s="95"/>
    </row>
    <row r="2437" spans="1:1" x14ac:dyDescent="0.25">
      <c r="A2437" s="95"/>
    </row>
    <row r="2438" spans="1:1" x14ac:dyDescent="0.25">
      <c r="A2438" s="95"/>
    </row>
    <row r="2439" spans="1:1" x14ac:dyDescent="0.25">
      <c r="A2439" s="95"/>
    </row>
    <row r="2440" spans="1:1" x14ac:dyDescent="0.25">
      <c r="A2440" s="95"/>
    </row>
    <row r="2441" spans="1:1" x14ac:dyDescent="0.25">
      <c r="A2441" s="95"/>
    </row>
    <row r="2442" spans="1:1" x14ac:dyDescent="0.25">
      <c r="A2442" s="95"/>
    </row>
    <row r="2443" spans="1:1" x14ac:dyDescent="0.25">
      <c r="A2443" s="95"/>
    </row>
    <row r="2444" spans="1:1" x14ac:dyDescent="0.25">
      <c r="A2444" s="95"/>
    </row>
    <row r="2445" spans="1:1" x14ac:dyDescent="0.25">
      <c r="A2445" s="95"/>
    </row>
    <row r="2446" spans="1:1" x14ac:dyDescent="0.25">
      <c r="A2446" s="95"/>
    </row>
    <row r="2447" spans="1:1" x14ac:dyDescent="0.25">
      <c r="A2447" s="95"/>
    </row>
    <row r="2448" spans="1:1" x14ac:dyDescent="0.25">
      <c r="A2448" s="95"/>
    </row>
    <row r="2449" spans="1:1" x14ac:dyDescent="0.25">
      <c r="A2449" s="95"/>
    </row>
    <row r="2450" spans="1:1" x14ac:dyDescent="0.25">
      <c r="A2450" s="95"/>
    </row>
    <row r="2451" spans="1:1" x14ac:dyDescent="0.25">
      <c r="A2451" s="95"/>
    </row>
    <row r="2452" spans="1:1" x14ac:dyDescent="0.25">
      <c r="A2452" s="95"/>
    </row>
    <row r="2453" spans="1:1" x14ac:dyDescent="0.25">
      <c r="A2453" s="95"/>
    </row>
    <row r="2454" spans="1:1" x14ac:dyDescent="0.25">
      <c r="A2454" s="95"/>
    </row>
    <row r="2455" spans="1:1" x14ac:dyDescent="0.25">
      <c r="A2455" s="95"/>
    </row>
    <row r="2456" spans="1:1" x14ac:dyDescent="0.25">
      <c r="A2456" s="95"/>
    </row>
    <row r="2457" spans="1:1" x14ac:dyDescent="0.25">
      <c r="A2457" s="95"/>
    </row>
    <row r="2458" spans="1:1" x14ac:dyDescent="0.25">
      <c r="A2458" s="95"/>
    </row>
    <row r="2459" spans="1:1" x14ac:dyDescent="0.25">
      <c r="A2459" s="95"/>
    </row>
    <row r="2460" spans="1:1" x14ac:dyDescent="0.25">
      <c r="A2460" s="95"/>
    </row>
    <row r="2461" spans="1:1" x14ac:dyDescent="0.25">
      <c r="A2461" s="95"/>
    </row>
    <row r="2462" spans="1:1" x14ac:dyDescent="0.25">
      <c r="A2462" s="95"/>
    </row>
    <row r="2463" spans="1:1" x14ac:dyDescent="0.25">
      <c r="A2463" s="95"/>
    </row>
    <row r="2464" spans="1:1" x14ac:dyDescent="0.25">
      <c r="A2464" s="95"/>
    </row>
    <row r="2465" spans="1:1" x14ac:dyDescent="0.25">
      <c r="A2465" s="95"/>
    </row>
    <row r="2466" spans="1:1" x14ac:dyDescent="0.25">
      <c r="A2466" s="95"/>
    </row>
    <row r="2467" spans="1:1" x14ac:dyDescent="0.25">
      <c r="A2467" s="95"/>
    </row>
    <row r="2468" spans="1:1" x14ac:dyDescent="0.25">
      <c r="A2468" s="95"/>
    </row>
    <row r="2469" spans="1:1" x14ac:dyDescent="0.25">
      <c r="A2469" s="95"/>
    </row>
    <row r="2470" spans="1:1" x14ac:dyDescent="0.25">
      <c r="A2470" s="95"/>
    </row>
    <row r="2471" spans="1:1" x14ac:dyDescent="0.25">
      <c r="A2471" s="95"/>
    </row>
    <row r="2472" spans="1:1" x14ac:dyDescent="0.25">
      <c r="A2472" s="95"/>
    </row>
    <row r="2473" spans="1:1" x14ac:dyDescent="0.25">
      <c r="A2473" s="95"/>
    </row>
  </sheetData>
  <conditionalFormatting sqref="E1:E7 E9:E1048574">
    <cfRule type="expression" dxfId="3" priority="2" stopIfTrue="1">
      <formula>$E2="Valid"</formula>
    </cfRule>
  </conditionalFormatting>
  <conditionalFormatting sqref="E1048575:E1048576">
    <cfRule type="expression" dxfId="2" priority="4" stopIfTrue="1">
      <formula>$E1="Valid"</formula>
    </cfRule>
  </conditionalFormatting>
  <conditionalFormatting sqref="E8">
    <cfRule type="expression" dxfId="1" priority="6" stopIfTrue="1">
      <formula>#REF!="Valid"</formula>
    </cfRule>
  </conditionalFormatting>
  <conditionalFormatting sqref="E1:E1048576">
    <cfRule type="expression" dxfId="0" priority="1">
      <formula>$E2="Error"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E10"/>
  <sheetViews>
    <sheetView workbookViewId="0">
      <selection activeCell="D15" sqref="D15"/>
    </sheetView>
  </sheetViews>
  <sheetFormatPr defaultRowHeight="15" x14ac:dyDescent="0.25"/>
  <cols>
    <col min="1" max="1" width="14.85546875" customWidth="1"/>
    <col min="2" max="2" width="15.28515625" bestFit="1" customWidth="1"/>
    <col min="4" max="4" width="44.42578125" bestFit="1" customWidth="1"/>
    <col min="5" max="5" width="88.28515625" bestFit="1" customWidth="1"/>
  </cols>
  <sheetData>
    <row r="3" spans="1:5" x14ac:dyDescent="0.25">
      <c r="A3" t="s">
        <v>47</v>
      </c>
      <c r="B3" t="s">
        <v>39</v>
      </c>
      <c r="D3" t="s">
        <v>42</v>
      </c>
      <c r="E3" t="s">
        <v>48</v>
      </c>
    </row>
    <row r="4" spans="1:5" x14ac:dyDescent="0.25">
      <c r="A4" t="s">
        <v>47</v>
      </c>
      <c r="B4" t="s">
        <v>40</v>
      </c>
      <c r="D4" t="s">
        <v>53</v>
      </c>
      <c r="E4" t="s">
        <v>48</v>
      </c>
    </row>
    <row r="6" spans="1:5" x14ac:dyDescent="0.25">
      <c r="A6" t="s">
        <v>45</v>
      </c>
      <c r="B6" t="s">
        <v>41</v>
      </c>
      <c r="D6" t="s">
        <v>43</v>
      </c>
      <c r="E6" t="s">
        <v>46</v>
      </c>
    </row>
    <row r="7" spans="1:5" x14ac:dyDescent="0.25">
      <c r="A7" t="s">
        <v>45</v>
      </c>
      <c r="B7" t="s">
        <v>40</v>
      </c>
      <c r="D7" t="s">
        <v>44</v>
      </c>
      <c r="E7" t="s">
        <v>46</v>
      </c>
    </row>
    <row r="9" spans="1:5" x14ac:dyDescent="0.25">
      <c r="D9" t="s">
        <v>51</v>
      </c>
    </row>
    <row r="10" spans="1:5" x14ac:dyDescent="0.25">
      <c r="D10" t="s">
        <v>52</v>
      </c>
    </row>
  </sheetData>
  <sheetProtection algorithmName="SHA-512" hashValue="iIphRUkoOOUsy+cvd5eHhd9zugx89HXHkhV6kGDoKX9B3go9/Tq+9woH5ymc5vC9Y3qQ19jlxhmZimfoDXPCEA==" saltValue="61MzCf78zHckL7REZUglSQ==" spinCount="100000" sheet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H41"/>
  <sheetViews>
    <sheetView topLeftCell="A16" workbookViewId="0">
      <selection activeCell="D33" sqref="D33"/>
    </sheetView>
  </sheetViews>
  <sheetFormatPr defaultRowHeight="15" x14ac:dyDescent="0.25"/>
  <cols>
    <col min="2" max="2" width="11.7109375" bestFit="1" customWidth="1"/>
    <col min="3" max="3" width="16.28515625" bestFit="1" customWidth="1"/>
    <col min="4" max="4" width="12.7109375" bestFit="1" customWidth="1"/>
    <col min="5" max="5" width="9" bestFit="1" customWidth="1"/>
    <col min="6" max="6" width="12.42578125" bestFit="1" customWidth="1"/>
    <col min="7" max="7" width="16.28515625" bestFit="1" customWidth="1"/>
  </cols>
  <sheetData>
    <row r="2" spans="1:7" ht="15.75" x14ac:dyDescent="0.25">
      <c r="A2" s="8" t="s">
        <v>6</v>
      </c>
      <c r="B2" s="8"/>
      <c r="C2" s="8"/>
      <c r="D2" s="8"/>
      <c r="E2" s="8" t="s">
        <v>7</v>
      </c>
      <c r="F2" s="8"/>
      <c r="G2" s="8"/>
    </row>
    <row r="4" spans="1:7" ht="15.75" x14ac:dyDescent="0.25">
      <c r="A4" s="8" t="s">
        <v>0</v>
      </c>
      <c r="B4" s="8" t="s">
        <v>3</v>
      </c>
      <c r="C4" s="8" t="s">
        <v>4</v>
      </c>
      <c r="D4" s="8"/>
      <c r="E4" s="8" t="s">
        <v>0</v>
      </c>
      <c r="F4" s="8" t="s">
        <v>8</v>
      </c>
      <c r="G4" s="8" t="s">
        <v>4</v>
      </c>
    </row>
    <row r="5" spans="1:7" ht="15.75" x14ac:dyDescent="0.25">
      <c r="A5" s="8">
        <v>9.1440000000000001</v>
      </c>
      <c r="B5" s="8">
        <v>1.8</v>
      </c>
      <c r="C5" s="8">
        <v>2</v>
      </c>
      <c r="D5" s="8"/>
      <c r="E5" s="8">
        <v>9.1440000000000001</v>
      </c>
      <c r="F5" s="8">
        <v>1.2</v>
      </c>
      <c r="G5" s="8">
        <v>4</v>
      </c>
    </row>
    <row r="6" spans="1:7" ht="15.75" x14ac:dyDescent="0.25">
      <c r="A6" s="8">
        <v>15.24</v>
      </c>
      <c r="B6" s="8">
        <v>1.8</v>
      </c>
      <c r="C6" s="8">
        <v>2</v>
      </c>
      <c r="D6" s="8"/>
      <c r="E6" s="8">
        <v>15.24</v>
      </c>
      <c r="F6" s="8">
        <v>1.2</v>
      </c>
      <c r="G6" s="8">
        <v>4</v>
      </c>
    </row>
    <row r="7" spans="1:7" ht="15.75" x14ac:dyDescent="0.25">
      <c r="A7" s="8">
        <v>22.555</v>
      </c>
      <c r="B7" s="8">
        <v>4.4000000000000004</v>
      </c>
      <c r="C7" s="8">
        <v>0.8</v>
      </c>
      <c r="D7" s="8"/>
      <c r="E7" s="8">
        <v>22.555</v>
      </c>
      <c r="F7" s="8">
        <v>4</v>
      </c>
      <c r="G7" s="8">
        <v>0</v>
      </c>
    </row>
    <row r="8" spans="1:7" ht="15.75" x14ac:dyDescent="0.25">
      <c r="A8" s="8">
        <v>25.297999999999998</v>
      </c>
      <c r="B8" s="8">
        <v>4.7</v>
      </c>
      <c r="C8" s="8">
        <v>0.5</v>
      </c>
      <c r="D8" s="8"/>
      <c r="E8" s="8">
        <v>25.297999999999998</v>
      </c>
      <c r="F8" s="8">
        <v>4.5</v>
      </c>
      <c r="G8" s="8">
        <v>1.6</v>
      </c>
    </row>
    <row r="9" spans="1:7" ht="15.75" x14ac:dyDescent="0.25">
      <c r="A9" s="8">
        <v>27.126999999999999</v>
      </c>
      <c r="B9" s="8">
        <v>4.9000000000000004</v>
      </c>
      <c r="C9" s="8">
        <v>1.2</v>
      </c>
      <c r="D9" s="8"/>
      <c r="E9" s="8">
        <v>27.126999999999999</v>
      </c>
      <c r="F9" s="8">
        <v>4.7</v>
      </c>
      <c r="G9" s="8">
        <v>2.5</v>
      </c>
    </row>
    <row r="10" spans="1:7" ht="15.75" x14ac:dyDescent="0.25">
      <c r="A10" s="8">
        <v>30.937000000000001</v>
      </c>
      <c r="B10" s="8">
        <v>5.2</v>
      </c>
      <c r="C10" s="8">
        <v>3.1</v>
      </c>
      <c r="D10" s="8"/>
      <c r="E10" s="8">
        <v>28.803000000000001</v>
      </c>
      <c r="F10" s="8">
        <v>4.7</v>
      </c>
      <c r="G10" s="8">
        <v>3.2</v>
      </c>
    </row>
    <row r="11" spans="1:7" ht="15.75" x14ac:dyDescent="0.25">
      <c r="A11" s="8">
        <v>35.091999999999999</v>
      </c>
      <c r="B11" s="8">
        <v>5.4</v>
      </c>
      <c r="C11" s="8">
        <v>5.0999999999999996</v>
      </c>
      <c r="D11" s="8"/>
      <c r="E11" s="8">
        <v>30.021999999999998</v>
      </c>
      <c r="F11" s="8">
        <v>4.9000000000000004</v>
      </c>
      <c r="G11" s="8">
        <v>3.7</v>
      </c>
    </row>
    <row r="12" spans="1:7" ht="15.75" x14ac:dyDescent="0.25">
      <c r="A12" s="8"/>
      <c r="B12" s="8"/>
      <c r="C12" s="8"/>
      <c r="D12" s="8"/>
      <c r="E12" s="8">
        <v>30.937000000000001</v>
      </c>
      <c r="F12" s="8">
        <v>5</v>
      </c>
      <c r="G12" s="8">
        <v>4</v>
      </c>
    </row>
    <row r="13" spans="1:7" ht="15.75" x14ac:dyDescent="0.25">
      <c r="A13" s="8"/>
      <c r="B13" s="8"/>
      <c r="C13" s="8"/>
      <c r="D13" s="8"/>
      <c r="E13" s="8">
        <v>32.003999999999998</v>
      </c>
      <c r="F13" s="8">
        <v>5</v>
      </c>
      <c r="G13" s="8">
        <v>4.5</v>
      </c>
    </row>
    <row r="14" spans="1:7" ht="15.75" x14ac:dyDescent="0.25">
      <c r="A14" s="8"/>
      <c r="B14" s="8"/>
      <c r="C14" s="8"/>
      <c r="D14" s="8"/>
      <c r="E14" s="8">
        <v>35.049999999999997</v>
      </c>
      <c r="F14" s="8">
        <v>5</v>
      </c>
      <c r="G14" s="8">
        <v>6.4</v>
      </c>
    </row>
    <row r="15" spans="1:7" ht="15.75" x14ac:dyDescent="0.25">
      <c r="A15" s="8"/>
      <c r="B15" s="8"/>
      <c r="C15" s="8"/>
      <c r="D15" s="8"/>
      <c r="E15" s="8"/>
      <c r="F15" s="8"/>
      <c r="G15" s="8"/>
    </row>
    <row r="16" spans="1:7" ht="15.75" x14ac:dyDescent="0.25">
      <c r="A16" s="8">
        <v>0</v>
      </c>
      <c r="B16" s="8">
        <v>1.8</v>
      </c>
      <c r="C16" s="8">
        <v>2</v>
      </c>
      <c r="E16" s="8">
        <v>0</v>
      </c>
      <c r="F16" s="8">
        <v>1.2</v>
      </c>
      <c r="G16" s="8">
        <v>4</v>
      </c>
    </row>
    <row r="17" spans="1:8" ht="15.75" x14ac:dyDescent="0.25">
      <c r="A17" s="8">
        <v>15.24</v>
      </c>
      <c r="B17" s="9">
        <f>((B7-B6)*(D33-A6)/(A7-A6))+B6</f>
        <v>21.263568010936439</v>
      </c>
      <c r="C17" s="9">
        <f>((C7-C6)*(D33-A6)/(A7-A6))+C6</f>
        <v>-6.9831852358168138</v>
      </c>
      <c r="D17" s="8"/>
      <c r="E17" s="8">
        <v>15.24</v>
      </c>
      <c r="F17" s="9">
        <f>((F7-F6)*(D33-$E$6)/($E$7-$E$6))+F6</f>
        <v>22.160765550239233</v>
      </c>
      <c r="G17" s="9">
        <f>((G7-G6)*(D33-E6)/(E7-E6))+G6</f>
        <v>-25.94395078605605</v>
      </c>
    </row>
    <row r="18" spans="1:8" ht="15.75" x14ac:dyDescent="0.25">
      <c r="A18" s="8">
        <v>22.555</v>
      </c>
      <c r="B18" s="10">
        <f>((B8-B7)*(D33-A7)/(A8-A7))+B7</f>
        <v>9.5890266131972304</v>
      </c>
      <c r="C18" s="9">
        <f>((C8-C7)*(D33-A7)/(A8-A7))+C7</f>
        <v>-4.3890266131972329</v>
      </c>
      <c r="D18" s="8"/>
      <c r="E18" s="8">
        <v>22.555</v>
      </c>
      <c r="F18" s="9">
        <f>((F8-F7)*(D33-E7)/(E8-E7))+F7</f>
        <v>12.648377688662054</v>
      </c>
      <c r="G18" s="9">
        <f>((G8-G7)*(D33-E7)/(E8-E7))+G7</f>
        <v>27.674808603718574</v>
      </c>
    </row>
    <row r="19" spans="1:8" ht="15.75" x14ac:dyDescent="0.25">
      <c r="A19" s="8">
        <v>25.297999999999998</v>
      </c>
      <c r="B19" s="10">
        <f>((B9-B8)*(D33-A8)/(A9-A8))+B8</f>
        <v>9.5881355932203416</v>
      </c>
      <c r="C19" s="9">
        <f>((C9-C8)*(D33-A8)/(A9-A8))+C8</f>
        <v>17.608474576271178</v>
      </c>
      <c r="D19" s="8"/>
      <c r="E19" s="8">
        <v>25.297999999999998</v>
      </c>
      <c r="F19" s="9">
        <f>((F9-F8)*(D33-E8)/(E9-E8))+F8</f>
        <v>9.3881355932203405</v>
      </c>
      <c r="G19" s="9">
        <f>((G9-G8)*(D33-E8)/(E9-E8))+G8</f>
        <v>23.596610169491516</v>
      </c>
    </row>
    <row r="20" spans="1:8" ht="15.75" x14ac:dyDescent="0.25">
      <c r="A20" s="8">
        <v>27.126999999999999</v>
      </c>
      <c r="B20" s="10">
        <f>((B10-B9)*(D33-A9)/(A10-A9))+B9</f>
        <v>8.2758267716535396</v>
      </c>
      <c r="C20" s="9">
        <f>((C10-C9)*(D33-A9)/(A10-A9))+C9</f>
        <v>22.580236220472433</v>
      </c>
      <c r="D20" s="8"/>
      <c r="E20" s="8">
        <v>27.126999999999999</v>
      </c>
      <c r="F20" s="9">
        <f>((F10-F9)*(D33-E9)/(E10-E9))+F9</f>
        <v>4.7</v>
      </c>
      <c r="G20" s="9">
        <f>((G10-G9)*(D33-E9)/(E10-E9))+G9</f>
        <v>20.40638424821001</v>
      </c>
    </row>
    <row r="21" spans="1:8" ht="15.75" x14ac:dyDescent="0.25">
      <c r="A21" s="8">
        <v>30.937000000000001</v>
      </c>
      <c r="B21" s="11">
        <f>((B11-B10)*(D33-A10)/(A11-A10))+B10</f>
        <v>7.080288808664263</v>
      </c>
      <c r="C21" s="9">
        <f>((C11-C10)*(D33-A10)/(A11-A10))+C10</f>
        <v>21.902888086642609</v>
      </c>
      <c r="D21" s="8"/>
      <c r="E21" s="8">
        <v>28.803000000000001</v>
      </c>
      <c r="F21" s="9">
        <f>((F11-F10)*(D33-E10)/(E11-E10))+F10</f>
        <v>11.459146841673522</v>
      </c>
      <c r="G21" s="9">
        <f>((G11-G10)*(D33-E10)/(E11-E10))+G10</f>
        <v>20.097867104183791</v>
      </c>
    </row>
    <row r="22" spans="1:8" ht="15.75" x14ac:dyDescent="0.25">
      <c r="A22" s="8">
        <v>35.091999999999999</v>
      </c>
      <c r="B22" s="8">
        <v>5.4</v>
      </c>
      <c r="C22" s="8">
        <v>5.0999999999999996</v>
      </c>
      <c r="D22" s="8"/>
      <c r="E22" s="8">
        <v>30.021999999999998</v>
      </c>
      <c r="F22" s="9">
        <f>((F12-F11)*(D33-E11)/(E12-E11))+F11</f>
        <v>9.2691803278688241</v>
      </c>
      <c r="G22" s="9">
        <f>((G12-G11)*(D33-E11)/(E12-E11))+G11</f>
        <v>16.807540983606511</v>
      </c>
    </row>
    <row r="23" spans="1:8" ht="15.75" x14ac:dyDescent="0.25">
      <c r="B23" s="8"/>
      <c r="C23" s="8"/>
      <c r="D23" s="8"/>
      <c r="E23" s="8">
        <v>30.937000000000001</v>
      </c>
      <c r="F23" s="9">
        <f>((F13-F12)*(D33-E12)/(E13-E12))+F12</f>
        <v>5</v>
      </c>
      <c r="G23" s="9">
        <f>((G13-G12)*(D33-E12)/(E13-E12))+G12</f>
        <v>22.305060918463038</v>
      </c>
    </row>
    <row r="24" spans="1:8" ht="15.75" x14ac:dyDescent="0.25">
      <c r="A24" s="8"/>
      <c r="B24" s="8"/>
      <c r="C24" s="8"/>
      <c r="D24" s="8"/>
      <c r="E24" s="8">
        <v>32.003999999999998</v>
      </c>
      <c r="F24" s="9">
        <f>((F14-F13)*(D33-E13)/(E14-E13))+F13</f>
        <v>5</v>
      </c>
      <c r="G24" s="9">
        <f>((G14-G13)*(D33-E13)/(E14-E13))+G13</f>
        <v>28.200722258699948</v>
      </c>
    </row>
    <row r="25" spans="1:8" ht="15.75" x14ac:dyDescent="0.25">
      <c r="E25" s="8">
        <v>35.049999999999997</v>
      </c>
      <c r="F25" s="8">
        <v>5</v>
      </c>
      <c r="G25" s="8">
        <v>6.4</v>
      </c>
    </row>
    <row r="27" spans="1:8" ht="15.75" thickBot="1" x14ac:dyDescent="0.3"/>
    <row r="28" spans="1:8" ht="30.75" thickBot="1" x14ac:dyDescent="0.3">
      <c r="A28" s="12"/>
      <c r="B28" s="1" t="s">
        <v>9</v>
      </c>
      <c r="C28" s="13"/>
      <c r="D28" s="13"/>
      <c r="E28" s="13"/>
      <c r="F28" s="13"/>
      <c r="G28" s="13"/>
      <c r="H28" s="14"/>
    </row>
    <row r="29" spans="1:8" ht="15.75" x14ac:dyDescent="0.25">
      <c r="A29" s="15"/>
      <c r="B29" s="8"/>
      <c r="C29" s="8"/>
      <c r="D29" s="16">
        <f ca="1">NOW()</f>
        <v>45766.925317476853</v>
      </c>
      <c r="E29" s="8"/>
      <c r="F29" s="8"/>
      <c r="G29" s="8"/>
      <c r="H29" s="17"/>
    </row>
    <row r="30" spans="1:8" ht="15.75" x14ac:dyDescent="0.25">
      <c r="A30" s="15"/>
      <c r="B30" s="8"/>
      <c r="C30" s="8"/>
      <c r="D30" s="8"/>
      <c r="E30" s="8"/>
      <c r="F30" s="8"/>
      <c r="G30" s="8"/>
      <c r="H30" s="17"/>
    </row>
    <row r="31" spans="1:8" ht="23.25" x14ac:dyDescent="0.35">
      <c r="A31" s="18"/>
      <c r="B31" s="2" t="s">
        <v>10</v>
      </c>
      <c r="C31" s="3"/>
      <c r="D31" s="4"/>
      <c r="E31" s="3"/>
      <c r="F31" s="3"/>
      <c r="G31" s="19"/>
      <c r="H31" s="20"/>
    </row>
    <row r="32" spans="1:8" ht="15.75" x14ac:dyDescent="0.25">
      <c r="A32" s="15"/>
      <c r="B32" s="8"/>
      <c r="C32" s="5"/>
      <c r="D32" s="8"/>
      <c r="E32" s="8"/>
      <c r="F32" s="8"/>
      <c r="G32" s="8"/>
      <c r="H32" s="17"/>
    </row>
    <row r="33" spans="1:8" ht="15.75" x14ac:dyDescent="0.25">
      <c r="A33" s="15"/>
      <c r="B33" s="6" t="s">
        <v>11</v>
      </c>
      <c r="C33" s="6"/>
      <c r="D33" s="8">
        <f>Head</f>
        <v>70</v>
      </c>
      <c r="E33" s="21" t="s">
        <v>12</v>
      </c>
      <c r="F33" s="8"/>
      <c r="G33" s="8" t="s">
        <v>13</v>
      </c>
      <c r="H33" s="17"/>
    </row>
    <row r="34" spans="1:8" ht="15.75" x14ac:dyDescent="0.25">
      <c r="A34" s="15"/>
      <c r="B34" s="8"/>
      <c r="C34" s="8"/>
      <c r="D34" s="8"/>
      <c r="E34" s="8"/>
      <c r="F34" s="8"/>
      <c r="G34" s="8"/>
      <c r="H34" s="17"/>
    </row>
    <row r="35" spans="1:8" ht="23.25" x14ac:dyDescent="0.35">
      <c r="A35" s="15"/>
      <c r="B35" s="8"/>
      <c r="C35" s="7" t="s">
        <v>14</v>
      </c>
      <c r="D35" s="8"/>
      <c r="E35" s="8"/>
      <c r="F35" s="7" t="s">
        <v>15</v>
      </c>
      <c r="G35" s="7"/>
      <c r="H35" s="17"/>
    </row>
    <row r="36" spans="1:8" ht="15.75" x14ac:dyDescent="0.25">
      <c r="A36" s="15"/>
      <c r="B36" s="8"/>
      <c r="C36" s="8"/>
      <c r="D36" s="8"/>
      <c r="E36" s="8"/>
      <c r="F36" s="8"/>
      <c r="G36" s="8"/>
      <c r="H36" s="17"/>
    </row>
    <row r="37" spans="1:8" ht="15.75" x14ac:dyDescent="0.25">
      <c r="A37" s="15"/>
      <c r="B37" s="21" t="s">
        <v>16</v>
      </c>
      <c r="C37" s="22">
        <f>VLOOKUP(D33,$A$16:$C$22,2,TRUE)</f>
        <v>5.4</v>
      </c>
      <c r="D37" s="8"/>
      <c r="E37" s="8"/>
      <c r="F37" s="21" t="s">
        <v>16</v>
      </c>
      <c r="G37" s="22">
        <f>VLOOKUP(D33,$E$16:$G$25,2,TRUE)</f>
        <v>5</v>
      </c>
      <c r="H37" s="17"/>
    </row>
    <row r="38" spans="1:8" ht="15.75" x14ac:dyDescent="0.25">
      <c r="A38" s="15"/>
      <c r="B38" s="21" t="s">
        <v>17</v>
      </c>
      <c r="C38" s="22">
        <f>VLOOKUP(D33,$A$16:$C$22,3,TRUE)</f>
        <v>5.0999999999999996</v>
      </c>
      <c r="D38" s="8"/>
      <c r="E38" s="8"/>
      <c r="F38" s="21" t="s">
        <v>17</v>
      </c>
      <c r="G38" s="22">
        <f>VLOOKUP(D33,$E$16:$G$25,3,TRUE)</f>
        <v>6.4</v>
      </c>
      <c r="H38" s="17"/>
    </row>
    <row r="39" spans="1:8" ht="16.5" thickBot="1" x14ac:dyDescent="0.3">
      <c r="A39" s="15"/>
      <c r="B39" s="8"/>
      <c r="C39" s="8"/>
      <c r="D39" s="8"/>
      <c r="E39" s="8"/>
      <c r="F39" s="8"/>
      <c r="G39" s="8"/>
      <c r="H39" s="17"/>
    </row>
    <row r="40" spans="1:8" ht="15.75" x14ac:dyDescent="0.25">
      <c r="A40" s="23"/>
      <c r="B40" s="24"/>
      <c r="C40" s="24"/>
      <c r="D40" s="24"/>
      <c r="E40" s="24"/>
      <c r="F40" s="24"/>
      <c r="G40" s="24"/>
      <c r="H40" s="25"/>
    </row>
    <row r="41" spans="1:8" ht="16.5" thickBot="1" x14ac:dyDescent="0.3">
      <c r="A41" s="26"/>
      <c r="B41" s="27"/>
      <c r="C41" s="27"/>
      <c r="D41" s="27"/>
      <c r="E41" s="27"/>
      <c r="F41" s="27"/>
      <c r="G41" s="27"/>
      <c r="H41" s="28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15</vt:i4>
      </vt:variant>
    </vt:vector>
  </HeadingPairs>
  <TitlesOfParts>
    <vt:vector size="23" baseType="lpstr">
      <vt:lpstr>Assumptions </vt:lpstr>
      <vt:lpstr>Main</vt:lpstr>
      <vt:lpstr>Site Data</vt:lpstr>
      <vt:lpstr>Raw Data</vt:lpstr>
      <vt:lpstr> Head Calculation</vt:lpstr>
      <vt:lpstr> Error Report</vt:lpstr>
      <vt:lpstr>Sheet1</vt:lpstr>
      <vt:lpstr>Calc - Cam settings 1</vt:lpstr>
      <vt:lpstr>Calculation</vt:lpstr>
      <vt:lpstr>Flow</vt:lpstr>
      <vt:lpstr>Head</vt:lpstr>
      <vt:lpstr>Headf</vt:lpstr>
      <vt:lpstr>Max</vt:lpstr>
      <vt:lpstr>Measure</vt:lpstr>
      <vt:lpstr>Min</vt:lpstr>
      <vt:lpstr>Owner</vt:lpstr>
      <vt:lpstr>Power</vt:lpstr>
      <vt:lpstr>Power2</vt:lpstr>
      <vt:lpstr>Main!Print_Area</vt:lpstr>
      <vt:lpstr>Revision</vt:lpstr>
      <vt:lpstr>ScaleB</vt:lpstr>
      <vt:lpstr>ScaleC</vt:lpstr>
      <vt:lpstr>Today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Dell</cp:lastModifiedBy>
  <cp:lastPrinted>2025-04-18T12:23:57Z</cp:lastPrinted>
  <dcterms:created xsi:type="dcterms:W3CDTF">2015-06-05T18:17:20Z</dcterms:created>
  <dcterms:modified xsi:type="dcterms:W3CDTF">2025-04-19T19:13:14Z</dcterms:modified>
</cp:coreProperties>
</file>